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BI_JOB\Sources\Nutritions\2024\Q3 2024\"/>
    </mc:Choice>
  </mc:AlternateContent>
  <xr:revisionPtr revIDLastSave="0" documentId="8_{27F8600D-85DF-4B25-BDEC-A75323232218}" xr6:coauthVersionLast="47" xr6:coauthVersionMax="47" xr10:uidLastSave="{00000000-0000-0000-0000-000000000000}"/>
  <bookViews>
    <workbookView xWindow="57480" yWindow="-120" windowWidth="29040" windowHeight="15720" firstSheet="10" activeTab="10" xr2:uid="{44849FF4-EE2D-4024-8765-C066A1B2829A}"/>
  </bookViews>
  <sheets>
    <sheet name="Combine Data (2)" sheetId="22" state="hidden" r:id="rId1"/>
    <sheet name="DataInput" sheetId="1" state="hidden" r:id="rId2"/>
    <sheet name="Indicators Details" sheetId="14" state="hidden" r:id="rId3"/>
    <sheet name="Combine Data" sheetId="21" state="hidden" r:id="rId4"/>
    <sheet name="Sectoral Targets" sheetId="4" state="hidden" r:id="rId5"/>
    <sheet name="Population Data" sheetId="5" state="hidden" r:id="rId6"/>
    <sheet name="Indicators" sheetId="9" state="hidden" r:id="rId7"/>
    <sheet name="Country Indicator" sheetId="11" state="hidden" r:id="rId8"/>
    <sheet name="Dictionnary" sheetId="16" state="hidden" r:id="rId9"/>
    <sheet name="Manual Indicators" sheetId="20" state="hidden" r:id="rId10"/>
    <sheet name="Nutrition Portfolio" sheetId="25" r:id="rId11"/>
  </sheets>
  <definedNames>
    <definedName name="_xlnm._FilterDatabase" localSheetId="3" hidden="1">'Combine Data'!$A$1:$AR$363</definedName>
    <definedName name="_xlnm._FilterDatabase" localSheetId="0" hidden="1">'Combine Data (2)'!$A$1:$AR$357</definedName>
    <definedName name="_xlnm._FilterDatabase" localSheetId="1" hidden="1">DataInput!$A$1:$AL$61</definedName>
    <definedName name="_xlnm._FilterDatabase" localSheetId="9" hidden="1">'Manual Indicators'!$A$1:$AQ$321</definedName>
    <definedName name="_xlnm._FilterDatabase" localSheetId="10" hidden="1">'Nutrition Portfolio'!$A$2:$AE$595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I3" i="4"/>
  <c r="H3" i="4"/>
  <c r="M2" i="4"/>
  <c r="L2" i="4"/>
  <c r="L3" i="4" s="1"/>
  <c r="K2" i="4"/>
  <c r="K3" i="4" s="1"/>
  <c r="J2" i="4"/>
  <c r="J3" i="4" s="1"/>
  <c r="I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 authorId="0" shapeId="0" xr:uid="{B8435B7F-8237-4D5D-A956-D39584DDECC6}">
      <text>
        <r>
          <rPr>
            <sz val="10"/>
            <color rgb="FF000000"/>
            <rFont val="Calibri"/>
            <family val="2"/>
            <scheme val="minor"/>
          </rPr>
          <t>if this one is deployed, it needs to be connected to the form and question created in the form
	-David Valenta</t>
        </r>
      </text>
    </comment>
    <comment ref="G1" authorId="0" shapeId="0" xr:uid="{DFB4FCA5-1A6F-49E7-9AF3-04A5C0C23FB0}">
      <text>
        <r>
          <rPr>
            <sz val="10"/>
            <color rgb="FF000000"/>
            <rFont val="Calibri"/>
            <family val="2"/>
            <scheme val="minor"/>
          </rPr>
          <t>Redo this one to USD one, using the crrency exchange
	-David Valenta</t>
        </r>
      </text>
    </comment>
    <comment ref="H1" authorId="0" shapeId="0" xr:uid="{99B2A65C-B08F-4ECD-8DB7-B602A1F5EDD2}">
      <text>
        <r>
          <rPr>
            <sz val="10"/>
            <color rgb="FF000000"/>
            <rFont val="Calibri"/>
            <family val="2"/>
            <scheme val="minor"/>
          </rPr>
          <t>Fill the currency values using the afdb exchange rates at the beginning of each year (starting 2021) to the sheet "Exchange Rates". January is used for the whole year for simplification.
	-David Valenta</t>
        </r>
      </text>
    </comment>
    <comment ref="AC1" authorId="0" shapeId="0" xr:uid="{7AD61F2F-7CF0-4484-B988-CEF7565A047F}">
      <text>
        <r>
          <rPr>
            <sz val="10"/>
            <color rgb="FF000000"/>
            <rFont val="Calibri"/>
            <family val="2"/>
            <scheme val="minor"/>
          </rPr>
          <t>This is a technical field used for the dashboard's calculations. Should always be 1 is the project exists
	-David Valenta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K1" authorId="0" shapeId="0" xr:uid="{3AF5C184-2F5C-4160-8049-68136554339E}">
      <text>
        <r>
          <rPr>
            <sz val="10"/>
            <color rgb="FF000000"/>
            <rFont val="Calibri"/>
            <family val="2"/>
            <scheme val="minor"/>
          </rPr>
          <t>The Key Sector classification of this project will be calculated using the sub-sector provided in the previous question. 
The sub-sectors starting with "A" are classified as "Agriculture"; starting with "E" as "WASH". Further, the sub-sectors starting with "IA" are classified as "Education"; starting with "IB" as "Health"; while the remaining sub-sectors starting with "I" are classified as "Social". All the remaining sub-sectors (starting with B, C, D, F, G, H, or K) are classified as "Other".
	-David Valenta</t>
        </r>
      </text>
    </comment>
    <comment ref="M1" authorId="0" shapeId="0" xr:uid="{6D8D00F9-4163-4DA3-A2C5-C105A534BACC}">
      <text>
        <r>
          <rPr>
            <sz val="10"/>
            <color rgb="FF000000"/>
            <rFont val="Calibri"/>
            <family val="2"/>
            <scheme val="minor"/>
          </rPr>
          <t>this information is now calculated
	-David Valenta</t>
        </r>
      </text>
    </comment>
    <comment ref="N1" authorId="0" shapeId="0" xr:uid="{D98805BC-F5FD-426C-9CA3-8A257F497D70}">
      <text>
        <r>
          <rPr>
            <sz val="10"/>
            <color rgb="FF000000"/>
            <rFont val="Calibri"/>
            <family val="2"/>
            <scheme val="minor"/>
          </rPr>
          <t>If reviewed manually and includes ADB or ADF funding, must include precise texts "African Development Bank" or "African Development Fund" respectively
	-David Valenta
Further, projects that do not have ADB or ADF as funding are not shown in the dashboard
	-David Valenta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C1" authorId="0" shapeId="0" xr:uid="{6ACE7B86-06EC-43BE-83FA-B9A6D6CD124A}">
      <text>
        <r>
          <rPr>
            <sz val="10"/>
            <color rgb="FF000000"/>
            <rFont val="Calibri"/>
            <family val="2"/>
            <scheme val="minor"/>
          </rPr>
          <t>This is a technical field used for the dashboard's calculations. Should always be 1 is the project exists
	-David Valenta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G1" authorId="0" shapeId="0" xr:uid="{FC2685CA-5618-4488-BDE6-FF01E6B64872}">
      <text>
        <r>
          <rPr>
            <sz val="10"/>
            <color rgb="FF000000"/>
            <rFont val="Calibri"/>
            <family val="2"/>
            <scheme val="minor"/>
          </rPr>
          <t>Only change the table on the right, do not change the one with calculations.
	-David Valenta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381D8985-F3B1-4A11-9F9F-075DD3D8C4B9}">
      <text>
        <r>
          <rPr>
            <sz val="10"/>
            <color rgb="FF000000"/>
            <rFont val="Calibri"/>
            <family val="2"/>
            <scheme val="minor"/>
          </rPr>
          <t>Country names should only be changed if such change is done consistently also in other data (project data, stunting data, ..)
	-David Valenta</t>
        </r>
      </text>
    </comment>
    <comment ref="D1" authorId="0" shapeId="0" xr:uid="{6E5C6886-9F0B-4516-8755-A547B35A4464}">
      <text>
        <r>
          <rPr>
            <sz val="10"/>
            <color rgb="FF000000"/>
            <rFont val="Calibri"/>
            <family val="2"/>
            <scheme val="minor"/>
          </rPr>
          <t>Sourced from WB data
	-David Valenta</t>
        </r>
      </text>
    </comment>
    <comment ref="E1" authorId="0" shapeId="0" xr:uid="{0EF8E5F1-1A6D-45FF-AD20-D8828D8DA92D}">
      <text>
        <r>
          <rPr>
            <sz val="10"/>
            <color rgb="FF000000"/>
            <rFont val="Calibri"/>
            <family val="2"/>
            <scheme val="minor"/>
          </rPr>
          <t>Information not shown in the dashboard
	-David Valenta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H1" authorId="0" shapeId="0" xr:uid="{0C95C258-EB20-4B14-9F9B-4B3D2B377679}">
      <text>
        <r>
          <rPr>
            <sz val="10"/>
            <color rgb="FF000000"/>
            <rFont val="Arial"/>
            <family val="2"/>
          </rPr>
          <t>The Key Sector classification of a project is calculated using the sub-sector provided in the previous question. 
If you wish to change it, change the sub-sector in the sheet form responses.
The sub-sectors starting with "A" are classified as "Agriculture"; starting with "E" as "WASH". Further, the sub-sectors starting with "IA" are classified as "Education"; starting with "IB" as "Health"; while the remaining sub-sectors starting with "I" are classified as "Social". All the remaining sub-sectors (starting with B, C, D, F, G, H, or K) are classified as "Other".
	-David Valenta</t>
        </r>
      </text>
    </comment>
    <comment ref="R1" authorId="0" shapeId="0" xr:uid="{C5E35D7B-28F2-4507-8588-8882A6E523F9}">
      <text>
        <r>
          <rPr>
            <sz val="10"/>
            <color rgb="FF000000"/>
            <rFont val="Arial"/>
            <family val="2"/>
          </rPr>
          <t>In case of 2015-19 data in UAC
	-David Valenta</t>
        </r>
      </text>
    </comment>
  </commentList>
</comments>
</file>

<file path=xl/sharedStrings.xml><?xml version="1.0" encoding="utf-8"?>
<sst xmlns="http://schemas.openxmlformats.org/spreadsheetml/2006/main" count="45143" uniqueCount="2398">
  <si>
    <t>Reviewed</t>
  </si>
  <si>
    <t>Do not include in the dashboard</t>
  </si>
  <si>
    <t>Counter</t>
  </si>
  <si>
    <t>Timestamp</t>
  </si>
  <si>
    <t>Email Address</t>
  </si>
  <si>
    <t>Project Name</t>
  </si>
  <si>
    <t>Project Code</t>
  </si>
  <si>
    <t>Approval Year</t>
  </si>
  <si>
    <t>Country</t>
  </si>
  <si>
    <t>Countries detail</t>
  </si>
  <si>
    <t>Sub-Sector</t>
  </si>
  <si>
    <t>Key Sector</t>
  </si>
  <si>
    <t>Key Sector OLD</t>
  </si>
  <si>
    <t>Source of Project Funding</t>
  </si>
  <si>
    <t>Project Budget Currency</t>
  </si>
  <si>
    <t>Project Budget (project currency)</t>
  </si>
  <si>
    <t>AfDB Contribution Currency</t>
  </si>
  <si>
    <t>Total ADB and ADF funding (project currency)</t>
  </si>
  <si>
    <t>Nutrition Intervention/Activity</t>
  </si>
  <si>
    <t>Information on Nutrition Intervention</t>
  </si>
  <si>
    <t>Nutrition goal/objectives</t>
  </si>
  <si>
    <t>Information on goal/objectives</t>
  </si>
  <si>
    <t>Nutrition Indicators</t>
  </si>
  <si>
    <t>Impact Indicators</t>
  </si>
  <si>
    <t>Impact Indicators Description</t>
  </si>
  <si>
    <t>Outcome Indicators</t>
  </si>
  <si>
    <t>Outcome Indicators Description</t>
  </si>
  <si>
    <t>Output Indicators</t>
  </si>
  <si>
    <t>Output Indicators Description</t>
  </si>
  <si>
    <t>Total Number of Nutrition Indicators</t>
  </si>
  <si>
    <t>Multi-sectoral Interventions</t>
  </si>
  <si>
    <t>Multi-sectoral Intervention Information</t>
  </si>
  <si>
    <t>Integrated Impact Pathway</t>
  </si>
  <si>
    <t>Integrated Impact Pathway Information</t>
  </si>
  <si>
    <t>Beneficiary Types</t>
  </si>
  <si>
    <t>Women Beneficiaries</t>
  </si>
  <si>
    <t>Children Beneficiaries</t>
  </si>
  <si>
    <t xml:space="preserve">Operational Instrument </t>
  </si>
  <si>
    <t>What is the project name?</t>
  </si>
  <si>
    <t>What is the project code?</t>
  </si>
  <si>
    <t>Which year was the project approved in?</t>
  </si>
  <si>
    <t xml:space="preserve">Which country is the project in? </t>
  </si>
  <si>
    <t>Which countries/region is the project in?</t>
  </si>
  <si>
    <t>Which sub-sector is the project classified in?</t>
  </si>
  <si>
    <t>Which Key Sector does the project belong to?</t>
  </si>
  <si>
    <t>Which currency is the project budget using? (If multiple currencies are available it is the most preferable to use the USD or the UAC.)</t>
  </si>
  <si>
    <t>What is the total project budget?</t>
  </si>
  <si>
    <t>Which currency is the AfDB (ADB/ADF) contribution denoted in? (If multiple currencies are available it is the most preferable to use the USD or the UAC.)</t>
  </si>
  <si>
    <t>What is the total amount of project budget funded from the African Development Bank (ADB) and/or the African Development Fund (ADF)?</t>
  </si>
  <si>
    <t>Does the project include nutrition activity or intervention?</t>
  </si>
  <si>
    <t>Please, provide a brief description of the nutrition, or nutrition-related, activity in this project</t>
  </si>
  <si>
    <t>Does the project include nutrition goal or objective?</t>
  </si>
  <si>
    <t>Please, provide a brief description of the nutrition goal/objective in this project</t>
  </si>
  <si>
    <t>Does the project include a nutrition indicator at any level?</t>
  </si>
  <si>
    <t>How many Nutrition Indicators does the project include on the IMPACT level?</t>
  </si>
  <si>
    <t>Please provide a brief description of the nutrition indicators on the impact level.</t>
  </si>
  <si>
    <t>How many Nutrition Indicators does the project include on the OUTCOME level?</t>
  </si>
  <si>
    <t>Please provide a brief description of the nutrition indicators on the outcome level.</t>
  </si>
  <si>
    <t>How many Nutrition Indicators does the project include on the OUTPUT level?</t>
  </si>
  <si>
    <t>Please provide a brief description of the nutrition indicators on the output level.</t>
  </si>
  <si>
    <t>Was a multisectoral nutrition intervention part of this project?</t>
  </si>
  <si>
    <t>Please, provide the name of the partner organization for the multisectoral intervention</t>
  </si>
  <si>
    <t>Does the project have a clearly defined, or implicit nutrition impact pathway?</t>
  </si>
  <si>
    <t>Please, provide a brief description of the nutrition impact pathway</t>
  </si>
  <si>
    <t>What type of beneficiaries did the project include?</t>
  </si>
  <si>
    <t>Did the project specifically target women?</t>
  </si>
  <si>
    <t>Did the project specifically target children?</t>
  </si>
  <si>
    <t>njabelvis@gmail.com</t>
  </si>
  <si>
    <t>ZIMBABWE -COVID-19 RESPONSE PROJECT (CRP)</t>
  </si>
  <si>
    <t>P-ZW-IB0-004</t>
  </si>
  <si>
    <t>Zimbabwe</t>
  </si>
  <si>
    <t>IB0 - Health</t>
  </si>
  <si>
    <t>Health</t>
  </si>
  <si>
    <t>African Development Fund, Other</t>
  </si>
  <si>
    <t>UAC</t>
  </si>
  <si>
    <t>Yes</t>
  </si>
  <si>
    <t>Improve on hand-washing and health facilities</t>
  </si>
  <si>
    <t>To contribute to limiting the morbidity and the mortality rates related to COVID-19 in Zimbabwe through the strengthening of the health system to effectively respond to the COVID-19 pandemic</t>
  </si>
  <si>
    <t>NA</t>
  </si>
  <si>
    <t>1. Percentage increase  (from 25% to 75%) of targeted households with access to handwashing facilities</t>
  </si>
  <si>
    <t>1. Number of poor households supplied with hygiene kits</t>
  </si>
  <si>
    <t>No</t>
  </si>
  <si>
    <t>Social: Access to hand washing facilities</t>
  </si>
  <si>
    <t>Communities</t>
  </si>
  <si>
    <t>Budget Support Project</t>
  </si>
  <si>
    <t>SUPPORT PROJECT FOR G5 SAHEL MEMBER COUNTRIES TO COMBAT THE CORONAVIRUS (COVID-19) PANDEMIC</t>
  </si>
  <si>
    <t>P-ZI-IBE-021</t>
  </si>
  <si>
    <t>Multinational</t>
  </si>
  <si>
    <t>Burkina Faso, Mali, Mauritania, Nigeria and Chad</t>
  </si>
  <si>
    <t>IBE - Disease Control</t>
  </si>
  <si>
    <t>African Development Fund, Trust Funds</t>
  </si>
  <si>
    <t>Provide food and nutrition assistance to 1.2 million  people</t>
  </si>
  <si>
    <t>To enhance the resilience of food and nutrition systems</t>
  </si>
  <si>
    <t>1. Increase in the number of people with effective access to information, messages on prevention and access to basic services (i.e. Access to Agricultural inputs/feed and hand washing kits)</t>
  </si>
  <si>
    <t xml:space="preserve">1. Agropastoralists, including IDPs and refugees, assisted to access agricultural inputs/feed (% women)
2. Drinking water production equipment procured and installed(number of equipment)
3. Households equipped with hand washing kits (Increase number of households)
4. Poor and vulnerable households receiving emergency food and nutrition assistance(Increase number of households)
</t>
  </si>
  <si>
    <t>UNHCR, WHO and Ministry of Health</t>
  </si>
  <si>
    <t>Social: Access to food and nutrition assistance</t>
  </si>
  <si>
    <t>PORTO INGLES AND PALMEIRA PORTS MODERNISATION AND EXPANSION PROJECT</t>
  </si>
  <si>
    <t>P-CV-DD0-005</t>
  </si>
  <si>
    <t>Cabo Verde</t>
  </si>
  <si>
    <t>D** - Transport</t>
  </si>
  <si>
    <t>Other</t>
  </si>
  <si>
    <t>Others</t>
  </si>
  <si>
    <t>African Development Bank, Other</t>
  </si>
  <si>
    <t>EUR</t>
  </si>
  <si>
    <t xml:space="preserve">Processing of seafood and dairy products </t>
  </si>
  <si>
    <t>Improving the production, processing and conservation of seafood (fish and iodized salt) and livestock products (milk and cheese)</t>
  </si>
  <si>
    <t>1. Percentage of the volume of fish, cheese and salt that is unsold or sold off at cheap prices per year</t>
  </si>
  <si>
    <t>1. Salt mining in Maio, 550 m of wire mesh fence constructed; salt iodization equipment provided
2. Freezing/refrigeration equipment procured for the processing of milk into cheese in Maio.</t>
  </si>
  <si>
    <t>Agriculture: Availability of storage and processing facilities for agro-industry</t>
  </si>
  <si>
    <t>Investment Project</t>
  </si>
  <si>
    <t>SUPPORT PROGRAMME FOR COVID-19 RESPONSE THROUGH SOCIAL INCLUSION AND EMPLOYMENT</t>
  </si>
  <si>
    <t>P-TN-I00-012</t>
  </si>
  <si>
    <t>Tunisia</t>
  </si>
  <si>
    <t>I00 - Social</t>
  </si>
  <si>
    <t>Social</t>
  </si>
  <si>
    <t>African Development Bank</t>
  </si>
  <si>
    <t>Distributing food to persons with special needs and the elderly.</t>
  </si>
  <si>
    <t>Build the resilience of the health and social protection system and support preventive mechanisms against vulnerability</t>
  </si>
  <si>
    <t>1. Number of individuals benefitting from the exceptional aid to households (Supply 60,000 food packages to vulnerable persons)</t>
  </si>
  <si>
    <t>Social: Access to food packages to reducing food insecurity</t>
  </si>
  <si>
    <t>Population</t>
  </si>
  <si>
    <t xml:space="preserve"> COVID-19 CRISIS RESPONSE BUDGET SUPPORT PROGRAMME</t>
  </si>
  <si>
    <t>P-MU-K00-008</t>
  </si>
  <si>
    <t>Mauritius</t>
  </si>
  <si>
    <t>K00 - Multi-Sector</t>
  </si>
  <si>
    <t>USD</t>
  </si>
  <si>
    <t>Improve food security by distributing food pack to vulnerable groups</t>
  </si>
  <si>
    <t>To protect livelihoods, income security, and access to essential goods and services</t>
  </si>
  <si>
    <t>1. Increased number of Social Protection schemes beneficiaries (vulnerable household receiving food pack).</t>
  </si>
  <si>
    <t>1. Increased budget allocation to social protection (Access to food and health services)
2. Increased post-COVID production of agricultural crops (production of local food crops)</t>
  </si>
  <si>
    <t xml:space="preserve">Social: Access to food </t>
  </si>
  <si>
    <t>Household</t>
  </si>
  <si>
    <t>COVID-19 RESPONSE SUPPORT PROGRAMME</t>
  </si>
  <si>
    <t>P-CI-KA0-011</t>
  </si>
  <si>
    <t>Côte d'Ivoire</t>
  </si>
  <si>
    <t xml:space="preserve">KA0 - Public Sector Management
</t>
  </si>
  <si>
    <t>African Development Bank, African Development Fund, Other</t>
  </si>
  <si>
    <t>Supply food kits to vulnerable households</t>
  </si>
  <si>
    <t>Strengthening the resilience and support of vulnerable households</t>
  </si>
  <si>
    <t xml:space="preserve">1. Increased number of vulnerable households benefiting from free water bill </t>
  </si>
  <si>
    <t>1. Establishment of a support fund for producers in the food, vegetable and fruit sectors
2. Increased number of food kits distributed to vulnerable children.</t>
  </si>
  <si>
    <t>Social: Support fund for increased production of food, vegetable and fruits</t>
  </si>
  <si>
    <t>COVID-19 EMERGENCY RESPONSE SUPPORT PROGRAM (ERSP)</t>
  </si>
  <si>
    <t>P-KE-K00-007</t>
  </si>
  <si>
    <t>Kenya</t>
  </si>
  <si>
    <t>To enhance ability of the poor and the vulnerable to cope with the impact of the pandemic</t>
  </si>
  <si>
    <t>1. Increased percentage of vulnerable individuals covered by social safety nets (i.e. safe drinking water)</t>
  </si>
  <si>
    <t>1. Protocols and guidelines for water supply and provision of sanitation services</t>
  </si>
  <si>
    <t>COVID-19 RESPONSE SUPPORT PROGRAMME (PARC-19)</t>
  </si>
  <si>
    <t>P-MA-K00-021</t>
  </si>
  <si>
    <t>Morocco</t>
  </si>
  <si>
    <t xml:space="preserve"> </t>
  </si>
  <si>
    <t>EMERGENCY COVID-19 RESPONSE SUPPORT PROGRAMME (PUARC)</t>
  </si>
  <si>
    <t>P-SN-K00-013</t>
  </si>
  <si>
    <t>Senegal</t>
  </si>
  <si>
    <t>Improve food security by providing food kits to vulnerable households</t>
  </si>
  <si>
    <t>To support social response of vulnerable households</t>
  </si>
  <si>
    <t>1. Increased number of households benefiting from food kits distribution
2. Increased number of households benefiting from water bills</t>
  </si>
  <si>
    <t>Social: Access to food kits to improved food security</t>
  </si>
  <si>
    <t>Households</t>
  </si>
  <si>
    <t>COVID-19 CRISIS RESPONSE BUDGET SUPPORT PROGRAM</t>
  </si>
  <si>
    <t>P-SC-K00-015</t>
  </si>
  <si>
    <t>Seychelles</t>
  </si>
  <si>
    <t>Strategy to strengthen agriculture and fisheries for increased in local food production.</t>
  </si>
  <si>
    <t>Food security to ensure sustenance during the crisis by providing input and output services to farmers and fishers.</t>
  </si>
  <si>
    <t>1. Increased number of vulnerable population covered by social safety nets (i.e. buying food and paying water bills)</t>
  </si>
  <si>
    <t>1. Increased budget allocation for social assistance programs (Development of a community engagement strategy for hygiene and behavior change promotion)
2. Existence of strategy to strengthen agriculture and fisheries for local production and resilience developed.</t>
  </si>
  <si>
    <t>Agriculture: Agricultural productivity of food</t>
  </si>
  <si>
    <t>njabelvis@gmal.com</t>
  </si>
  <si>
    <t>BUDGET SUPPORT PROGRAMME IN RESPONSE TO THE COVID-19 CRISIS (PABURC)</t>
  </si>
  <si>
    <t>P-GA-K00-013</t>
  </si>
  <si>
    <t>Gabon</t>
  </si>
  <si>
    <t>Ensuring consumer access to good quality food</t>
  </si>
  <si>
    <t>Stabilisation of the incomes of vulnerable households by maintaining purchasing power, distributing food aid and providing effective social protection.</t>
  </si>
  <si>
    <t>1. Number of households receiving food aid
2. preparation of procedures manual on monitoring mechanisms for the distribution of food kits to vulnerable communities
3. Updating databases on vulnerable communities to access Food Bank
4. Increased recruitment of volunteers for food aid distribution.</t>
  </si>
  <si>
    <t>Social: Access to food kits</t>
  </si>
  <si>
    <t>TO SUPPORT THE COVID-19 PANDEMIC RESPONSE PROJECT</t>
  </si>
  <si>
    <t>P-SS-I00-002</t>
  </si>
  <si>
    <t>South Sudan</t>
  </si>
  <si>
    <t>African Development Fund</t>
  </si>
  <si>
    <t>1. Increased of home care kit distributed(hand washing)</t>
  </si>
  <si>
    <t>COVID-19 RESPONSE SUPPORT PROGRAM</t>
  </si>
  <si>
    <t>P-NG-KA0-006</t>
  </si>
  <si>
    <t>Nigeria</t>
  </si>
  <si>
    <t>Food distribution to vulnerable households</t>
  </si>
  <si>
    <t>Protecting vulnerable households’ livelihoods from the adverse impact of the pandemic</t>
  </si>
  <si>
    <t>1. Increased food distribution to vulnerable households</t>
  </si>
  <si>
    <t>Social: Access to food aid</t>
  </si>
  <si>
    <t>COVID-19 RESPONSE IN EAST AFRICA, THE HORN OF AFRICA AND UNION OF THE COMOROS</t>
  </si>
  <si>
    <t>Burundi, Comoros, Djibouti, Eritrea, Ethiopia, Kenya, Rwanda, Uganda, Tanzania, Seychelles, Somalia, South Sudan and Sudan.</t>
  </si>
  <si>
    <t>To contribute to the reduction of infection incidence and mortality in the East and Horn of African region arising from COVID-19 Pandemic</t>
  </si>
  <si>
    <t>WHO, KfW and GIZ</t>
  </si>
  <si>
    <t>COVID-19 CRISIS RESPONSE BUDGET SUPPORT PROGRAM (ECRBS)</t>
  </si>
  <si>
    <t>P-ET-K00-016</t>
  </si>
  <si>
    <t>Ethiopia</t>
  </si>
  <si>
    <t>Developing an education response plan to school feeding program.</t>
  </si>
  <si>
    <t>To increased social protection coverage to mitigate the impact of the pandemic on the most vulnerable</t>
  </si>
  <si>
    <t>1. Food distribution guidelines for Humanitarian Relief Programs revised and implemented.</t>
  </si>
  <si>
    <t>Social: Development of food distribution guideline</t>
  </si>
  <si>
    <t>COVID-19 CRISIS RESPONSE SUPPORT PROGRAM</t>
  </si>
  <si>
    <t>P-CV-K00-016</t>
  </si>
  <si>
    <t>Food assistance schemes for vulnerable</t>
  </si>
  <si>
    <t>To improve health and social responses to ease the impact on the most vulnerable</t>
  </si>
  <si>
    <t>1. Increased Creation of a Solidarity Income and food assistance schemes for vulnerable (including women)</t>
  </si>
  <si>
    <t>Social: Creation of a solidarity income and food assistance schemes</t>
  </si>
  <si>
    <t>COVID-19 CRISIS RESPONSE BUDGET SUPPORT PROGRAMME (PABRC)</t>
  </si>
  <si>
    <t>P-CM-K00-010</t>
  </si>
  <si>
    <t>Cameroon</t>
  </si>
  <si>
    <t>Diversifying of Agricultural production (poultry, fish, seeds and cereals)</t>
  </si>
  <si>
    <t>To save lives by mitigating its adverse socioeconomic effects on the country, particularly on households and businesses.</t>
  </si>
  <si>
    <t>1. Increased in number of vulnerable households covered by social safety nets (Activating the early warning system that provides information on food availability)
2. Agricultural and livestock-sector enterprises benefiting from inputs (diversification of agricultural products)
3. Resellers of foodstuffs benefiting from the exemption for the 2nd quarter 2020, the withholding and municipal taxes (including at least 30% of women)</t>
  </si>
  <si>
    <t>Agriculture: Agricultural productivity and food diversification</t>
  </si>
  <si>
    <t>TRIPARTITE CAPACITY BUILDING PROGRAMME, PHASE II</t>
  </si>
  <si>
    <t>P-Z1-KZ0-040</t>
  </si>
  <si>
    <t>Angola, Botswana, Burundi, Comoros, Democratic Republic of Congo, Djibouti, Egypt, Eswatini, Eritrea, Ethiopia, Kenya, Lesotho, Libya, Madagascar, Malawi, Mauritius, Mozambique, Namibia, Rwanda, Seychelles, Somalia, South Africa, South Sudan, Sudan, Tanzania, Tunisia, Uganda, Zambia, Zimbabwe.</t>
  </si>
  <si>
    <t>K** - Multi-Sector</t>
  </si>
  <si>
    <t>Countries</t>
  </si>
  <si>
    <t xml:space="preserve"> PROPOSAL FOR A GRANT OF USD 2 MILLION FOR EMERGENCY ASSISTANCE TO SUPPORT COVID-19 RESPONSE IN AFRICAN COUNTRIES</t>
  </si>
  <si>
    <t>P-Z1-IBE-018</t>
  </si>
  <si>
    <t>African Countries</t>
  </si>
  <si>
    <t>Special Relief Fund</t>
  </si>
  <si>
    <t>SRF</t>
  </si>
  <si>
    <t>njabelvis@gamil.com</t>
  </si>
  <si>
    <t xml:space="preserve">Proposal for A Grant of USD 0.5 Million For an Emergency Humanitarian Relief Assistance AMIDST COVID-19 </t>
  </si>
  <si>
    <t>P-EG-AAB-009</t>
  </si>
  <si>
    <t>Egypt</t>
  </si>
  <si>
    <t>AA0 - Agriculture</t>
  </si>
  <si>
    <t>Agriculture</t>
  </si>
  <si>
    <t>Provide Food packages to vulnerable households of informal workers</t>
  </si>
  <si>
    <t>To improve the availability of and access to food for targeted beneficiaries affected by COVID-19</t>
  </si>
  <si>
    <t>1. Increased No of households assisted with food package for at least one month</t>
  </si>
  <si>
    <t>1. Increased No. of households that receive food packages</t>
  </si>
  <si>
    <t>Social: Access to food package</t>
  </si>
  <si>
    <t>Approved-Multinational-Feasibility Study for the proposed Standard Gauge Railway (SGR) connecting Ethiopia and Sudan</t>
  </si>
  <si>
    <t>P-Z1-DC0-027</t>
  </si>
  <si>
    <t>Ethiopia and Sudan</t>
  </si>
  <si>
    <t>Support to The Covid-19 Pandemic Crisis Response in the SADC Region and Sao Tome and Principe</t>
  </si>
  <si>
    <t>P-Z1-IBE-022</t>
  </si>
  <si>
    <t>Lesotho, Madagascar, Malawi, Mozambique, Zambia, Zimbabwe and Sao Tome &amp; Principe</t>
  </si>
  <si>
    <t>To save lives and protect livelihoods</t>
  </si>
  <si>
    <t>EXCEPTIONAL EMERGENCY PROGRAMME TO SUPPORT LOW INCOME ECOWAS MEMBER COUNTRIES AND STRENGTHEN THE HEALTH SYSTEMS OF THE GAMBIA, MALI AND NIGER TO COMBAT THE COVID-19 PANDEMIC</t>
  </si>
  <si>
    <t>P-Z1-IBE-020</t>
  </si>
  <si>
    <t>Gambia, Mali and Niger</t>
  </si>
  <si>
    <t>PROJECT TO SUPPORT MEMBER STATES OF THE CENTRAL AFRICAN ECONOMIC AND MONETARY COMMUNITY (CEMAC) AND THE DEMOCRATIC REPUBLIC OF CONGO (DRC) TO FIGHT THE COVID-19 PANDEMIC</t>
  </si>
  <si>
    <t>P-ZI-IB0-031</t>
  </si>
  <si>
    <t>Cameroon, Chad, Central African Republic, Equatorial Guinea, Gabon, Congo and DRC</t>
  </si>
  <si>
    <t>Distribution of food and hand washing kits</t>
  </si>
  <si>
    <t>To improve the technical and operational capacity of national health institutions and build the people’s resilience</t>
  </si>
  <si>
    <t>1. Increased number of food kits offered to households
2. Increased number of WASH kits offered to communities</t>
  </si>
  <si>
    <t>WHO, OCEAC and Health Ministries.</t>
  </si>
  <si>
    <t>Social: Access to improved food and sanitation facilities.</t>
  </si>
  <si>
    <t>Muvumba Multipurpose Water Resources Development Program</t>
  </si>
  <si>
    <t>P-RW-EA0-015</t>
  </si>
  <si>
    <t>Rwanda</t>
  </si>
  <si>
    <t>E00 - Water Sup/Sanit</t>
  </si>
  <si>
    <t>WASH</t>
  </si>
  <si>
    <t>Supporting access to safe water and sanitation to maximize benefits in reducing stunting and malnutrition.</t>
  </si>
  <si>
    <t>To improve water, energy, food and nutrition security by harnessing water resources for irrigation, domestic, livestock use and hydropower generation,</t>
  </si>
  <si>
    <t>1. Provision of quality water supply and sanitation services that increase woman’s time for caregiving, reduce gastrointestinal diseases and chronic gut infections;
2. Promotion of good hygiene practices and sanitation though social behaviour change communication (SBCC) and nutrition education;
3. Improved food and nutrition security as a result of increased productivity of agriculture and livestock;</t>
  </si>
  <si>
    <t>Ministry of Health and UNICEF WASH units developed the existing SBCC materials.</t>
  </si>
  <si>
    <t>WASH: Directly contributes to the outcome of increased household’s access to water and energy.</t>
  </si>
  <si>
    <t>Project to Improve the Livelihoods of Smallholders and Women in the N’ZI Region (PREMOPEF)</t>
  </si>
  <si>
    <t>P-CI-AA0-034</t>
  </si>
  <si>
    <t>A00 - Agriculture</t>
  </si>
  <si>
    <t>Promoting resilient and sustainable production systems as well as products with high nutritional value.</t>
  </si>
  <si>
    <t>To improve food and nutrition security and resilience to the effects of climate change for smallholders, women and youth in the N’zi region.</t>
  </si>
  <si>
    <t>1. Food insecurity prevalence rate in N’zi region reduces from 28% to 20% by 2030. 
2. Stunting rate in under-5 children will reduce from 21.6% to 16% by 2030</t>
  </si>
  <si>
    <t>1. Nutrition education for households and educational structures.
2. Support for small agricultural enterprises run by young people and women, including agricultural product processing.</t>
  </si>
  <si>
    <t xml:space="preserve">1. Number of producers who receive support to improve productivity through climate-resilient agriculture
2. Sensitisation, nutrition education, cooking demonstrations and radio broadcasts involving men and women(% of people).
</t>
  </si>
  <si>
    <t>Agriculture: Facilitating access to the supply of agricultural services (mechanisation, transport and processing), and the marketing of agricultural products.</t>
  </si>
  <si>
    <t>Africa Disaster Risk Financing Programme</t>
  </si>
  <si>
    <t xml:space="preserve">P-MR-A00-003 </t>
  </si>
  <si>
    <t>Mauritania</t>
  </si>
  <si>
    <t>In support to  malnutrition reduction, the project is promoting child and maternal nutrition, with target on the most vulnerable groups.</t>
  </si>
  <si>
    <t>To improve the country's food security.</t>
  </si>
  <si>
    <t>1. Number of households benefiting from social measures to maintain purchasing power (including 30% of women-headed household); 1000000 Household by 2021.</t>
  </si>
  <si>
    <t>1. Monitoring of the food situation
2. Design of a strategy to finance the management of food and nutrition security shocks</t>
  </si>
  <si>
    <t>WFP and UNDP</t>
  </si>
  <si>
    <t>Agriculture: Promotion of Agricultural Insurance and Micro-insurance  for food crisis prevention and management</t>
  </si>
  <si>
    <t>Africa Disaster Risks Financing Programme (ADRiFi)</t>
  </si>
  <si>
    <t>P-NE-A00-008</t>
  </si>
  <si>
    <t>Niger</t>
  </si>
  <si>
    <t>Strengthening the capacity for food production, thus contributing to the reduction of vulnerability, food insecurity and poverty.</t>
  </si>
  <si>
    <t>1. Surveys monitoring the food situation in the country’s 8 regions
2. Design of a strategy to finance the management of food and nutrition security shocks</t>
  </si>
  <si>
    <t>Agriculture: Strengthening the national capacity for food production (Agricultural Productivity)</t>
  </si>
  <si>
    <t>Vulnerable population</t>
  </si>
  <si>
    <t>Support Programme in Response to the COVID-19 Crisis (PABRC)</t>
  </si>
  <si>
    <t>P-CD-K00-012</t>
  </si>
  <si>
    <t>Democratic Republic of the Congo</t>
  </si>
  <si>
    <t>African Development Fund, Trust Funds, Other</t>
  </si>
  <si>
    <t>Distribution of food kits to 700,000 vulnerable households  in Greater Kinshasa and in the 6 most affected provinces 
of the country</t>
  </si>
  <si>
    <t>1. Nutrition of households benefiting from social measures to maintain purchasing power (including 30% of women-headed household); 1000000 Household by 2021.</t>
  </si>
  <si>
    <t>1. Vulnerable households for which the State pays electricity and water bills from 0 to 1000000 from march to october
2. Number of household beneficiaries of food aid 1700000 from August</t>
  </si>
  <si>
    <t>Social: Establishment of a food aid selection and distribution mechanism for registered vulnerable individuals and households</t>
  </si>
  <si>
    <t>Covid-19 Crisis Response Budget Support Program (TCRBSP)</t>
  </si>
  <si>
    <t>P-TZ-K00-016</t>
  </si>
  <si>
    <t>Tanzania</t>
  </si>
  <si>
    <t>Productive Social Safety Net (PSSN) program which is enabling children  get good nutrition, education and health services.</t>
  </si>
  <si>
    <t>1. Approval of a one-year humanitarian cash transfer under the Productive Social Safety Nets Program (PSSN) to 300,000 affected by COVID-19 persons enabling children to get good nutrition, education and health services.</t>
  </si>
  <si>
    <t>Soical: Access to Social Safety Net program</t>
  </si>
  <si>
    <t>Social Protection Improvement Support Programme – Covid-19 Additional Financing</t>
  </si>
  <si>
    <t>P-MA-I00-016</t>
  </si>
  <si>
    <t>Covid-19 Crisis Response Budget Support Programme For the Union of The Comoros (PABRC)</t>
  </si>
  <si>
    <t>P-KM-K00-009</t>
  </si>
  <si>
    <t>Comoros</t>
  </si>
  <si>
    <t>Distribution of food aid to vulnerable individuals and households</t>
  </si>
  <si>
    <t>To help build  the resilience of the most vulnerable populations and the program is aligned to malnutrition rate</t>
  </si>
  <si>
    <t>1. Numer households benefiting from social safety nets have increased from 4,217 in 2019 of 50% waomen to 14,217 in 2020 of 60% women. Ten thousand households, 3,000 of them headed by women, are expected to receive food kit</t>
  </si>
  <si>
    <t xml:space="preserve">1. Ten thousand households, 3,000 of them headed by women, will receive food kits;
2. Opening of 4 suitably equipped isolation sites (tents, beds, hand-washing facilities)
</t>
  </si>
  <si>
    <t>Ministry of Health and World Health Organisation (WHO)</t>
  </si>
  <si>
    <t>Social: Access to food kits.</t>
  </si>
  <si>
    <t>Emergency Response Support Programme (COVID-19  ERSP)</t>
  </si>
  <si>
    <t>P-SD-K00-007</t>
  </si>
  <si>
    <t>Sudan</t>
  </si>
  <si>
    <t>Agriculture and Livestock Value Chains Sustainable Development Support Project (PADCAE-B)</t>
  </si>
  <si>
    <t>P-BI-A00-008</t>
  </si>
  <si>
    <t>Burundi</t>
  </si>
  <si>
    <t>Supporting crop diversification and promotion of high nutritional value crops,</t>
  </si>
  <si>
    <t>To contribute to the sustainable improvement of food and nutrition security .</t>
  </si>
  <si>
    <t>1. Contribute to strengthen food and nutrition security</t>
  </si>
  <si>
    <t>1. Percentage increase in food crop (yield/ha), animal (kg) and fish-farming production and output</t>
  </si>
  <si>
    <t>1. Strengthening of community food nutrition hygiene surveillance (% of children detected and monitored from 0 to 100%)
2. Percentage (%) of beneficiary farmers using certified seeds and fertilisers (56% of them women) from 0 to 100%</t>
  </si>
  <si>
    <t>Agriculture: Crop diversification and promotion of high nutritional value crops.</t>
  </si>
  <si>
    <t>Agricultural Markets, Value Addition and Trade Development Project (AMVAT)</t>
  </si>
  <si>
    <t>P-SS-AAZ-001</t>
  </si>
  <si>
    <t>Supporting increased productivity of nutritious food crops.</t>
  </si>
  <si>
    <t>Contribute to reduced food insecurity, poverty reduction and building of community and household resilience.</t>
  </si>
  <si>
    <t>1. Average yield (T/Hectare) for target crops and Average household income per 1.5 ha farm from $422 in 2020 and $673 in 2025
2. Increase in volume of food products tested and certified in laboratories in the project areas from 0.5 t/year to 100 t/year.</t>
  </si>
  <si>
    <t>1. Food testing mini laboratories and testing service facilities equipped (Food safety training)</t>
  </si>
  <si>
    <t>Agriculture Organization (FAO) of the United Nations will implement the project and JICA for Capacity development.</t>
  </si>
  <si>
    <t>Agriculture: Improving the health and nutrition of the communities through increased productivity of nutritious food crops.</t>
  </si>
  <si>
    <t>Vocational and Technical Education Development Support Project (PADEFPT)</t>
  </si>
  <si>
    <t>P-NE-IA0-007</t>
  </si>
  <si>
    <t>Providing drinking water to schools</t>
  </si>
  <si>
    <t>1. 10% increase in drinking water</t>
  </si>
  <si>
    <t>UNDP, Ministry of Planning and  Ministry of TVET</t>
  </si>
  <si>
    <t>WASH: Access to drinking water in schools.</t>
  </si>
  <si>
    <t xml:space="preserve">Africa Centres for Disease Control and Prevention (CDC) COVID-19 Response </t>
  </si>
  <si>
    <t>P-Z1-IBE-023</t>
  </si>
  <si>
    <t>Africa Union Commission/ Africa CDC</t>
  </si>
  <si>
    <t>Resilience, Food and Nutrition Security Support Project in Kemo and Ouaka Prefectures (PARSANKO)</t>
  </si>
  <si>
    <t>P-CF-AA0-010</t>
  </si>
  <si>
    <t>Central African Republic</t>
  </si>
  <si>
    <t>Promoting nutrition, improving access to drinking water, health and employment pportunity, especially for young people and women.</t>
  </si>
  <si>
    <t>To contribute to improving the food and nutrition security of the rural population in Kémo and Ouaka Prefectures.</t>
  </si>
  <si>
    <t>1. Prevalence of severe acute malnutrition in children aged 6-59 months, reduces from 2.15% to 2% by 2030 2. Rate of severe food insecurity reduces from 35% to 25% by 2030</t>
  </si>
  <si>
    <t>1. Additional drinking water supply rate increases by 20% in 10000 household
2. Dietary diversity score for children (%) from 24% to 45%</t>
  </si>
  <si>
    <t xml:space="preserve">
1. Number of schools/pupils (40% of them girls) benefiting from school canteens
2. Number of drinking water points constructed by 200</t>
  </si>
  <si>
    <t>FAO, WFP, OCHA, UNICEF and Government</t>
  </si>
  <si>
    <t>Agriculture: Improvement of food security by increasing and diversifying agricultural production and improving nutrition control.</t>
  </si>
  <si>
    <t>Governance and Economic Recovery Support Program (GERSP)</t>
  </si>
  <si>
    <t>P-NA-K00-004</t>
  </si>
  <si>
    <t>Namibia</t>
  </si>
  <si>
    <t>1. Social protection coverage: Food bank initiative, designed to help the poorest in society (76,818 food bank)</t>
  </si>
  <si>
    <t>GIZ, Ministry of Industrialization and Trade</t>
  </si>
  <si>
    <t>Agriculture: Agricultural productivity and transformation.</t>
  </si>
  <si>
    <t>Multi-Sectoral Approach for Stunting Reduction Project (MASREP)</t>
  </si>
  <si>
    <t>P-ET-IBZ-001</t>
  </si>
  <si>
    <t>IBZ - MuttiHealSubSec</t>
  </si>
  <si>
    <t>Increase production and consumption of diverse and nutritious food</t>
  </si>
  <si>
    <t>Increase access to multi-sectoral nutrition services for children under-five years in Seqota Declaration areas</t>
  </si>
  <si>
    <t>Prevalence of stunting among children under 5 reduces (% Female)</t>
  </si>
  <si>
    <t xml:space="preserve">1. Households that have access to safe and clean drinking water (at least 20%FHH) from 38% to 45% by 2025
2. Household Head in target woredas producing nutrient dense crops (at least 20% FHH) from 1.4 to 10% by 2025
3. Children 6-23 months receiving Minimum Dietary Diversity (MDD) (50%F) from 0.65% to 10% by 2025
4. Pregnant and Lactating Women (PLW) consuming a diverse diet from 10% to 20% by 2025
</t>
  </si>
  <si>
    <t>1. Number of Woredas implementing the Unified Nutrition Information System for Ethiopia (UNISE) increases from 13 to 40 by 2025
2. Water Sanitation and Hygiene Committee (WaSHCO)/Water User group members trained (50% women) from 20.803 to 233.415
3. Community leaders and frontline workers trained in nutrition and SBCC (At least 50% women) from 71.284 to 82.610
4. Schools equipped with school feeding structures/facilities from 9 to 18
5. Constructed/ rehabilitated community water supply schemes
6. School children benefiting from nutrition friendly schools (combining school garden, school meal, nutrition clubs) (50% F) from 116.668 to 235.668</t>
  </si>
  <si>
    <t>WASH: Improved access to water supply and nutritious foods.
Agriculture: Improved diversification and production of nutritious foods</t>
  </si>
  <si>
    <t>Economic Governance and Investment Management Support (PA2GI)</t>
  </si>
  <si>
    <t>P-MR-KF0-003</t>
  </si>
  <si>
    <t>KF0 - Institutional Support</t>
  </si>
  <si>
    <t>Project to Support the Empowerment and Financial Inclusion of Women and Youths in The Cashew, Fruit and Vegetable Sectors (PAIFJ)</t>
  </si>
  <si>
    <t>P-GW-I00-007</t>
  </si>
  <si>
    <t>Guinea-Bissau</t>
  </si>
  <si>
    <t>Reinforcement of managerial and technical capacities (product processing, food technology, nutritional quality and diversity, labeling, management, maintenance, functional literacy, family planning),</t>
  </si>
  <si>
    <t xml:space="preserve">1. Number of women trained in cashew, fruit and vegetable processing from 0 to 1000 by 2026
2. Number of cooperatives and MSEs with equipment for the processing of agricultural products; from 0 to 100 by 2026
</t>
  </si>
  <si>
    <t>Education: Agricultural transformation training</t>
  </si>
  <si>
    <t>Smallholder Agriculture Development for Food and Nutrition Security (SADFONS)</t>
  </si>
  <si>
    <t>P-LR-AA0-010</t>
  </si>
  <si>
    <t>Liberia</t>
  </si>
  <si>
    <t>Improving farmers awareness, production and consumption of diverse nutritious foods, especially among nutritionally vulnerable groups.</t>
  </si>
  <si>
    <t>To improve food and nutrition security and reduce poverty of targeted rural population in Liberia</t>
  </si>
  <si>
    <t>1. Stunting amongst children under five from 32.1 to 28%</t>
  </si>
  <si>
    <t xml:space="preserve">1. Number of people receiving improved nutrition training 30,000(school children) (50% women)
2. Number persons trained in nutrition enhancing activities, products and services 13,000(60 % women)
3. Food safety policy frameworks developed/ updated
</t>
  </si>
  <si>
    <t>FAO, EU, IFAD, USAID UN Women and Ministry of Agriculture</t>
  </si>
  <si>
    <t xml:space="preserve">Agriculture: Production and diversification of nutritious foods.
Education: Access to nutrition training </t>
  </si>
  <si>
    <t>Vulnerable Youth Employability and Socio-Economic Integration Support Project</t>
  </si>
  <si>
    <t>P-MR-I00-003</t>
  </si>
  <si>
    <t>Competitiveness and Economic Recovery Support Programme (CERSP)</t>
  </si>
  <si>
    <t>P-KE-K00-004</t>
  </si>
  <si>
    <t>Program to Support Resource Mobilization and Reform effectiveness, Resource Mobilisation and Reform Effectiveness Support Programme - Phase II (PAMRER) Phase II</t>
  </si>
  <si>
    <t>P-SN-KA0-016</t>
  </si>
  <si>
    <t>KA0 - Public Sector Management</t>
  </si>
  <si>
    <t>Distribution of food</t>
  </si>
  <si>
    <t>1. Increase number of food aid distribution in households</t>
  </si>
  <si>
    <t>Social: Access to food Aid</t>
  </si>
  <si>
    <t>Supplemental Financing of the Lesotho Tax Modernization Project (LTMP)</t>
  </si>
  <si>
    <t>P-LS-KF0-004</t>
  </si>
  <si>
    <t>Lesotho</t>
  </si>
  <si>
    <t>Government</t>
  </si>
  <si>
    <t>Africa Disaster Risk Financing (ADRiFi) Programme</t>
  </si>
  <si>
    <t>P-SD-AA0-008</t>
  </si>
  <si>
    <t>Food distribution</t>
  </si>
  <si>
    <t>1. Increase in social safety Net like; food distribution, school feeding, water or food vouchers.</t>
  </si>
  <si>
    <t>UNDP, WFP, and UNOCHA</t>
  </si>
  <si>
    <t>Social: Access to Social Safety Net</t>
  </si>
  <si>
    <t>Governance and Economic Reforms Support Program (GERSP)</t>
  </si>
  <si>
    <t>P-SC-K00-022</t>
  </si>
  <si>
    <t>Productivity Enhancement Support to the Integrated Agro-Industrial Parks and Youth Employment (PESAPYE) - Revised Version</t>
  </si>
  <si>
    <t>P-ET-AA0-018</t>
  </si>
  <si>
    <t>Improved food and nutrition security through increase in crop yields and diversification of food supply due to the provision of irrigation water on irrigable land</t>
  </si>
  <si>
    <t xml:space="preserve">1. Training the youth SMEs in agri-food value chain business practice; Increase in productivity of major value chain commodities (Wheat, Teff, Barley, Maize, Beans)
2. No. of youths trained on agri-food value chain business practices from 0 to 3000
3. Hectares of water shed protected (ha) from 0 to 100,000
</t>
  </si>
  <si>
    <t xml:space="preserve">Agriculture: </t>
  </si>
  <si>
    <t>Economic Recovery and Social Inclusion Support Programme (PAREIS)</t>
  </si>
  <si>
    <t>P-TN-K00-018</t>
  </si>
  <si>
    <t>STATISTICAL CAPACITY BUILDING PROGRAM, PHASE V</t>
  </si>
  <si>
    <t>P-Z1-K00-099</t>
  </si>
  <si>
    <t>Benin; Burkina Faso; Burundi; Cameroon; Central Africa Republic; Chad; Comoros; Côte d’Ivoire; Democratic Rep. of Congo; Djibouti; Eritrea; Ethiopia; Ghana; Guinea; Guinea-Bissau; Kenya; Lesotho; Liberia; Madagascar; Malawi; Mali; Mauritania; Mozambique; Niger; Rwanda; São Tomé &amp; Príncipe; Senegal; Sierra Leone; Somalia; South Sudan; Sudan; Tanzania; The Gambia; Togo; Uganda; Zambia; Zimbabwe</t>
  </si>
  <si>
    <t>1. Preparation of Food Balance Sheets</t>
  </si>
  <si>
    <t>Mkhondvo-Ngwavuma Water Augmentation Program Phase IA (MNWAP-1A)</t>
  </si>
  <si>
    <t>P-SZ-A00-005</t>
  </si>
  <si>
    <t>Eswatini</t>
  </si>
  <si>
    <t>Improving food security and nutrition of the rural population.</t>
  </si>
  <si>
    <t>1. Access to improved water management
2. Increase yield of target crops/Agricultural diversification of crops (Maize, Soya beans, Sunflowers, Banana, Dry beans, Vegetables)</t>
  </si>
  <si>
    <t xml:space="preserve">WASH: Access to improved drinking water
Agriculture: Increase in agricultural productivity and diversification </t>
  </si>
  <si>
    <t>Housedold</t>
  </si>
  <si>
    <t>Project to Strengthen Drinking Water Production and Improve Technical and Commercial Performance (PRPTC)</t>
  </si>
  <si>
    <t>P-MA-E00-016</t>
  </si>
  <si>
    <t>Improved access to drinking water</t>
  </si>
  <si>
    <t>Increase drinking water production and improve the technical and commercial performance</t>
  </si>
  <si>
    <t xml:space="preserve">1. Increase rate of  water access in the towns/cities concerned (rural areas) from 81% in 2021 to 95% in 2026 including 52% women </t>
  </si>
  <si>
    <t>1. Access to drinking water</t>
  </si>
  <si>
    <t>WASH: Access to improved drinking water</t>
  </si>
  <si>
    <t>Governance and Private Sector Development Support Project (PAGDSP)</t>
  </si>
  <si>
    <t>P-TG-KF0-009</t>
  </si>
  <si>
    <t>Togo</t>
  </si>
  <si>
    <t>Reduction from 20.5%(2020) to 16.5%(2024) in Malnutrition prevalence, weight for age (% of children under 5)</t>
  </si>
  <si>
    <t>1. Technical and economic feasibility study on a national centre for the development of local foods</t>
  </si>
  <si>
    <t>Business Climate Improvement Support Programme for the Structural Transformation of the Ivorian Economy (PACA-CI) - Phase I</t>
  </si>
  <si>
    <t>P-CI-KF0-004</t>
  </si>
  <si>
    <t>Harmonization and Certification of African Standards for Dairy Horticulture Fisheries and Aquaculture Products</t>
  </si>
  <si>
    <t>P-Z1-K00-117</t>
  </si>
  <si>
    <t>RMC</t>
  </si>
  <si>
    <t>Building resilience to food and nutrition insecurity</t>
  </si>
  <si>
    <t>FAO</t>
  </si>
  <si>
    <t>Pemba-Lichinga Integrated Development Corridor Special Agro-Industrial Processing Zone (SAPZ) Project - Phase 1</t>
  </si>
  <si>
    <t>P-MZ-AA0-039</t>
  </si>
  <si>
    <t>Mozambique</t>
  </si>
  <si>
    <t>Contribute positively to impacting rural populations on issues such as malnutrition and food security.</t>
  </si>
  <si>
    <t xml:space="preserve">1. Access to stainable nutrition
2. Improve food security </t>
  </si>
  <si>
    <t>FAO and UNAID</t>
  </si>
  <si>
    <t>Agriculture: Agricultural productivity and transformation</t>
  </si>
  <si>
    <t>PIDA Implementation Support Project (PISP)</t>
  </si>
  <si>
    <t>P-Z1-KZ0-043</t>
  </si>
  <si>
    <t>African Union Countries</t>
  </si>
  <si>
    <t>Congolese Economic Recovery Support Project</t>
  </si>
  <si>
    <t>P-CD-KF0-012</t>
  </si>
  <si>
    <t>Improve the living condition through better nutrition</t>
  </si>
  <si>
    <t xml:space="preserve">1. Contribute to better nutrition
2. Lower infant mortality
</t>
  </si>
  <si>
    <t>Social: Improve the living condition through better nutrition</t>
  </si>
  <si>
    <r>
      <t xml:space="preserve">1. Increased number vulnerable households benefiting from the scale up of safety net programs (school </t>
    </r>
    <r>
      <rPr>
        <sz val="12"/>
        <color rgb="FFFF0000"/>
        <rFont val="Century Gothic"/>
        <family val="2"/>
      </rPr>
      <t xml:space="preserve">resumption </t>
    </r>
    <r>
      <rPr>
        <sz val="12"/>
        <color theme="1"/>
        <rFont val="Century Gothic"/>
        <family val="2"/>
      </rPr>
      <t>and school feeding program).</t>
    </r>
  </si>
  <si>
    <t>Column</t>
  </si>
  <si>
    <t>Project SAP Code</t>
  </si>
  <si>
    <t>Indicator</t>
  </si>
  <si>
    <t>Health target</t>
  </si>
  <si>
    <t>Agriculture target</t>
  </si>
  <si>
    <t>WASH target</t>
  </si>
  <si>
    <t>Social Protection target</t>
  </si>
  <si>
    <t>Education</t>
  </si>
  <si>
    <t>Indicators</t>
  </si>
  <si>
    <t>Is target</t>
  </si>
  <si>
    <t>Health targets</t>
  </si>
  <si>
    <t>Agriculture targets</t>
  </si>
  <si>
    <t>WASH targets</t>
  </si>
  <si>
    <t>Social Protection targets</t>
  </si>
  <si>
    <t>Eductaion targets</t>
  </si>
  <si>
    <t>Proportion of projects with nutrition indicator</t>
  </si>
  <si>
    <t>Target</t>
  </si>
  <si>
    <t>one_minus_target</t>
  </si>
  <si>
    <t>Country name for lookup</t>
  </si>
  <si>
    <t>Country (map)</t>
  </si>
  <si>
    <t>Year</t>
  </si>
  <si>
    <t>Algeria</t>
  </si>
  <si>
    <t>Angola</t>
  </si>
  <si>
    <t>Benin</t>
  </si>
  <si>
    <t>Botswana</t>
  </si>
  <si>
    <t>Burkina Faso</t>
  </si>
  <si>
    <t>Central African Republic (CAR)</t>
  </si>
  <si>
    <t>Chad</t>
  </si>
  <si>
    <t>Côte ďlvoire</t>
  </si>
  <si>
    <t>Cote d'Ivoire</t>
  </si>
  <si>
    <t>Ivory Coast</t>
  </si>
  <si>
    <t>Democratic Republic of Congo</t>
  </si>
  <si>
    <t>Congo, Dem. Rep.</t>
  </si>
  <si>
    <t>CD</t>
  </si>
  <si>
    <t>Djibouti</t>
  </si>
  <si>
    <t>Egypt, Arab Rep.</t>
  </si>
  <si>
    <t>Equatorial Guinea</t>
  </si>
  <si>
    <t>Eritrea</t>
  </si>
  <si>
    <t>Ghana</t>
  </si>
  <si>
    <t>Guinea</t>
  </si>
  <si>
    <t>Libya</t>
  </si>
  <si>
    <t>Madagascar</t>
  </si>
  <si>
    <t>Malawi</t>
  </si>
  <si>
    <t>Mali</t>
  </si>
  <si>
    <t>Republic of Congo</t>
  </si>
  <si>
    <t>Congo, Rep.</t>
  </si>
  <si>
    <t>CG</t>
  </si>
  <si>
    <t>Säo Tomé and Príncipe</t>
  </si>
  <si>
    <t>Sao Tome and Principe</t>
  </si>
  <si>
    <t>Sierra Leone</t>
  </si>
  <si>
    <t>Somalia</t>
  </si>
  <si>
    <t>South Africa</t>
  </si>
  <si>
    <t>The Gambia</t>
  </si>
  <si>
    <t>Gambia, The</t>
  </si>
  <si>
    <t>Gambia</t>
  </si>
  <si>
    <t>Uganda</t>
  </si>
  <si>
    <t>United Republic of Tanzania</t>
  </si>
  <si>
    <t>Zambia</t>
  </si>
  <si>
    <t>Region</t>
  </si>
  <si>
    <t>North Africa</t>
  </si>
  <si>
    <t>Southern Africa</t>
  </si>
  <si>
    <t>West Africa</t>
  </si>
  <si>
    <t>Central Africa</t>
  </si>
  <si>
    <t>East Africa</t>
  </si>
  <si>
    <t>Code</t>
  </si>
  <si>
    <t>AO</t>
  </si>
  <si>
    <t>BF</t>
  </si>
  <si>
    <t>BI</t>
  </si>
  <si>
    <t>BJ</t>
  </si>
  <si>
    <t>CF</t>
  </si>
  <si>
    <t>Republic of the Congo</t>
  </si>
  <si>
    <t>CI</t>
  </si>
  <si>
    <t>CM</t>
  </si>
  <si>
    <t>CV</t>
  </si>
  <si>
    <t>DJ</t>
  </si>
  <si>
    <t>EG</t>
  </si>
  <si>
    <t>ER</t>
  </si>
  <si>
    <t>ET</t>
  </si>
  <si>
    <t>GA</t>
  </si>
  <si>
    <t>GH</t>
  </si>
  <si>
    <t>GM</t>
  </si>
  <si>
    <t>GN</t>
  </si>
  <si>
    <t>GQ</t>
  </si>
  <si>
    <t>GW</t>
  </si>
  <si>
    <t>KE</t>
  </si>
  <si>
    <t>LR</t>
  </si>
  <si>
    <t>LS</t>
  </si>
  <si>
    <t>MA</t>
  </si>
  <si>
    <t>MG</t>
  </si>
  <si>
    <t>ML</t>
  </si>
  <si>
    <t>MR</t>
  </si>
  <si>
    <t>MU</t>
  </si>
  <si>
    <t>MW</t>
  </si>
  <si>
    <t>MZ</t>
  </si>
  <si>
    <t>NE</t>
  </si>
  <si>
    <t>NG</t>
  </si>
  <si>
    <t>RW</t>
  </si>
  <si>
    <t>SC</t>
  </si>
  <si>
    <t>SD</t>
  </si>
  <si>
    <t>SL</t>
  </si>
  <si>
    <t>SN</t>
  </si>
  <si>
    <t>SO</t>
  </si>
  <si>
    <t>SS</t>
  </si>
  <si>
    <t>ST</t>
  </si>
  <si>
    <t>SZ</t>
  </si>
  <si>
    <t>TG</t>
  </si>
  <si>
    <t>TN</t>
  </si>
  <si>
    <t>TZ</t>
  </si>
  <si>
    <t>UG</t>
  </si>
  <si>
    <t>ZA</t>
  </si>
  <si>
    <t>ZM</t>
  </si>
  <si>
    <t>ZW</t>
  </si>
  <si>
    <t>Higher Educat.</t>
  </si>
  <si>
    <t>Tech./Voca.Edu.</t>
  </si>
  <si>
    <t>MultiEducSubSec</t>
  </si>
  <si>
    <t>Tertiary Health</t>
  </si>
  <si>
    <t>General Health</t>
  </si>
  <si>
    <t>Disease Control</t>
  </si>
  <si>
    <t>Popul.&amp; Nutrit.</t>
  </si>
  <si>
    <t>Gender Equity</t>
  </si>
  <si>
    <t>Pov.Al./Mic.Fi.</t>
  </si>
  <si>
    <t>MuttiSocSubSec</t>
  </si>
  <si>
    <t>Food Crops</t>
  </si>
  <si>
    <t>Livestock</t>
  </si>
  <si>
    <t>Fish./Mari.Food</t>
  </si>
  <si>
    <t>Agro Industry</t>
  </si>
  <si>
    <t>MultiAgriSubSec</t>
  </si>
  <si>
    <t>Rural Developm.</t>
  </si>
  <si>
    <t>Water Sup/Sanit</t>
  </si>
  <si>
    <t>Water Supply</t>
  </si>
  <si>
    <t>MultiWatSubSec</t>
  </si>
  <si>
    <t>Sanitation</t>
  </si>
  <si>
    <t>Treatm.F.Sanit.</t>
  </si>
  <si>
    <t>Drain.F.Sanita.</t>
  </si>
  <si>
    <t>Environment</t>
  </si>
  <si>
    <t>Transport</t>
  </si>
  <si>
    <t>Finance</t>
  </si>
  <si>
    <t>Multi-Sector</t>
  </si>
  <si>
    <t>Public Sector Management</t>
  </si>
  <si>
    <t>Private Sector Management</t>
  </si>
  <si>
    <t>Institutional Support</t>
  </si>
  <si>
    <t>ISO Code 3</t>
  </si>
  <si>
    <t xml:space="preserve">% of Children under 5 years old </t>
  </si>
  <si>
    <t>Manual</t>
  </si>
  <si>
    <t>SAP</t>
  </si>
  <si>
    <t>Data Type</t>
  </si>
  <si>
    <t>DZA</t>
  </si>
  <si>
    <t>AGO</t>
  </si>
  <si>
    <t>BEN</t>
  </si>
  <si>
    <t>BWA</t>
  </si>
  <si>
    <t>BFA</t>
  </si>
  <si>
    <t>BDI</t>
  </si>
  <si>
    <t>CMR</t>
  </si>
  <si>
    <t>CPV</t>
  </si>
  <si>
    <t>CAF</t>
  </si>
  <si>
    <t>TCD</t>
  </si>
  <si>
    <t>COM</t>
  </si>
  <si>
    <t>ZAR</t>
  </si>
  <si>
    <t>COG</t>
  </si>
  <si>
    <t>CIV</t>
  </si>
  <si>
    <t>DJI</t>
  </si>
  <si>
    <t>EGY</t>
  </si>
  <si>
    <t>GNQ</t>
  </si>
  <si>
    <t>ERI</t>
  </si>
  <si>
    <t>ETH</t>
  </si>
  <si>
    <t>GAB</t>
  </si>
  <si>
    <t>GMB</t>
  </si>
  <si>
    <t>GHA</t>
  </si>
  <si>
    <t>GIN</t>
  </si>
  <si>
    <t>GNB</t>
  </si>
  <si>
    <t>KEN</t>
  </si>
  <si>
    <t>LSO</t>
  </si>
  <si>
    <t>LBR</t>
  </si>
  <si>
    <t>LBY</t>
  </si>
  <si>
    <t>MDG</t>
  </si>
  <si>
    <t>MWI</t>
  </si>
  <si>
    <t>MLI</t>
  </si>
  <si>
    <t>MRT</t>
  </si>
  <si>
    <t>MUS</t>
  </si>
  <si>
    <t>MAR</t>
  </si>
  <si>
    <t>MOZ</t>
  </si>
  <si>
    <t>NAM</t>
  </si>
  <si>
    <t>NER</t>
  </si>
  <si>
    <t>NGA</t>
  </si>
  <si>
    <t>RWA</t>
  </si>
  <si>
    <t>STP</t>
  </si>
  <si>
    <t>SEN</t>
  </si>
  <si>
    <t>SYC</t>
  </si>
  <si>
    <t>SLE</t>
  </si>
  <si>
    <t>SOM</t>
  </si>
  <si>
    <t>ZAF</t>
  </si>
  <si>
    <t>SSD</t>
  </si>
  <si>
    <t>SDN</t>
  </si>
  <si>
    <t>SWZ</t>
  </si>
  <si>
    <t>TZA</t>
  </si>
  <si>
    <t>TGO</t>
  </si>
  <si>
    <t>TUN</t>
  </si>
  <si>
    <t>UGA</t>
  </si>
  <si>
    <t>ZMB</t>
  </si>
  <si>
    <t>ZWE</t>
  </si>
  <si>
    <t/>
  </si>
  <si>
    <t>Description</t>
  </si>
  <si>
    <t>Country code</t>
  </si>
  <si>
    <t>Solely Trust Funded Project</t>
  </si>
  <si>
    <t>Project Budget (UAC)</t>
  </si>
  <si>
    <t>Project Budget (USD)</t>
  </si>
  <si>
    <t>Total AfDB contribution (project currency)</t>
  </si>
  <si>
    <t>Total AfDB contribution (UAC)</t>
  </si>
  <si>
    <t>Total AfDB contribution (USD)</t>
  </si>
  <si>
    <t>Total ADB and ADF funding (UAC)</t>
  </si>
  <si>
    <t>Total ADB and AFB funding (USD)</t>
  </si>
  <si>
    <t>Currency - Error Message</t>
  </si>
  <si>
    <t>Nutrition-Smart Project</t>
  </si>
  <si>
    <t>Ones (generic field)</t>
  </si>
  <si>
    <t>Key Sector - based on sub-sector</t>
  </si>
  <si>
    <t>PROMOTING INVESTMENT AND COMPETITIVNESS IN TOURISM SECTOR (P</t>
  </si>
  <si>
    <t>P-MW-KF0-005</t>
  </si>
  <si>
    <t>ADF</t>
  </si>
  <si>
    <t>WINDHOEK INTEGRATED WATER SUPPLY AND SANITATION MASTER PLAN</t>
  </si>
  <si>
    <t>P-NA-E00-004</t>
  </si>
  <si>
    <t>Multiple</t>
  </si>
  <si>
    <t>IMPROVING HEALTH ACCESS AND SYSTEMS STRENGTHENING PROJECT (S</t>
  </si>
  <si>
    <t>P-SD-I00-004</t>
  </si>
  <si>
    <t>Nutrition training for 1000 community members</t>
  </si>
  <si>
    <t>Reduce the high rates of malnutrition  mortality and morbidity among women and children</t>
  </si>
  <si>
    <t>Reduction of underweight; stunting prevalence (among children under 5.</t>
  </si>
  <si>
    <t>Deseminating health information, creating support systems for health seeking</t>
  </si>
  <si>
    <t>Women</t>
  </si>
  <si>
    <t>APPUI TECHNIQUE AU PROGRAMME NATIONAL D’EVALUATION ENVIRONNE</t>
  </si>
  <si>
    <t>P-GA-C00-001</t>
  </si>
  <si>
    <t>ADB</t>
  </si>
  <si>
    <t>ETUDE DE PREPARATION DU PROGRAMME APPUI A L'INITIATIVE GABON</t>
  </si>
  <si>
    <t>P-GA-AAD-005</t>
  </si>
  <si>
    <t>PROJET D’APPUI A LA DIVERSIFICATION DE L'ECONOMIE GABONAISE</t>
  </si>
  <si>
    <t>P-GA-K00-007</t>
  </si>
  <si>
    <t>PROGRAMME D’APPUI AUX RÉFORMES ECONOMIQUES ET FINANCIÈRES PH</t>
  </si>
  <si>
    <t>P-GA-KA0-007</t>
  </si>
  <si>
    <t>PROJET D’EMPLOI DES JEUNES ET DÉVELOPPEMENT DES COMPÉTENCES</t>
  </si>
  <si>
    <t>P-BF-I00-002</t>
  </si>
  <si>
    <t>CAMEROUN-AIDE HUMANITAIRE D’URGENCE AUX REFUGIES DE L’EXTREME NORD</t>
  </si>
  <si>
    <t>P-CM-I00-006</t>
  </si>
  <si>
    <t>strengthen food security in the camp for the affected</t>
  </si>
  <si>
    <t>strengthen food security (detected malnutrition in Minawao camp)</t>
  </si>
  <si>
    <t>Severe food insecurity rate of refugees</t>
  </si>
  <si>
    <t>Cases of malnutrition detected,</t>
  </si>
  <si>
    <t>Individual</t>
  </si>
  <si>
    <t>RICE VALUE CHAIN TRANSFORMATION PROGRAM (RVCTP)</t>
  </si>
  <si>
    <t>P-GM-AA0-016</t>
  </si>
  <si>
    <t>food and nutrition security (for rice quality)</t>
  </si>
  <si>
    <t>Improved value addition and commercialization of rice</t>
  </si>
  <si>
    <t>CLIMATE SMART RURAL WASH DEVELOPMENT PROJECT</t>
  </si>
  <si>
    <t>P-GM-E00-007</t>
  </si>
  <si>
    <t>Improve access to safe drinking water supply 
and sanitation in the rural areas by giving access to water</t>
  </si>
  <si>
    <t xml:space="preserve">people  with  access  to improved water supply
people with access to improved sanitation (%) </t>
  </si>
  <si>
    <t>Access to safe drinking water supply</t>
  </si>
  <si>
    <t>WRIS</t>
  </si>
  <si>
    <t>GAMBIA EMERGENCY BUDGET SUPPORT (GEBS)</t>
  </si>
  <si>
    <t>P-GM-KA0-009</t>
  </si>
  <si>
    <t>P-GN-KA0-006</t>
  </si>
  <si>
    <t>PROJET D’APPUI AU RENFORCEMENT DES CAPACITÉS DE L’ADMINISTRA</t>
  </si>
  <si>
    <t>P-GN-K00-009</t>
  </si>
  <si>
    <t>PPF APPUI TRANSFORMATION AGRICULTURE GUINÉENE - VOLET ENTREP</t>
  </si>
  <si>
    <t>P-GN-AA0-018</t>
  </si>
  <si>
    <t>PROJET DE DÉVELOPPEMENT DES CHAINES DE VALEUR RIZ</t>
  </si>
  <si>
    <t>P-GW-A00-003</t>
  </si>
  <si>
    <t>food and nutrition security for chronic malnutrition</t>
  </si>
  <si>
    <t>Reduce chronic malnutrition</t>
  </si>
  <si>
    <t xml:space="preserve">Prevalence of severe/moderate food insecurity 
Prevalence of chronic malnutrition (0-23 months) </t>
  </si>
  <si>
    <t>AIDE D’URGENCE POUR LA LUTTE CONTRE SPODOPTERA EN GUINÉE BIS</t>
  </si>
  <si>
    <t>P-GW-AA0-012</t>
  </si>
  <si>
    <t>Fortification of rice and corn  to improve nutrition and food security</t>
  </si>
  <si>
    <t>ECONOMIC GOVERNANCE REFORM AND COMPETITIVENESS SUPPORT PROGR</t>
  </si>
  <si>
    <t>P-LR-KA0-004</t>
  </si>
  <si>
    <t>PROJET D APPUI À LA RÉINSERTION SOCIO-ÉCONOMIQUE DES POPULAT</t>
  </si>
  <si>
    <t>P-ML-IAZ-001</t>
  </si>
  <si>
    <t>PROJET D'APPUI À LA COMPETITIVITE DE L'ECONOMIE MALIENNE - P</t>
  </si>
  <si>
    <t>P-ML-KF0-001</t>
  </si>
  <si>
    <t>PROGRAMME D'APPUI A LA CROISSANCE ECONOMIQUE PHASE I (PACE I</t>
  </si>
  <si>
    <t>P-ML-KA0-007</t>
  </si>
  <si>
    <t>PROGRAMME D'APPUI AUX RÉFORMES DE LA GOUVERNANCE ECONOMIQUE</t>
  </si>
  <si>
    <t>P-ML-KA0-004</t>
  </si>
  <si>
    <t>PROJET D’APPUI A LA PROMOTION DES MICRO PETITES &amp; MOYENNES E</t>
  </si>
  <si>
    <t>P-MR-I00-001</t>
  </si>
  <si>
    <t>PROGRAMME D’APPUI AU RÉFORMES ECONOMIQUES ET À LA DIVERSIFIC</t>
  </si>
  <si>
    <t>P-MR-K00-016</t>
  </si>
  <si>
    <t>PROGRAMME D'APPUI AUX RÉFORMES ET A LA RESILIENCE ECONOMIQUE</t>
  </si>
  <si>
    <t>P-NE-KA0-013</t>
  </si>
  <si>
    <t>Enhancement of resilience to food and nutrition insecurity</t>
  </si>
  <si>
    <t>Production  from  irrigated farming</t>
  </si>
  <si>
    <t>INSTITUTIONAL SUPPORT PROJECT FOR ECONOMIC MANAGEMENT AND DE</t>
  </si>
  <si>
    <t>P-NG-KA0-005</t>
  </si>
  <si>
    <t>SANTA CLARA MEDICAL FACILITY</t>
  </si>
  <si>
    <t>P-NG-IBC-001</t>
  </si>
  <si>
    <t>FLOUR MILLS OF NIGERIA PLC</t>
  </si>
  <si>
    <t>P-NG-AAG-008</t>
  </si>
  <si>
    <t>improving Food transformation of flour base product</t>
  </si>
  <si>
    <t>Feeds &amp; Protein(protein fortification in feed processing)</t>
  </si>
  <si>
    <t>Food processing capacit</t>
  </si>
  <si>
    <t xml:space="preserve">Flour-based products 
</t>
  </si>
  <si>
    <t>FMN</t>
  </si>
  <si>
    <t>SAY NO TO FAMINE FOR NIGERIA</t>
  </si>
  <si>
    <t>P-NG-AZ0-001</t>
  </si>
  <si>
    <t>FREETOWN WASH &amp; AQUATIC ENVIRONMENT REVAMPING PROJECT</t>
  </si>
  <si>
    <t>P-SL-E00-004</t>
  </si>
  <si>
    <t>Reduction in Infant Mortality</t>
  </si>
  <si>
    <t>Reduction in prevalence of water borne 
Reduction in Infant Mortality</t>
  </si>
  <si>
    <t xml:space="preserve">Increase in % of population with access to safely managed faecal 
sludge </t>
  </si>
  <si>
    <t>PROGRAMME D'URGENCE DE DÉVELOPPEMENT COMMUNAUTAIRE - PUDC</t>
  </si>
  <si>
    <t>P-SN-KZ0-004</t>
  </si>
  <si>
    <t>access to safe drinking water</t>
  </si>
  <si>
    <t>Chronic malnutrition rate  reduction</t>
  </si>
  <si>
    <t xml:space="preserve">access to safe drinking water
sanitation infrastructure </t>
  </si>
  <si>
    <t>PEPAM</t>
  </si>
  <si>
    <t>PROJET DE TRANSFORMATION AGRO-ALIMENTAIRE AU TOGO - ZTA TOGO</t>
  </si>
  <si>
    <t>P-TG-AA0-009</t>
  </si>
  <si>
    <t>Strengthening  of  the  people’s  food production(for children affected by chronic malnutrition)</t>
  </si>
  <si>
    <t>To improve nutritional insecurity</t>
  </si>
  <si>
    <t xml:space="preserve">Decrease in % of children affected by chronic 
malnutrition (including girls) </t>
  </si>
  <si>
    <t xml:space="preserve">% of children aged 6-23 months with a minimum 
acceptable diet </t>
  </si>
  <si>
    <t>PROJET D’APPUI AU RENFORCEMENT DES CAPACITES DE LA COMMISSIO</t>
  </si>
  <si>
    <t>P-MA-K00-016</t>
  </si>
  <si>
    <t xml:space="preserve">TUNISIA – TECHNICAL AND TECHNOLOGICAL SKILL-BUILDING SUPPORT PROJECT
</t>
  </si>
  <si>
    <t>P-TN-IA0-004</t>
  </si>
  <si>
    <t>ASSISTANCE D’URGENCE AUX ETABLISSEMENTS SCOLAIRES AFFECTES P</t>
  </si>
  <si>
    <t>P-TN-IA0-006</t>
  </si>
  <si>
    <t xml:space="preserve">RWANDA  SUSTAINABLE WATER SUPPLY AND SANITATION PROGRAM
</t>
  </si>
  <si>
    <t>P-RW-E00-012</t>
  </si>
  <si>
    <t xml:space="preserve">Improved access to sanitation ; 
Improved access to water 
</t>
  </si>
  <si>
    <t>WASAC</t>
  </si>
  <si>
    <t>EMERGENCY HUMANITARIAN RELIEF ASSISTANCE TO THE VICTIMS OF THE DROUGH</t>
  </si>
  <si>
    <t>P-SO-IZ0-009</t>
  </si>
  <si>
    <t>Reducing human suffering caused by shortages of food</t>
  </si>
  <si>
    <t>Reduction in human suffering
caused by shortages of food in
affected communities</t>
  </si>
  <si>
    <t>Reduction of number  Household in the drought affected communities</t>
  </si>
  <si>
    <t xml:space="preserve">Provision of Water
Purchased food supplies     </t>
  </si>
  <si>
    <t>IOM</t>
  </si>
  <si>
    <t>Social protection</t>
  </si>
  <si>
    <t>Vulnerable people</t>
  </si>
  <si>
    <t xml:space="preserve">AGRICULTURAL VALUE CHAIN DEVELOPMENT PROJECT (AVCDP)
</t>
  </si>
  <si>
    <t>P-SD-AAZ-008</t>
  </si>
  <si>
    <t>Improve household incomes, food security,</t>
  </si>
  <si>
    <t>EMERGENCY ASSISTANCE TO WHITE NILE STATE</t>
  </si>
  <si>
    <t>P-SD-I00-001</t>
  </si>
  <si>
    <t>Water and sanitation improved</t>
  </si>
  <si>
    <t>Reduction in the risk of poor
sanitation-related diseases</t>
  </si>
  <si>
    <t>Teaching constructed and equipped, Water and
sanitation improved</t>
  </si>
  <si>
    <t>TANZANIA INITIATIVE FOR PREVENTING AFLATOXIN CONTAMINATION</t>
  </si>
  <si>
    <t>P-TZ-A00-008</t>
  </si>
  <si>
    <t>improved food and nutrition security</t>
  </si>
  <si>
    <t xml:space="preserve">nutrition security and safety(increses safe maize and groundnuts),
</t>
  </si>
  <si>
    <t xml:space="preserve">Contribute to improved food and nutrition security,
national income and public health </t>
  </si>
  <si>
    <t xml:space="preserve">Increased quantity of safe maize and groundnuts
</t>
  </si>
  <si>
    <t>Prevention of Aflatoxin contamination,
Awareness creation</t>
  </si>
  <si>
    <t>GOOD GOVERNANCE AND PRIVATE SECTOR DEVELOPMENT SUPPORT PROGR</t>
  </si>
  <si>
    <t>P-TZ-KA0-005</t>
  </si>
  <si>
    <t>UGANDA - STRATEGIC TOWNS WATER SUPPLY AND SANITATION PROJECT (STWSSP)</t>
  </si>
  <si>
    <t>P-UG-E00-016</t>
  </si>
  <si>
    <t>sustainable provision of safe water and hygienic sanitation</t>
  </si>
  <si>
    <t>Percentage of incidence of diarrhea morbidity among children under fiv</t>
  </si>
  <si>
    <t>service to a sustainable safe water
supply and sanitation facilities</t>
  </si>
  <si>
    <t>MASSINGIR DAM EMERGENCY REHABILITATION PROJECT SUPPLEMENTARY</t>
  </si>
  <si>
    <t>P-MZ-AAC-006</t>
  </si>
  <si>
    <t>AGRICULTURAL VALUE CHAIN AND YOUTH EMPOWERMENT PROJECT</t>
  </si>
  <si>
    <t>P-MZ-AA0-034</t>
  </si>
  <si>
    <t>income based for red meat and vegetables</t>
  </si>
  <si>
    <t>income based for red meat and vegetables for youth and women (50%)</t>
  </si>
  <si>
    <t>2.5-4.0 ton/ha of vegetables, 
179274 goats and USD400.00/Year</t>
  </si>
  <si>
    <t>WFP</t>
  </si>
  <si>
    <t>AIDE D’URGENCE POUR LA REHABILITATION DES INFRASTRUCTURES SC</t>
  </si>
  <si>
    <t>P-DJ-IA0-004</t>
  </si>
  <si>
    <t>PROJET D’ASSISTANCE TECHNIQUE POUR LA MISE EN ŒUVRE DU PNDES</t>
  </si>
  <si>
    <t>P-GN-KF0-005</t>
  </si>
  <si>
    <t>MIC-TAF-TECHNICAL ASSISTANCE TO THE PRESIDENT DELIVERY UNIT</t>
  </si>
  <si>
    <t>P-KE-K00-005</t>
  </si>
  <si>
    <t>TECHNICAL AND CAPACITY BUILDING ASSISTANCE TO THE GOVERNMENT</t>
  </si>
  <si>
    <t>P-LR-K00-018</t>
  </si>
  <si>
    <t>PROJET D'APPUI À LA TRANSFORMATION AGRICOLE EN MAURITANIE (P</t>
  </si>
  <si>
    <t>P-MR-AAC-011</t>
  </si>
  <si>
    <t>NTF</t>
  </si>
  <si>
    <t>Cereal output from irrigation farming</t>
  </si>
  <si>
    <t>Cereal output from irrigation farmin</t>
  </si>
  <si>
    <t>Vegetable farming areas for women</t>
  </si>
  <si>
    <t>DROUGHT RECOVERY AND AGRICULTURE RESILIENCE PROJECT</t>
  </si>
  <si>
    <t>P-MZ-AA0-033</t>
  </si>
  <si>
    <t>APPUI A LA MOBILISATION DES RESSOURCES ET A LA MISE EN OEUVR</t>
  </si>
  <si>
    <t>P-NE-KZ0-001</t>
  </si>
  <si>
    <t>KIGALI BULK WATER SUPPLY PROJECT</t>
  </si>
  <si>
    <t>P-RW-E00-008</t>
  </si>
  <si>
    <t>Improve access to water and sanitation</t>
  </si>
  <si>
    <t xml:space="preserve">
Prevalence of Diarrhea among childre</t>
  </si>
  <si>
    <t xml:space="preserve">Improved access to sanitation ,
Improved access to water 
</t>
  </si>
  <si>
    <t>DAL GROUP CO LTD(FOOD AND AGRICULTURAL INVESTMENT PROGRAMME)</t>
  </si>
  <si>
    <t>P-SD-AAZ-009</t>
  </si>
  <si>
    <t>MANZINI REGION WATER SUPPLY AND SANITATION PROJECT</t>
  </si>
  <si>
    <t>P-SZ-EA0-003</t>
  </si>
  <si>
    <t>Improved food consumption (on quality of food asistance)</t>
  </si>
  <si>
    <t>To reduce food Insecurity and Emergency Needs</t>
  </si>
  <si>
    <t>Household food consumption score imporved</t>
  </si>
  <si>
    <t>Quantity of food assistance</t>
  </si>
  <si>
    <t>INNOVATIVE SOLUTIONS TO SUPPORT LIVELIHOOD OF VULNERABLE COM</t>
  </si>
  <si>
    <t>P-ZW-K00-006</t>
  </si>
  <si>
    <t>Trainging in the use of water (WASH)</t>
  </si>
  <si>
    <t>Access to quality water</t>
  </si>
  <si>
    <t>UNHCR</t>
  </si>
  <si>
    <t>MADAGASCAR-OCÉAN INDIEN: PROJET D'AMÉNAGEMENT DE CORRIDORS E</t>
  </si>
  <si>
    <t>P-Z1-D00-045</t>
  </si>
  <si>
    <t>BASSIN DU LAC TCHAD - PROJET D'APPUI A LA REINSERTION SOCIOE</t>
  </si>
  <si>
    <t>P-Z1-IZ0-032</t>
  </si>
  <si>
    <t>Cameroun, Centrafrique, Tchad</t>
  </si>
  <si>
    <t>PROJET D’APPUI A L’INTEGRATION DE LA FORMATION (PAIF) DANS L</t>
  </si>
  <si>
    <t>P-Z1-I00-011</t>
  </si>
  <si>
    <t> Bénin, Burkina Faso, Côte d’Ivoire, Niger et Togo</t>
  </si>
  <si>
    <t>ANGOLOLO MULTIPURPOSE WATER RESOURCES DEVELOPMENT PROJECT</t>
  </si>
  <si>
    <t>P-Z1-DZ0-024</t>
  </si>
  <si>
    <t> Kenya and Uganda</t>
  </si>
  <si>
    <t>Improved food and energy/calorie intake</t>
  </si>
  <si>
    <t>improved food security at household level</t>
  </si>
  <si>
    <t>NIGERIA THE GLOBAL ENVIRONMENT FACILITY FOR THE PROGRAMME TO</t>
  </si>
  <si>
    <t>P-Z1-CZ0-022</t>
  </si>
  <si>
    <t>SONGWE RIVER BASIN DEVELOPMENT PROGRAMME: PPP TRANSACTION AD</t>
  </si>
  <si>
    <t>P-Z1-EAZ-055</t>
  </si>
  <si>
    <t>Malawi, Tanzania</t>
  </si>
  <si>
    <t>AFRICAN PEER REVIEW MECHANISM (APRM) INSTITUTIONAL SUPPORT P</t>
  </si>
  <si>
    <t>P-Z1-K00-084</t>
  </si>
  <si>
    <t>Whole of Africa</t>
  </si>
  <si>
    <t>STRENGTHENING REGIONAL AND NATIONAL INSTITUTIONS FOR REDUCTI</t>
  </si>
  <si>
    <t>P-Z1-KF0-053</t>
  </si>
  <si>
    <t>Somalia, South Sudan, Central African Republic and DR Congo</t>
  </si>
  <si>
    <t>LEVERAGING INVESTMENTS TO INCREASE ACCESS TO FERTILIZER UTIL</t>
  </si>
  <si>
    <t>P-Z1-AAZ-051</t>
  </si>
  <si>
    <t>COCOBOD</t>
  </si>
  <si>
    <t>P-GH-A00-007</t>
  </si>
  <si>
    <t>GHANA INCENTIVE-BASED RISK SHARING FOR AGRICULTURE LENDING</t>
  </si>
  <si>
    <t>P-GH-A00-006</t>
  </si>
  <si>
    <t>ADDITIONAL LOAN TO IBSDLIEP FOR THE COMPLETION OF FSTC LASSA</t>
  </si>
  <si>
    <t>P-NG-IA0-006</t>
  </si>
  <si>
    <t>Schools and health centres with access to improved water sources</t>
  </si>
  <si>
    <t>Community awareness 
strengthened on hygiene, sanitation  wate</t>
  </si>
  <si>
    <t>women  WASH trained</t>
  </si>
  <si>
    <t>PROGRAMME D'APPUI À LA COMPÉTITIVITÉ ÉCONOMIQUE DU BÉNIN</t>
  </si>
  <si>
    <t>P-BJ-K00-005</t>
  </si>
  <si>
    <t>SUSTINABLE ABU-RAWASH WASTEWATER TREATEMENT PROJECT - PHASE</t>
  </si>
  <si>
    <t>P-EG-EBA-003</t>
  </si>
  <si>
    <t xml:space="preserve">Provision of water and saniation servicesñ : 
</t>
  </si>
  <si>
    <t>Reduce under 5 infant mortality
Rate;                  Reduce incidences of
waterborne diseases</t>
  </si>
  <si>
    <t>Safe reuse of
treated
wastewater</t>
  </si>
  <si>
    <t>SAVANNAH ZONE AGRICULTURAL PRODUCTIVITY IMPROVEMENT PROJECT</t>
  </si>
  <si>
    <t>P-GH-AAZ-001</t>
  </si>
  <si>
    <t>Community sentisization on nutrition and hygien practice, enhance management of acute malnutrition, linking small holder farmers with Gnanian schoo feeding,  school gardening and hygiene.</t>
  </si>
  <si>
    <t>To transform agricultural value chains for food and nutrition security, job and wealth creation.</t>
  </si>
  <si>
    <t>Improved nutrition and food security</t>
  </si>
  <si>
    <t>Increase minimum diet diversity</t>
  </si>
  <si>
    <t>Partners target commodity value chain development , productive enhancement, climate change adaptation, mechanization, nutrition and food security.</t>
  </si>
  <si>
    <t>RURAL LIVELIHOODS’ ADAPTATION TO CLIMATE CHANGE IN THE HORN</t>
  </si>
  <si>
    <t>P-Z1-A00-023</t>
  </si>
  <si>
    <t>IGAD member countries</t>
  </si>
  <si>
    <t>ECONOMIC AND FINANCIAL GOVERNANCE INSTITUTION SUPPORT PROJEC</t>
  </si>
  <si>
    <t>P-SO-KF0-006</t>
  </si>
  <si>
    <t>SUPPLEMENTARY LOAN TO KAMPALA SANITATION PROGRAM (AFKSP)</t>
  </si>
  <si>
    <t>P-UG-E00-018</t>
  </si>
  <si>
    <t>FREETOWN WATER SUPPLY &amp; SANITATION MASTER PLAN AND INVESTMEN</t>
  </si>
  <si>
    <t>P-SL-E00-006</t>
  </si>
  <si>
    <t>Hygiene education</t>
  </si>
  <si>
    <t>AGRICULTURAL VALUE CHAIN DEVELOPMENT PROGRAMME (AVCP)</t>
  </si>
  <si>
    <t>P-UG-AAZ-003</t>
  </si>
  <si>
    <t>LOBITO CORRIDOR TRADE FACILITATION PROJECT</t>
  </si>
  <si>
    <t>P-Z1-KF0-027</t>
  </si>
  <si>
    <t>Zambia,DRC</t>
  </si>
  <si>
    <t>NAMIBIA AGRICULTURAL MECHANISATION AND SEED IMPROVEMENT PROJ</t>
  </si>
  <si>
    <t>P-NA-AA0-005</t>
  </si>
  <si>
    <t>Introduce nutrient-dense crop production (cereal crops); capacity building ; nutrition prommotion ; value chain development</t>
  </si>
  <si>
    <t>Reduce food insecurity and malnutrition</t>
  </si>
  <si>
    <t>Trained in food and nutrition</t>
  </si>
  <si>
    <t>No of infants (6-24 months) undergoing feeding program</t>
  </si>
  <si>
    <t xml:space="preserve">Behaviour communication and awareness campaigns
for food diversification and nutritional interventionsi)i) breastfeeding awareness
campaigns, and (ii) expansion of the existing infant (6-24 months) feeding programmes </t>
  </si>
  <si>
    <t>Women and Youth</t>
  </si>
  <si>
    <t>TECHNOLOGIES FOR AFRICAN AGRICULTURAL TRANSFORMATION</t>
  </si>
  <si>
    <t>P-Z1-A00-016</t>
  </si>
  <si>
    <t>All African countries</t>
  </si>
  <si>
    <t>SKILLS AND BUSINESS DEVELOPMENT PROGRAMME (SBDP)</t>
  </si>
  <si>
    <t>P-RW-IZ0-006</t>
  </si>
  <si>
    <t>Coaching on food safety and quality</t>
  </si>
  <si>
    <t>Cooprative members</t>
  </si>
  <si>
    <t>LESOTHO TAX MODERNISATION PROJECT</t>
  </si>
  <si>
    <t>P-LS-KF0-003</t>
  </si>
  <si>
    <t>RWANDA - SUSTAINABLE WATER SUPPLY AND SANITATION PROGRAM</t>
  </si>
  <si>
    <t>P-RW-E00-011</t>
  </si>
  <si>
    <t>INSTITUTIONAL CAPACITY DEVELOPMENT FOR IMPROVED ACCESS TO WA</t>
  </si>
  <si>
    <t>P-SD-E00-003</t>
  </si>
  <si>
    <t>FREETOWN FLOODS AND LANDSLIDE IMPACT ALLEVIATION EMERGENCY R</t>
  </si>
  <si>
    <t>P-SL-KZ0-002</t>
  </si>
  <si>
    <t>Safety and hygien education</t>
  </si>
  <si>
    <t>GEF CLIMATE RESILIENT LIVESTOCK MANAGEMENT PROJECT</t>
  </si>
  <si>
    <t>P-ZM-AAZ-006</t>
  </si>
  <si>
    <t>SAY NO TO FAMINE-SHORT TERM REGIONAL EMERGENCY RESPONSE PROJ</t>
  </si>
  <si>
    <t>P-Z1-AA0-120</t>
  </si>
  <si>
    <t>Somalia, South Sudan</t>
  </si>
  <si>
    <t xml:space="preserve"> Nutrition and Health Support; 
Contains food, nutrition and assistance, water supply and fodder supply</t>
  </si>
  <si>
    <t>Food provision to vollenerable population</t>
  </si>
  <si>
    <t>Improved nutrition and food security; reduce malnutrition</t>
  </si>
  <si>
    <t>Food and supplement provisions, training on hygien and nutrition, provision of tools and  community assets;</t>
  </si>
  <si>
    <t>Women and Children</t>
  </si>
  <si>
    <t>2016 MALAWI ECONOMIC CENSUS</t>
  </si>
  <si>
    <t>P-MW-K00-007</t>
  </si>
  <si>
    <t>KENYA EMERGENCY HUMANITARIAN ASSISTANCE FOR PERSONS AFFECTED</t>
  </si>
  <si>
    <t>P-KE-AA0-019</t>
  </si>
  <si>
    <t>Food provisions  and education</t>
  </si>
  <si>
    <t>To provide food assistance to affected population.</t>
  </si>
  <si>
    <t>Improved nutrition of the affected population</t>
  </si>
  <si>
    <t>The operation of the emergency food assistance</t>
  </si>
  <si>
    <t>ETC GROUP LIMITED T/A EXPORT TRADING LIMITED (ETG) II</t>
  </si>
  <si>
    <t>P-Z1-AAG-014</t>
  </si>
  <si>
    <t>NACALA CORRIDOR BUSINESS LINKAGES TA PROJECT</t>
  </si>
  <si>
    <t>P-MZ-KB0-001</t>
  </si>
  <si>
    <t>INSTUTIONAL SUPPORT AFE BABALOLA UNIVERSITY MIC</t>
  </si>
  <si>
    <t>P-NG-IA0-005</t>
  </si>
  <si>
    <t>NACALA RAIL AND PORT VALUE ADDITION PROJECT</t>
  </si>
  <si>
    <t>P-MW-KB0-002</t>
  </si>
  <si>
    <t>ECONOMIC GOVERNANCE AND COMPETITIVENESS SUPPORT PROGRAMME</t>
  </si>
  <si>
    <t>P-NA-K00-007</t>
  </si>
  <si>
    <t>EMERGENCY HUMANITARIAN RELIEF ASSISTANCE TO THE VICTIMS OF T</t>
  </si>
  <si>
    <t>P-SO-IZ0-008</t>
  </si>
  <si>
    <t>Provision of sorghum, oil, peas, corn-soya mix and water.</t>
  </si>
  <si>
    <t>Providing urgent food aid distributions and nutrition</t>
  </si>
  <si>
    <t>Improve food and nutrition security.</t>
  </si>
  <si>
    <t>Provision of food, water services and other emergency services</t>
  </si>
  <si>
    <t>REGIONAL DEVELOPMENT FINANCE INSTITUTIONS (TDB-PTA &amp; ATI) -</t>
  </si>
  <si>
    <t>P-SS-HZ0-001</t>
  </si>
  <si>
    <t>ADDITIONAL FINANCING FOR LOAN AND GRANT FOR ONE WASH NATIONA</t>
  </si>
  <si>
    <t>P-ET-E00-014</t>
  </si>
  <si>
    <t>Promotion of hygiene and sanitation improvement at household and community level through
activities such as Community Led Total Sanitation and Hygiene (CLTSH) and sanitation
marketing.</t>
  </si>
  <si>
    <t>Reduce under five mortality</t>
  </si>
  <si>
    <t>Increase the proportion of water and sanitation access at schols, rural villages, health units.</t>
  </si>
  <si>
    <t>Capacity building in hygien and saniation, provision of water and sanitation services at schools and rural areas,</t>
  </si>
  <si>
    <t>INCLUSIVE GROWTH PROMOTION INSTITUTIONNAL SUPPORT PROJECT (I</t>
  </si>
  <si>
    <t>P-GM-KF0-002</t>
  </si>
  <si>
    <t>PLATEAU STATE POTATO VALUE CHAIN SUPPORT PROJECT (PS-PVCP)</t>
  </si>
  <si>
    <t>P-NG-A00-008</t>
  </si>
  <si>
    <t>THREE TOWNS WATER SUPPLY AND SANITATION PROJECT - SUPPLEMENT</t>
  </si>
  <si>
    <t>P-SL-E00-007</t>
  </si>
  <si>
    <t>Hygien education at community level</t>
  </si>
  <si>
    <t>EMERGENCY HUMANITARIAN ASSISTANCE TO POPULATION AFFECTED BY</t>
  </si>
  <si>
    <t>P-SS-AA0-003</t>
  </si>
  <si>
    <t>Food provision (maize, vegitable and pulses); nutrition eduction</t>
  </si>
  <si>
    <t>Adress food and nutrition needs of the vulnerable population</t>
  </si>
  <si>
    <t>Increased households' acceptable food consumption score</t>
  </si>
  <si>
    <t>Emergency food and health supplies ; nutrition education</t>
  </si>
  <si>
    <t>NON-OIL REVENUE MOBILISATION AND ACCOUNTABILITY IN SOUTH SUD</t>
  </si>
  <si>
    <t>P-SS-KF0-004</t>
  </si>
  <si>
    <t>ISP FOR DOMESTIC RESOURCES MOBILIZATION AND NATURAL RESOURCE</t>
  </si>
  <si>
    <t>P-TZ-KF0-006</t>
  </si>
  <si>
    <t>GREATER ACCRA SUSTAINABLE SANITATION AND LIVEHOODS IMPROVEME</t>
  </si>
  <si>
    <t>P-GH-EA0-008</t>
  </si>
  <si>
    <t>Implement gender sensitive WASH clubs in schools</t>
  </si>
  <si>
    <t>Improved saniation</t>
  </si>
  <si>
    <t>WASH service provision; target identification;</t>
  </si>
  <si>
    <t>SUPPLEMENTARY FUNDING FOR THE RURAL WATER SUPPLY AND SANITAT</t>
  </si>
  <si>
    <t>P-GM-E00-006</t>
  </si>
  <si>
    <t>Hygien and sanitation education</t>
  </si>
  <si>
    <t>INTEGRATED PUBLIC FINANCIAL MANAGEMENT REFORM PROJECT : PHAS</t>
  </si>
  <si>
    <t>P-LR-K00-014</t>
  </si>
  <si>
    <t>DROUGHT RESILIENCE AND SUSTAINABLE LIVELIHOODS PROGRAMME DRL</t>
  </si>
  <si>
    <t>P-ER-AAZ-002</t>
  </si>
  <si>
    <t>Increase water availability.
Capacity building of farmers.
Offer livelihood packages.</t>
  </si>
  <si>
    <t>To contribute to the national goal of improving food and nutrition security, increase employment rate and contribute to poverty reduction</t>
  </si>
  <si>
    <t xml:space="preserve">Increase annual offtake
rate; milk yield </t>
  </si>
  <si>
    <t>Agriculture, distribution services and capacity building</t>
  </si>
  <si>
    <t>SUB-NATIONAL DEBT MANAGEMENT CAPACITY BUILDING PROJECT (SUBD</t>
  </si>
  <si>
    <t>P-NG-KF0-003</t>
  </si>
  <si>
    <t>INSTITUTIONAL SUPPORT FOR STATE ENTERPRISES REFORMS AND DELI</t>
  </si>
  <si>
    <t>P-ZW-KF0-008</t>
  </si>
  <si>
    <t>MERIDIAN CONSOLIDATED INVESTMENTS LIMITED</t>
  </si>
  <si>
    <t>P-Z1-AAZ-048</t>
  </si>
  <si>
    <t>Malawi, Mozambique, Zambia</t>
  </si>
  <si>
    <t>HUMANITARIAN EMERGENCY ASSISTANCE TO MITIGATE THE EFFECTS OF</t>
  </si>
  <si>
    <t>P-TZ-KZ0-001</t>
  </si>
  <si>
    <t>OLAM AFRICA INVESTMENT PROGRAM II</t>
  </si>
  <si>
    <t>P-Z1-AAG-007</t>
  </si>
  <si>
    <t>All regions of Africa</t>
  </si>
  <si>
    <t>PROGRAMME D’APPUI A L'ACCÉLÉRATION DE L’INDUSTRIALISATION AU</t>
  </si>
  <si>
    <t>P-MA-K00-013</t>
  </si>
  <si>
    <t>PROGRAMME D'APPUI AU PLAN MAROC VERT</t>
  </si>
  <si>
    <t>P-MA-IBD-011</t>
  </si>
  <si>
    <t xml:space="preserve">NA
</t>
  </si>
  <si>
    <t>PROJET D'APPUI AU PROGRAMME NATIONAL D'ECONOMIE D'EAU D'IRRI</t>
  </si>
  <si>
    <t>P-MA-AAC-016</t>
  </si>
  <si>
    <t>PROGRAMME D’APPUI AU DÉVELOPPEMENT RÉGIONAL INCLUSIF PADRI I</t>
  </si>
  <si>
    <t>P-TN-IAZ-003</t>
  </si>
  <si>
    <t>PROJET DE VALORISATION DES PI A TRAVERS LE DEVELOPPEMENT DES</t>
  </si>
  <si>
    <t>P-TN-AAB-001</t>
  </si>
  <si>
    <t>ASSAINISSEMENT DES PETITES COMMUNES DE MOINS DE 10 000 HABIT</t>
  </si>
  <si>
    <t>P-TN-EB0-004</t>
  </si>
  <si>
    <t>Access to water and sanitation and water resources management</t>
  </si>
  <si>
    <t>Rate of purification of collected wastewater</t>
  </si>
  <si>
    <t>PROJET COMPLEMENTAIRE D'APPUI A LA RECONSTRUCTION DES COMMUN</t>
  </si>
  <si>
    <t>P-CF-IE0-006</t>
  </si>
  <si>
    <t>promote  food  security
income-generating  activities  of  vulnerable  groups</t>
  </si>
  <si>
    <t xml:space="preserve">availability  of  foodstuff;  ii) 
regression of food insecurity </t>
  </si>
  <si>
    <t>APPUI À GRAINE : PROGRAMME PPP AGRICOLE ET AGRO-INDUSTRIE PH</t>
  </si>
  <si>
    <t>P-GA-A00-003</t>
  </si>
  <si>
    <t>ETUDE STRATÉGIE DE TRANSFORMATION DE L'AGRICULTURE BASÉE SUR</t>
  </si>
  <si>
    <t>P-GA-A00-004</t>
  </si>
  <si>
    <t>RENFORCEMENT DES CAPACITÉS POUR L'EMPLOYABILITÉ DES JEUNES E</t>
  </si>
  <si>
    <t>P-GA-IAE-002</t>
  </si>
  <si>
    <t>increased diversification  of  vocational  training,  
technical  education  and  health  offers</t>
  </si>
  <si>
    <t>women</t>
  </si>
  <si>
    <t>PROGRAMME INTÉGRÉ D'ALIMENTATION EN EAU POTABLE ET ASSAINISSEMENT</t>
  </si>
  <si>
    <t>P-GA-E00-001</t>
  </si>
  <si>
    <t>Drinking water access rate</t>
  </si>
  <si>
    <t>Prevalence rate of waterborne disease</t>
  </si>
  <si>
    <t>Drinking water access rate;</t>
  </si>
  <si>
    <t>PROGRAMME D'APPUI A LA GOUVERNANCE ET A LA PROMOTION DE L'AG</t>
  </si>
  <si>
    <t>P-TG-KA0-002</t>
  </si>
  <si>
    <t>ECONOMIC COMPETITIVENESS SUPPORT PROGRAMME, PHASE II</t>
  </si>
  <si>
    <t>P-MG-KA0-011</t>
  </si>
  <si>
    <t xml:space="preserve">Improvement of 
sanitary standards for
agricultural and agroindustrial
products
</t>
  </si>
  <si>
    <t>PROJET D'ASSAINISSEMENT DE LA VILLE DE BAMAKO</t>
  </si>
  <si>
    <t>P-ML-EB0-004</t>
  </si>
  <si>
    <t>Reduce mortality rate of children under five.</t>
  </si>
  <si>
    <t>Delivery of sanitation services  improved</t>
  </si>
  <si>
    <t>Cases of  diarrhoea and/or cholera reduced;</t>
  </si>
  <si>
    <t>SCHEMA NATIONAL D'AMENAGEMENT DU TERRITOIRE</t>
  </si>
  <si>
    <t>P-ML-KA0-005</t>
  </si>
  <si>
    <t>PROJET D’AMENAGT, DE DEVELOPT INTEGRE ET DE RESILIENCE DES C</t>
  </si>
  <si>
    <t>P-ML-EAZ-004</t>
  </si>
  <si>
    <t>WHO</t>
  </si>
  <si>
    <t>PROJET D’APPUI À LA CRÉATION D’UN OBT ET PPI</t>
  </si>
  <si>
    <t>P-Z1-EAZ-047</t>
  </si>
  <si>
    <t>Gabon, Cameroun, Congo, Guinée Equatoriale</t>
  </si>
  <si>
    <t>PROJET D’APPUI A LA TRANSFORMATION DU CAFRAD (PAT-CAFRAD)</t>
  </si>
  <si>
    <t>P-Z1-KF0-052</t>
  </si>
  <si>
    <t>Chad, Gabon, Cameroun, Congo, Guinée Equatoriale</t>
  </si>
  <si>
    <t>PROJET D'APPUI AU RENFORCEMENT DES CAPACITÉS INSTITUTIONNELL</t>
  </si>
  <si>
    <t>P-GW-KF0-009</t>
  </si>
  <si>
    <t>PUBLIC FINANCIAL MANAGEMENT AND PRIVATE SECTOR COMPETITIVENE</t>
  </si>
  <si>
    <t>P-GH-KA0-006</t>
  </si>
  <si>
    <t>LESOTHO – ECONOMIC DIVERSIFICATION SUPPORT PROJECT</t>
  </si>
  <si>
    <t>P-LS-KF0-002</t>
  </si>
  <si>
    <t>IMPROVING ACCESS TO WATER AND SANITATION IN RURAL SOMALIA</t>
  </si>
  <si>
    <t>P-SO-E00-002</t>
  </si>
  <si>
    <t>MULTINATIONAL-GEF RURAL LIVELIHOODS ADAPTATION TO CLIMATE CH</t>
  </si>
  <si>
    <t>P-Z1-AAZ-039</t>
  </si>
  <si>
    <t>Djoibouti,Kenya</t>
  </si>
  <si>
    <t>DJIBOUTI-GEF RURAL LIVELIHOODS ADAPTATION TO CLIMATE CHANGE</t>
  </si>
  <si>
    <t>P-Z1-AAZ-047</t>
  </si>
  <si>
    <t>INCLUSIVE BASIC SERVICE DELIVERY AND LIVELIHOOD EMPOWERMENT</t>
  </si>
  <si>
    <t>P-NG-I00-001</t>
  </si>
  <si>
    <t>Community based nutrition; youth training in nutrition and health</t>
  </si>
  <si>
    <t>Climate change  adaptation, social inclusion and gender, youth partcipation and prommotion,</t>
  </si>
  <si>
    <t>Fish  Farmers</t>
  </si>
  <si>
    <t>ENABLE YOUTH NIGERIA</t>
  </si>
  <si>
    <t>P-NG-AAG-007</t>
  </si>
  <si>
    <t>ECONOMIC GOVERNANCE AND ENERGY SUPPORT  PROGRAM  II</t>
  </si>
  <si>
    <t>P-EG-K00-010</t>
  </si>
  <si>
    <t>TANZANIA AGRICULTURAL DEVELOPMENT BANK</t>
  </si>
  <si>
    <t>P-TZ-AA0-025</t>
  </si>
  <si>
    <t>JOBS FOR YOUTH MALAWI</t>
  </si>
  <si>
    <t>P-MW-IA0-005</t>
  </si>
  <si>
    <t>STRENGTHENING INSTITUTIONS FOR PUBLIC WORKS</t>
  </si>
  <si>
    <t>P-SO-IZ0-007</t>
  </si>
  <si>
    <t>ENABLE YOUTH SUDAN</t>
  </si>
  <si>
    <t>P-SD-AAZ-006</t>
  </si>
  <si>
    <t>No directly related to nutrition, but some activities help to promote nutrition. Included gender sensitive activities.</t>
  </si>
  <si>
    <t>To contribute to job creation, food security and nutrition, income generation and improved livelihoods for youths in both urban and rural areas</t>
  </si>
  <si>
    <t>Basic socioeconomic services in the war affected areas.</t>
  </si>
  <si>
    <t>RWANDA NATIONAL WATER SUPPLY AND SANITATION MASTERPLANS</t>
  </si>
  <si>
    <t>P-RW-EA0-013</t>
  </si>
  <si>
    <t>GROUNDWATER ASSESSMENT, AQUIFER MAPPING AND WELL DEVELOPMENT</t>
  </si>
  <si>
    <t>P-ER-EAZ-003</t>
  </si>
  <si>
    <t>AQUACULTURE ENTERPRISE DEV. PROJECT</t>
  </si>
  <si>
    <t>P-ZM-AAF-002</t>
  </si>
  <si>
    <t xml:space="preserve">increase fish production and food/nutrition security at household level: addresses poor  fish farming techniques, and inadequate nutrition education and insufficient value addition to fish and fish products compound the problem.; awareness
campaigns on HIV/AIDS and STDs </t>
  </si>
  <si>
    <t>To contribute to economic growth as well as food and nutrition,security in Zambia: enhanced production and productivity, in order to improve the livelihoods of beneficiaries along the aquaculture value chain.</t>
  </si>
  <si>
    <t>Increase per capiata household  fish consumption</t>
  </si>
  <si>
    <t>INTEGRATED SMALL TOWNS WATER AND SANITATION PROJECT</t>
  </si>
  <si>
    <t>P-ZM-E00-011</t>
  </si>
  <si>
    <t>ORANGE-SENGU IVESTMENT PLAN AND PROJECT PREPARATION</t>
  </si>
  <si>
    <t>P-Z1-EAZ-048</t>
  </si>
  <si>
    <t>Botswana, Lesotho, Namibia and South Africa</t>
  </si>
  <si>
    <t>KENYA TOWNS SUSTAINABLE WATER SUPPLY AND SANITATION PROGRAM</t>
  </si>
  <si>
    <t>P-KE-E00-011</t>
  </si>
  <si>
    <t>EMERGENCY ASSISTANCE TO SUPPORT THE FIGHT AGAINST MALNUTRITI</t>
  </si>
  <si>
    <t>P-NG-IC0-003</t>
  </si>
  <si>
    <t>deliver nutrition service; provision of micronutrients; treating malnourished children</t>
  </si>
  <si>
    <t>Coordination and monitoring of nutrition response</t>
  </si>
  <si>
    <t>treat severely under five children</t>
  </si>
  <si>
    <t>reduce undernutrition</t>
  </si>
  <si>
    <t>Community mobilization for nutrition, service coverage, capacity building on nutrition.</t>
  </si>
  <si>
    <t>Children</t>
  </si>
  <si>
    <t>ECONOMIC GOVERNANCE, DIVERSIFICATION AND COMPETITIVENESS SUP</t>
  </si>
  <si>
    <t>P-NG-KA0-002</t>
  </si>
  <si>
    <t>YOUTH AND WOMEN EMPOWERMENT PROJECT</t>
  </si>
  <si>
    <t>P-ZW-IE0-003</t>
  </si>
  <si>
    <t xml:space="preserve">Horticulture,
mopane worms and
honey processing ; Support diary and poultry production by youth and women. </t>
  </si>
  <si>
    <t>SUPPORT TO THE AFRICAN CAPACITY BUILDING FOUNDATION FOR SMTP</t>
  </si>
  <si>
    <t>P-Z1-KF0-049</t>
  </si>
  <si>
    <t>All African Regions</t>
  </si>
  <si>
    <t>AFE BABALOLA UNIVERSITY NIGERIA</t>
  </si>
  <si>
    <t>P-NG-IAD-001</t>
  </si>
  <si>
    <t>SOMALIA NATIONAL STATISTICAL CAPACITY BUILDING PROJECT</t>
  </si>
  <si>
    <t>P-SO-KF0-010</t>
  </si>
  <si>
    <t>FORM GHANA REFORESTATION PROJECT</t>
  </si>
  <si>
    <t>P-GH-AA0-036</t>
  </si>
  <si>
    <t>AGRICULTURAL INFRASTRUCTURE AND YOUTH AGRIBUSINESS PROJECT (</t>
  </si>
  <si>
    <t>P-MW-AAZ-004</t>
  </si>
  <si>
    <t>OLAM AFRICA INVESTMENT PROGRAM</t>
  </si>
  <si>
    <t>P-Z1-AAG-004</t>
  </si>
  <si>
    <t>EXPORT TRADING COMPANY GROUP - ETG</t>
  </si>
  <si>
    <t>P-Z1-AAZ-038</t>
  </si>
  <si>
    <t>EMERGENCY ASSISTANCE TO SUPPORT GUINEA BISSAU PREPAREDENS S R TO FIGHT ZIKA VIRUS</t>
  </si>
  <si>
    <t>P-GW-IB0-004</t>
  </si>
  <si>
    <t>infection control (Zika virus; Social mobilization; Capacity building</t>
  </si>
  <si>
    <t xml:space="preserve">Reduce morbidity 
</t>
  </si>
  <si>
    <t>Improved epidemic response</t>
  </si>
  <si>
    <t>omprehensive response plan adressing outbreak and risks.WHO supports technical support</t>
  </si>
  <si>
    <t>Community</t>
  </si>
  <si>
    <t>SOUTH AFRICA MUNICIPAL FINANCIAL MANAGEMENT TECHNICAL ASSIST</t>
  </si>
  <si>
    <t>P-ZA-KA0-002</t>
  </si>
  <si>
    <t>ENABLE YOUTH - SIERRA LEONE</t>
  </si>
  <si>
    <t>P-SL-A00-003</t>
  </si>
  <si>
    <t>EAC - NELSON MANDELA INSTITUTE - AFRICAN INSTITUTIONS OF SCI</t>
  </si>
  <si>
    <t>P-Z1-IA0-016</t>
  </si>
  <si>
    <t>URBAN SANITATION, DRAINAGE AND SOLID WASTE MANAGEMENT IN Chimoio and Inhambane</t>
  </si>
  <si>
    <t>P-MZ-EAZ-003</t>
  </si>
  <si>
    <t>RESILIENCE WATER PROJECT FOR IMPROVED LIVELIHOOD IN JUBA</t>
  </si>
  <si>
    <t>P-SS-E00-002</t>
  </si>
  <si>
    <t>SEEP III</t>
  </si>
  <si>
    <t>P-RW-IZ0-004</t>
  </si>
  <si>
    <t>EMERGENCY HUMANITARIAN RELIEF ASSISTANCE FOR DROUGHT VICTIMS</t>
  </si>
  <si>
    <t>P-SZ-A00-003</t>
  </si>
  <si>
    <t>Food supplies to victims food security, water and sanitation, social protection, health and nutrition and education.</t>
  </si>
  <si>
    <t xml:space="preserve">contributes to  humanitarian partners to
save lives and protect livelihoods in the current crisis </t>
  </si>
  <si>
    <t>Improve household food consumption during the assistance period.</t>
  </si>
  <si>
    <t>Food distributed in sufficient quantity and quality to target groups  (women, men, boys and girls)</t>
  </si>
  <si>
    <t>Plan and operate emergency food assistance; prommote women partnership in leadership, identify targets</t>
  </si>
  <si>
    <t>EMERGENCY HUMANITARIAN RELIEF ASSISTANCY DROUGHT DISASTER</t>
  </si>
  <si>
    <t>P-MZ-AA0-032</t>
  </si>
  <si>
    <t>WATER INFRASTRUCTURE DEVELOPMENT FOR RESILIENCE IN SOMALILAN</t>
  </si>
  <si>
    <t>P-SO-E00-001</t>
  </si>
  <si>
    <t>MIC GRANT STRENGTHENING OF FEDERAL MINISTRY OF AGRICULTURE A</t>
  </si>
  <si>
    <t>P-NG-AA0-037</t>
  </si>
  <si>
    <t>REGIONAL INSTITUTIONAL SUPPORT PROJECT ON PUBLIC FINANCIAL G</t>
  </si>
  <si>
    <t>P-Z1-K00-059</t>
  </si>
  <si>
    <t>MULTINATIONAL - REGIONAL INSTITUTIONAL SUPPORT PROJECT ON PU</t>
  </si>
  <si>
    <t>P-Z1-K00-081</t>
  </si>
  <si>
    <t>Somalia, South Sudan, Central African
Republic and Democratic Republic of Congo</t>
  </si>
  <si>
    <t>MIC-GRANT SUPPORT TO BANK OF AGRICULTURE (BOA) LIMITED</t>
  </si>
  <si>
    <t>P-NG-A00-011</t>
  </si>
  <si>
    <t>LIBERIA YOUTH ENTREPRENEURSHIP AND EMPLOYMENT PROJECT</t>
  </si>
  <si>
    <t>P-LR-KB0-001</t>
  </si>
  <si>
    <t>LOWER USUTHU SMALLHOLDER IRRIGATION PROJECT II</t>
  </si>
  <si>
    <t>P-SZ-AAC-005</t>
  </si>
  <si>
    <t>MANAGEMENT OF RURAL WATER SUPPLY FACILITIES BY PRIVATE CONTR</t>
  </si>
  <si>
    <t>P-MA-EAZ-005</t>
  </si>
  <si>
    <t>HUMANITARIAN EMERGENCY ASSISTANCE TO MITIGATE EFFECTS OF 201</t>
  </si>
  <si>
    <t>P-MW-AA0-029</t>
  </si>
  <si>
    <t>Food distribution (maize) ;Food processing and handling</t>
  </si>
  <si>
    <t>To save lives and protect livelihoods of the affected people during the food shortage period of
October 2015 to April 2016</t>
  </si>
  <si>
    <t>Nutrition status of food victims improved</t>
  </si>
  <si>
    <t>Improved food consumption of the targetted households</t>
  </si>
  <si>
    <t>Transportation , food distribution,  nutrition education</t>
  </si>
  <si>
    <t>AGRICULTURE VALUE CHAIN DEVELOPMENT PROJECT</t>
  </si>
  <si>
    <t>P-GM-AA0-014</t>
  </si>
  <si>
    <t>MIC TAF GRANT LUSWISHI FARM BLOCK</t>
  </si>
  <si>
    <t>P-ZM-AA0-025</t>
  </si>
  <si>
    <t>DEVELOP A STRATEGY ON CLIMATE RESILIENCE</t>
  </si>
  <si>
    <t>P-UG-C00-003</t>
  </si>
  <si>
    <t>OPERATIONAL AND FINANCIAL SUPPORT TO THE ALSF UNDER PILLAR I</t>
  </si>
  <si>
    <t>P-Z1-K00-083</t>
  </si>
  <si>
    <t>All Regions of Africa(RMCs)</t>
  </si>
  <si>
    <t>MIC - EDUCATION FOR SUSTAINABLE DEVELOPMENT IN NATURAL  RESOURCE MANAGEMENT OPERATION</t>
  </si>
  <si>
    <t>P-ZA-IA0-002</t>
  </si>
  <si>
    <t>MIC - SUPPORT TO THE NAMIBIA NATIONAL COUNCIL ON HIGHER EDUC</t>
  </si>
  <si>
    <t>P-NA-IAD-004</t>
  </si>
  <si>
    <t>ISP FOR GOOD GOVERNANCE III</t>
  </si>
  <si>
    <t>P-TZ-KF0-005</t>
  </si>
  <si>
    <t>WATER SUPPLY AND SANITATION PROGRAMME PHASE II</t>
  </si>
  <si>
    <t>P-UG-E00-012</t>
  </si>
  <si>
    <t>Behavioural communication in hygien ; HIV/AIDS campaign</t>
  </si>
  <si>
    <t>Reduced diarhea morbidity and infant mortality</t>
  </si>
  <si>
    <t>The Local Development Partner Group )LDPG)  participate in all saniation and hygien activities</t>
  </si>
  <si>
    <t>CAPACITY BUILDING FOR ENHANCED GENDER PARTICIPATION IN PEACE and DEVELOPMENT ACTIVITIES</t>
  </si>
  <si>
    <t>P-SD-ID0-003</t>
  </si>
  <si>
    <t>SDG</t>
  </si>
  <si>
    <t>NATIONAL DRAINAGE TECHNICAL ASSISTANCE</t>
  </si>
  <si>
    <t>P-EG-AAC-025</t>
  </si>
  <si>
    <t>SOCIO-ECONOMIC RE-INTEGRATION OF YOUTH AT RISK</t>
  </si>
  <si>
    <t>P-SO-IE0-003</t>
  </si>
  <si>
    <t>FIEFOC2 FARM INCOME ENHANCEMENT AND FOREST CONSERVATION PROJ</t>
  </si>
  <si>
    <t>P-UG-AAD-001</t>
  </si>
  <si>
    <t>ETHIOPIA FOUR TOWNS WATER SUPPLY AND SANITATION IMPROVEMENT</t>
  </si>
  <si>
    <t>P-ET-E00-011</t>
  </si>
  <si>
    <t>PROGRAMME D'APPUI AUX REFORMES FINANCIERE ET A LA SECURITE A</t>
  </si>
  <si>
    <t>P-NE-KA0-011</t>
  </si>
  <si>
    <t>NIGER - AIDE D’URGENCE HUMANITAIRE AUX DEPLACES DE GUERRE DE</t>
  </si>
  <si>
    <t>P-NE-A00-007</t>
  </si>
  <si>
    <t>Improving sanitary conditions and access to drinking water</t>
  </si>
  <si>
    <t>% of children residing diarrhea interval</t>
  </si>
  <si>
    <t>sufficient water for drinking and hygiene practices</t>
  </si>
  <si>
    <t>adequate access to drinking water</t>
  </si>
  <si>
    <t>PROJET DE RÉHABILITATION DES INFRASTRUCTURES D’APPUI À LA SÉ</t>
  </si>
  <si>
    <t>P-ST-AA0-005</t>
  </si>
  <si>
    <t>Local food product increases</t>
  </si>
  <si>
    <t>local food and fishery products  increased</t>
  </si>
  <si>
    <t>PROJET RIZICOLE DE LA COMPAGNIE AGRICOLE DE SAINT-LOUIS DU S</t>
  </si>
  <si>
    <t>P-SN-AAG-001</t>
  </si>
  <si>
    <t>food security and nutrition prommotion</t>
  </si>
  <si>
    <t>Reduction of diarrhoeal-disease-prevalence rate</t>
  </si>
  <si>
    <t>The dust in storage facilities</t>
  </si>
  <si>
    <t>PROGRAMME D’APPUI AUX REFORMES DU DEVELOPPEMENT LOCAL (PARDL</t>
  </si>
  <si>
    <t>P-SN-KA0-009</t>
  </si>
  <si>
    <t>PROJET DE RENFORCEMENT DE L’ALIMENTATION EN EAU POUR MULTI U</t>
  </si>
  <si>
    <t>P-SN-EA0-007</t>
  </si>
  <si>
    <t>Availability of drinking water increase</t>
  </si>
  <si>
    <t>Increased market-gardening production in the project area</t>
  </si>
  <si>
    <t>PROGRAMME D'APPROVISIONNEMENT EN EAU POTABLE EN MILIEU RURAL</t>
  </si>
  <si>
    <t>P-TN-E00-006</t>
  </si>
  <si>
    <t>Increase access to water and hygien  in disadvantaged rural areas</t>
  </si>
  <si>
    <t>ECONOMIC GOVERNANCE AND COMPETITIVENESS SUPPORT PROGRAM (PHA</t>
  </si>
  <si>
    <t>P-NA-KA0-002</t>
  </si>
  <si>
    <t>BASIC SERVICES TRANSFORMATION PROGRAMME – SUPPLEMENTARY FINANCING</t>
  </si>
  <si>
    <t>P-ET-K00-015</t>
  </si>
  <si>
    <t>Improved quality basic services in health, 
education and water and sanitation</t>
  </si>
  <si>
    <t>GREEN ZONES DEVELOPMENT SUPPORT PROJECT-PHASE II</t>
  </si>
  <si>
    <t>P-KE-AAD-005</t>
  </si>
  <si>
    <t>NAIROBI RIVERS REHABILITATION AND 
RESTORATION PROGRAM: SEWERAGE
IMPROVEMENT PROJECT</t>
  </si>
  <si>
    <t>P-KE-EB0-010</t>
  </si>
  <si>
    <t>Access to water and sanitation</t>
  </si>
  <si>
    <t>Increased access to
improved water and
sanitation
*Improved water quality</t>
  </si>
  <si>
    <t xml:space="preserve">Improved living
environment of people
around the Nairobi rivers, </t>
  </si>
  <si>
    <t>ECONOMIC GOVERNANCE AND ENERGY SUPPORT PROGRAM (EGESP)</t>
  </si>
  <si>
    <t>P-EG-K00-011</t>
  </si>
  <si>
    <t xml:space="preserve">SUPPORT EAPD FOR ENHANCING EGYPT- COMESA  TRADE AND INVESTMENT 
</t>
  </si>
  <si>
    <t>P-EG-I00-015</t>
  </si>
  <si>
    <t>PROGRAMME D’APPUI AU DÉVELOPPEMENT INCLUSIF ET DURABLE DES F</t>
  </si>
  <si>
    <t>P-MA-AA0-003</t>
  </si>
  <si>
    <t>UNDP</t>
  </si>
  <si>
    <t>PROJET D'AMELIORATION DE LA QUALITE D'EAU ET DES PERFORMANCE</t>
  </si>
  <si>
    <t>P-MA-E00-010</t>
  </si>
  <si>
    <t>improving water quality</t>
  </si>
  <si>
    <t>Water-borne disease rate</t>
  </si>
  <si>
    <t>Quality of treated water</t>
  </si>
  <si>
    <t>reduced use of chlorine</t>
  </si>
  <si>
    <t>PROJET D'APPUI À LA GOUVERNANCE FISCALE (PAGFI)</t>
  </si>
  <si>
    <t>P-TG-KF0-008</t>
  </si>
  <si>
    <t>PROGRAMME D'APPUI AUX REFORMES DE LA GESTION ECONOMIQUE</t>
  </si>
  <si>
    <t>P-MG-KA0-009</t>
  </si>
  <si>
    <t xml:space="preserve">the priority social sectors
(education, health and
nutrition) </t>
  </si>
  <si>
    <t>ASSISTANCE A LA LUTTE CONTRE LA MALNUTRITION SUITE A LA SECH</t>
  </si>
  <si>
    <t>P-MG-IC0-004</t>
  </si>
  <si>
    <t>Adress Incidence and mortality rate</t>
  </si>
  <si>
    <t>respond to urgent malnutrition(rapid respond to urgent malnutrition)</t>
  </si>
  <si>
    <t>Reduce death rate On 6 months</t>
  </si>
  <si>
    <t>protected by chemoprophylaxis</t>
  </si>
  <si>
    <t>PROJET PILOTE POUR LE RENFORCEMENT DE L’EMPLOYABILITÉ ET DE</t>
  </si>
  <si>
    <t>P-CV-IAZ-004</t>
  </si>
  <si>
    <t>MBABANE MANZINI CORRIDOR (NONDVO) MULTIPURPOSE DAM STUDY</t>
  </si>
  <si>
    <t>P-SZ-EAZ-002</t>
  </si>
  <si>
    <t>ZIMBABWE INTEGRATED URBAN WATER MANAGEMENT</t>
  </si>
  <si>
    <t>P-ZW-EAZ-002</t>
  </si>
  <si>
    <t>BULAWAYO WATER AND SEWERAGE SERVICES IMPROVEMENT PROJECT</t>
  </si>
  <si>
    <t>P-ZW-E00-006</t>
  </si>
  <si>
    <t>EMERGENCY HUMANITARIAN ASISTANCE TO REFUGEES FROM BURUNDI</t>
  </si>
  <si>
    <t>P-RW-AZ0-001</t>
  </si>
  <si>
    <t>CASHEW INFRASTRUCTURE DEVELOPMENT PROJECT (CIDP)</t>
  </si>
  <si>
    <t>P-ZM-AA0-024</t>
  </si>
  <si>
    <t>SUPPORT TO THE BEEF AND LEATHER VALUE CHAIN PROJECT</t>
  </si>
  <si>
    <t>P-ZW-AAG-001</t>
  </si>
  <si>
    <t>ADDITIONAL FINANCING TO URGENT WATER SUPPLY AND SANITATION R</t>
  </si>
  <si>
    <t>P-ZW-E00-005</t>
  </si>
  <si>
    <t>Improve  saniation and hygien practice and prommotion;; awarness creation on hygien and saniation, water quality monitoring for reducing epidemic disease.</t>
  </si>
  <si>
    <t>Reduced under five mortality</t>
  </si>
  <si>
    <t>improved hygien and sanitations</t>
  </si>
  <si>
    <t>INCLUSIVE PSD AND COMPETITIVENESS PBO-II</t>
  </si>
  <si>
    <t>P-SC-K00-005</t>
  </si>
  <si>
    <t>MULTINATIONAL STATISTICAL CAPACITY BUILDING PROGRAM (SCB 4.2</t>
  </si>
  <si>
    <t>P-Z1-K00-071</t>
  </si>
  <si>
    <t>All African Regions (RMCs)</t>
  </si>
  <si>
    <t>ARUSHA SUSTAINABLE WATER AND SANITATION DELIVERY PROJECT</t>
  </si>
  <si>
    <t>P-TZ-E00-008</t>
  </si>
  <si>
    <t>WATER SECTOR REFORMS AND INSTITUTIONAL CAPACITY DEVELOPMENT</t>
  </si>
  <si>
    <t>P-SD-E00-002</t>
  </si>
  <si>
    <t>STRENGTHENING INSTITUTIONS OF TRANSPARENCY AND ACCOUNTABILIT</t>
  </si>
  <si>
    <t>P-ZW-KF0-006</t>
  </si>
  <si>
    <t>MIC GRANT INSTITUTIONAL STRENGTHENING FOR PPP</t>
  </si>
  <si>
    <t>P-NA-KA0-001</t>
  </si>
  <si>
    <t>TRANSFORMING RURAL LIVELIHOODS IN WESTERN ZAMBIA - NATIONAL</t>
  </si>
  <si>
    <t>P-ZM-E00-028</t>
  </si>
  <si>
    <t>improve sanitations; hygien ; community facilities/schools</t>
  </si>
  <si>
    <t>LUSAKA SANITATION PROGRAM</t>
  </si>
  <si>
    <t>P-ZM-E00-010</t>
  </si>
  <si>
    <t>gender responsive hygien education.</t>
  </si>
  <si>
    <t>Reduce unde five mortality</t>
  </si>
  <si>
    <t>Sanitation and hygien education, services and capacity building</t>
  </si>
  <si>
    <t>POWER SECTOR REFORM AND GOVERNANCE SUPPORT PROGRAM (PSRGSP)</t>
  </si>
  <si>
    <t>P-TZ-K00-014</t>
  </si>
  <si>
    <t>UGANDA- LAKES EDWARD &amp; ALBERT INTERGRATED FISHERIES &amp;WATER R</t>
  </si>
  <si>
    <t>P-Z1-AAF-010</t>
  </si>
  <si>
    <t>TRANSACTION ADVISORY SUPPORT TO THE NIGERIAN FED. MIN. OF AG</t>
  </si>
  <si>
    <t>P-NG-A00-010</t>
  </si>
  <si>
    <t>MAHE SUSTAINABLE WATER AUGMENTATION PROJECT</t>
  </si>
  <si>
    <t>P-SC-EA0-004</t>
  </si>
  <si>
    <t>ADDITIONAL FUNDS TO WATER SUPPLY AND SAN</t>
  </si>
  <si>
    <t>P-UG-E00-013</t>
  </si>
  <si>
    <t>KIKONGE MULTIPURPOSE DAM HYDROPOWER AND IRRIGATION</t>
  </si>
  <si>
    <t>P-TZ-EAZ-003</t>
  </si>
  <si>
    <t>ETUDE ÉLABORATION DE PLAN D'AMÉNAGEMENT DE TERRITOIRE STP</t>
  </si>
  <si>
    <t>P-ST-K00-011</t>
  </si>
  <si>
    <t>PPF - PROGRAMME ENTREPRENEURIAT DES JEUNES DANS L’AGRICULTUR</t>
  </si>
  <si>
    <t>P-MG-AA0-029</t>
  </si>
  <si>
    <t>NKHATA BAY TOWN WATER SUPPLY AND SANITATION</t>
  </si>
  <si>
    <t>P-MW-E00-011</t>
  </si>
  <si>
    <t xml:space="preserve">Improved health and livelihoods of Nkhata
Bay Town residents and surrounding areas  </t>
  </si>
  <si>
    <t>Increased coverage of clean water supply and improved and inclusive sanitation</t>
  </si>
  <si>
    <t>Reduce water borne diseases</t>
  </si>
  <si>
    <t xml:space="preserve">Increased coverage of clean water supply
inclusive sanitation, 
Creation of employment opportunities
</t>
  </si>
  <si>
    <t>Water Infrastructure Development on Sanitation and Hygiene</t>
  </si>
  <si>
    <t>SHIRE VALLEY TRANSFORMATION PROJECT</t>
  </si>
  <si>
    <t>P-MW-AA0-024</t>
  </si>
  <si>
    <t>ASSISTANCE TECHNIQUE ET RENFORCEMENT DES CAPACITES EN GENRE</t>
  </si>
  <si>
    <t>P-Z1-KF0-046</t>
  </si>
  <si>
    <t>Madagascar, Comores</t>
  </si>
  <si>
    <t>APPUI AU SG DE L'UMA - PHASE 2</t>
  </si>
  <si>
    <t>P-Z1-K00-064</t>
  </si>
  <si>
    <t>Algérie, Libye, Maroc, Tunisie, Mauritanie </t>
  </si>
  <si>
    <t>SENEGAL_PROGRAMME DE RENFORCEMENT DE LA RÉSILIENCE À L’INSÉC</t>
  </si>
  <si>
    <t>P-Z1-AAZ-023</t>
  </si>
  <si>
    <t>Adressing nutrition insecurity for chronic malnutrition</t>
  </si>
  <si>
    <t>Reduce food and nutrition insecurity (acute/chronic malnutrition)</t>
  </si>
  <si>
    <t>Prevalence rate of acute malnutrition, chronic malnutrition</t>
  </si>
  <si>
    <t>Formation a nutrition</t>
  </si>
  <si>
    <t>Drinking Water Supply Network Enhacement in Libreville</t>
  </si>
  <si>
    <t>Africa Growing Together Fund (AGTF)</t>
  </si>
  <si>
    <t>Increase distribution of quality drinking water</t>
  </si>
  <si>
    <t>To improve the living conditions of the populations of Greater Libreville through increased access to water supply.</t>
  </si>
  <si>
    <t>% increase in quality of drinking water supply</t>
  </si>
  <si>
    <t>WASH - Improved hygiene and sanitation through access to quality water supply</t>
  </si>
  <si>
    <t>Aide d'urgence pour la lutte contre l'invasion de la chenille légionnaire d'automne</t>
  </si>
  <si>
    <t>P-TG-A00-005</t>
  </si>
  <si>
    <t>Special Relief Fund (SRF)</t>
  </si>
  <si>
    <t>Infestation control of fields with the fall armyworm</t>
  </si>
  <si>
    <t>To fight against the invasion of the fall armyworm and reduce losses of corn and rice production</t>
  </si>
  <si>
    <t>% reduction in losses of corn and rice production; Reduction in the number of households with food and nutritional needs</t>
  </si>
  <si>
    <t>Agriculture - Availibility and Accesibility to food</t>
  </si>
  <si>
    <t>Aide d’urgence pour la lutte intégrée contre l’invasion de la chenille légionnaire d’automne</t>
  </si>
  <si>
    <t>P-GN-A00-005</t>
  </si>
  <si>
    <t>To fight against the invasion of the fall armyworm and reduce mais/corn production losses</t>
  </si>
  <si>
    <t>% reduction in the rate of production losses</t>
  </si>
  <si>
    <t>Africa Disaster Risks Financing (ADRiFi) Programme</t>
  </si>
  <si>
    <t>P-Z1-HZ0-034</t>
  </si>
  <si>
    <t>To enhance the resilience and response to climate shocks</t>
  </si>
  <si>
    <t>NA - Na</t>
  </si>
  <si>
    <t>Urgent Water Supply and Sanitation Rehabilitation Project - Consolidation Works</t>
  </si>
  <si>
    <t>P-ZW-E00-009</t>
  </si>
  <si>
    <t>ZimFund</t>
  </si>
  <si>
    <t>Iimproved water supply and sanitation services</t>
  </si>
  <si>
    <t>To improve access to water supply and sanitation services for improved public health status</t>
  </si>
  <si>
    <t>% reduction in diarrhoea morbidity in children under 5</t>
  </si>
  <si>
    <t>Increased access to improved water supply and sanitation services</t>
  </si>
  <si>
    <t>WASH - Access to improved water and sanitation for public health</t>
  </si>
  <si>
    <t>Programme for Integrated Development and Adaptation to Climate Change in the Niger Basin (PIDACC)</t>
  </si>
  <si>
    <t>P-Z1-C00-067(070)</t>
  </si>
  <si>
    <t>Benin, Burkina Faso, Cameroon, Côte d’Ivoire, Guinea, Mali, Niger, and Nigeria</t>
  </si>
  <si>
    <t>To improve the resilience of the people and ecosystems</t>
  </si>
  <si>
    <t>NA - NA</t>
  </si>
  <si>
    <t>Cashew Nuts Sector and Agricultural Entrepreneurship Development Support Project (PADEFA-ENA)</t>
  </si>
  <si>
    <t>P-BJ-A00-005</t>
  </si>
  <si>
    <t>Nutritional awareness of 1,500 people, 30% of whom are men</t>
  </si>
  <si>
    <t>To contribute to poverty reduction and improved food and nutrition security in Benin</t>
  </si>
  <si>
    <t>Reduction in the prevalence rate of chronic malnutrition (among children under 5 years of age)</t>
  </si>
  <si>
    <t>% increase in minimum acceptable diet score</t>
  </si>
  <si>
    <t>Number of people sensitized per year on nutrition, including 30% of men</t>
  </si>
  <si>
    <t>Education - Education and knowledge for improved health and nutrition security</t>
  </si>
  <si>
    <t>Agro-Food Processing Project (PTA-Togo) - Additional Financing</t>
  </si>
  <si>
    <t>P-TG-AA0-012</t>
  </si>
  <si>
    <t>Training and technical assistance from state services on gender, nutrition and local development approach</t>
  </si>
  <si>
    <t>To promote the development of priority value chains, and establishment of infrastructure for production, storage and processing</t>
  </si>
  <si>
    <t>% decrease of children affected by chronic malnutrition (including girls)</t>
  </si>
  <si>
    <t>% of children aged 6-23 months with a minimum acceptable diets; Rate of household access to improved drinking water</t>
  </si>
  <si>
    <t>Agriculture - Training and capacity building</t>
  </si>
  <si>
    <t>Support Project for Alternative Welfare of Children and Young People Involved in the Cobalt Supply Chain (PABEA-COBALT)</t>
  </si>
  <si>
    <t>P-CD-I00-010</t>
  </si>
  <si>
    <t>Sensitization of the population on education and health care access, hygiene and sanitation and behaviour change for the prevention of epidemics, gender equity, nutrition quality, reproductive health and desirable births, etc.</t>
  </si>
  <si>
    <t>To contribute to improving the living conditions of people in the Lualaba and Haut-Katanga provinces</t>
  </si>
  <si>
    <t>% of children with chronic malnutrition disaggregated by sex</t>
  </si>
  <si>
    <t>% reduction of households affected by food insecurity; % increase in basic foodstuffs produced locally</t>
  </si>
  <si>
    <t>Social - Nutrition education and awareness</t>
  </si>
  <si>
    <t>Women and children</t>
  </si>
  <si>
    <t>Additional Financing - Sustainable Rural Water And Sanitation Infrastructure For Improved Health and Livelihoods Project</t>
  </si>
  <si>
    <t>P-MW-E00-009</t>
  </si>
  <si>
    <t>Provision of quality drinking water sources; promotion of open defecation-free (ODF) communities and improved household sanitation through sanitation marketing and improved hygiene practices; education on water and sanitation</t>
  </si>
  <si>
    <t>To improve access to clean and sustainable water supply and improved health of rural communities</t>
  </si>
  <si>
    <t>Access to clean drinking water (% population, disaggregated by sex); No. of additional people with access to improved sanitation (by gender)</t>
  </si>
  <si>
    <t>Improved water quality</t>
  </si>
  <si>
    <t>No. of people trained in improved environmental health sanitation &amp; hygiene by gender</t>
  </si>
  <si>
    <t>WASH - Access to clean drinking water and improved sanitation</t>
  </si>
  <si>
    <t>Strengthening Transboundary Cooperation and Integrated Natural Resources Management in the Songwe River Basin</t>
  </si>
  <si>
    <t>P-Z1-EAZ-054</t>
  </si>
  <si>
    <t>TANZANIA and MALAWI</t>
  </si>
  <si>
    <t>Natural resources management in the Songwe River Basin to increase household incomes in the basin</t>
  </si>
  <si>
    <t>To enhance basin protection, livelihoods and integrated water resources management</t>
  </si>
  <si>
    <t>Kandadji Ecosystems Regeneration and Niger Valley Development Programme Support Project (PA_KRESMIN)</t>
  </si>
  <si>
    <t>P-NE-AA0-020</t>
  </si>
  <si>
    <t>Support on food production</t>
  </si>
  <si>
    <t>To contribute to poverty reduction and the regeneration of river ecosystems</t>
  </si>
  <si>
    <t>Reduction in the number of food insecure people</t>
  </si>
  <si>
    <t>Project to Support the Development of Agricultural Value Chains in Six Provinces in DRC (PADCA-6P)</t>
  </si>
  <si>
    <t>P-CD-A00-007</t>
  </si>
  <si>
    <t>Development of Harvest Products and Nutrition and Market Preference Technology; Building the Capacity of Community Relays and Health Workers in Nutrition; Baseline Survey on the Nutritional Status of Under-five Children; Sensitization on Nutrition, Hygiene and Health/Nutritional Surveillance</t>
  </si>
  <si>
    <t>To contribute to sustainable food and nutrition security</t>
  </si>
  <si>
    <t>Reduction in food insecurity rate; reduction in chronic malnutrition rate</t>
  </si>
  <si>
    <t>Increase in number of jobs and economic opportunities created for youths/women</t>
  </si>
  <si>
    <t>Agriculture - Agricultural value chain for increased food access and nutrition security</t>
  </si>
  <si>
    <t>African Agriculture Impact Investments LTD</t>
  </si>
  <si>
    <t>P-Z1-AAZ-055</t>
  </si>
  <si>
    <t>To promote the critical Agricultural Transformation Enablers</t>
  </si>
  <si>
    <t>Lowlands Rural Water Supply and Sanitation Project</t>
  </si>
  <si>
    <t>P-LS-E00-007</t>
  </si>
  <si>
    <t>Promotion of hygiene and sanitation; increased coverage of clean water supply</t>
  </si>
  <si>
    <t>To increase coverage in the project area by providing improved, sustainable, equitable and inclusive access to water supply and sanitation</t>
  </si>
  <si>
    <t>Reduction in under-five mortality rate</t>
  </si>
  <si>
    <t>% of people practicing good hygiene in the project area - disaggregated by gender</t>
  </si>
  <si>
    <t>Number of people educated, reached and trained on hygiene and health</t>
  </si>
  <si>
    <t>WASH - Access to improved water and sanitation</t>
  </si>
  <si>
    <t>Africa Disaster Risks Financing Programme (ADRIFI)</t>
  </si>
  <si>
    <t>P-MG-HZ0-001</t>
  </si>
  <si>
    <t>Integrated Agro-Industrial Parks Support Project (IAIPSP)</t>
  </si>
  <si>
    <t>P-ET-AAG-005</t>
  </si>
  <si>
    <t>Development of quality and relevant skills for agro production</t>
  </si>
  <si>
    <t>To create a better environment for increased investment in agro-food and allied sectors</t>
  </si>
  <si>
    <t>% of students trained who either become employed or self-employed in agro value chains or in agro industries- disaggregated by gender, 50% of which are women</t>
  </si>
  <si>
    <t>Agriculture - Capacity building</t>
  </si>
  <si>
    <t>Farming households and communities</t>
  </si>
  <si>
    <t>Strategic Water Supply and Sanitation Improvement Project (SWSSIP)</t>
  </si>
  <si>
    <t>P-SS-E00-003</t>
  </si>
  <si>
    <t>Strengthened water supply system</t>
  </si>
  <si>
    <t>To improve the quality of life and productivity in Juba City and the surrounding rural communities of Jubek State through safe, adequate and affordable water supply and sanitation services</t>
  </si>
  <si>
    <t>Reduced under-five mortality rate in Juba; reduced waterborne disease incidences recorded in Juba</t>
  </si>
  <si>
    <t>Number of hygiene/sanitation campaigns conducted</t>
  </si>
  <si>
    <t>Ministry of Water, JICA</t>
  </si>
  <si>
    <t>WASH - Access to improved hygiene and sanitation for reduced under-five mortality</t>
  </si>
  <si>
    <t>Support for the Development of Value Chains in the Fisheries and Aquaculture Sector (PASPA)</t>
  </si>
  <si>
    <t>P-GQ-AAF-004</t>
  </si>
  <si>
    <t>Local nutritional education on good dietary practices and fish consumption; survey of household food consumption</t>
  </si>
  <si>
    <t>To contribute towards improved food security and living conditions of the target communities by promoting the value chains of the fisheries and aquaculture sector</t>
  </si>
  <si>
    <t>% reduction of chronic malnutrition rate</t>
  </si>
  <si>
    <t>Number of additional households with drinking water supply</t>
  </si>
  <si>
    <t>Food consumption survey conducted; Number of additional households with drinking water supply; Number of fish markets</t>
  </si>
  <si>
    <t>Yes - Nutrition education for improved dietary intake</t>
  </si>
  <si>
    <t>Project to Develop and Promote Agricultural Subsectors in Zaghouan Governorate</t>
  </si>
  <si>
    <t>P-TN-AA0-009</t>
  </si>
  <si>
    <t>Increased agricultural diversification and productivity</t>
  </si>
  <si>
    <t>To create more added value through the promotion of priority agricultural sectors</t>
  </si>
  <si>
    <t>Guarantee and grant from the Africa Fertilizer Financing Mechanism (AFFM) to the African Fertilizer and Agribusiness partnership (AFAP)</t>
  </si>
  <si>
    <t>NONE</t>
  </si>
  <si>
    <t>AFFM</t>
  </si>
  <si>
    <t>Increased affortable fertilizer availability and usage</t>
  </si>
  <si>
    <t>To provide agricultural finance in order to increase fertilizer use for improved food security</t>
  </si>
  <si>
    <t>Water Valorization for Value Chain Development Project (PROVALE-CV)</t>
  </si>
  <si>
    <t>P-SN-A00-013</t>
  </si>
  <si>
    <t>To achieve strong, inclusive and sustainable economic growth, and to improve the living conditions of rural communities</t>
  </si>
  <si>
    <t>Youth Entrepreneurship and Innovation Multidonor Trust Fund (YEI MDTF)</t>
  </si>
  <si>
    <t>YEI MDTF</t>
  </si>
  <si>
    <t>To support youth entrepreneurship and innovation</t>
  </si>
  <si>
    <t>Youth</t>
  </si>
  <si>
    <t>Guarantee and Grant from the Africa Fertilizer Financing Mechanism (AFFM) to the African Fertilizer and Agribusiness Partnership (AFAP)</t>
  </si>
  <si>
    <t>Affordable, available fertilizer and usage</t>
  </si>
  <si>
    <t>Agribusiness and Rice Value Chain Support</t>
  </si>
  <si>
    <t>P-SL-AA0-019</t>
  </si>
  <si>
    <t>Support to SLARI/Njala nutrition promotion program / MAF Women in Agriculture and Nutrition to expand development and dissemination of nutritious food recipes</t>
  </si>
  <si>
    <t>To promote agri-business sector for economic diversification, food security, sustainable employment</t>
  </si>
  <si>
    <t>SDB, the IFAD, the FAO and WF and private sectors provide technical support in agriculture</t>
  </si>
  <si>
    <t>Agriculture - Economic diversification for improved food access and good nutrition</t>
  </si>
  <si>
    <t>Kismayo-Baidoa Urban Water Supply and Sanitation Project</t>
  </si>
  <si>
    <t>P-SO-E00-003</t>
  </si>
  <si>
    <t>Hygiene and Sanitation Promotion Campaigns</t>
  </si>
  <si>
    <t>To contribute to inclusiveness and resilience of quality of life improvements through the provision of sustainable water supply and sanitation services</t>
  </si>
  <si>
    <t>% reduction of under-5 mortality; % reduction of diarrhoeal prevalence</t>
  </si>
  <si>
    <t>% of people with adequate access to safe water</t>
  </si>
  <si>
    <t>No. of hygiene promotion campaigns undertaken, targeting 30% of the population of whom 50% are women</t>
  </si>
  <si>
    <t>Ministry of Energy and Water Resources, ILO and IOM implement integrated services</t>
  </si>
  <si>
    <t>WASH - Improved hygiene and sanitation thereby reducing under-five mortality</t>
  </si>
  <si>
    <t>Leraba Plain Management and Development Project (PAVAL)</t>
  </si>
  <si>
    <t>P-BF-A00-012</t>
  </si>
  <si>
    <t>Sustainable increase in agricultural productivity, production and income for men, women and youth</t>
  </si>
  <si>
    <t>To contribute towards achieving food and nutritional security in Cascades Region</t>
  </si>
  <si>
    <t>% increase in proportion of non-resilient farming households,including those headed by women</t>
  </si>
  <si>
    <t>IFAD, WB, IsDB, KFW, AFD, USAID for technical support</t>
  </si>
  <si>
    <t>Agriculture - Access and availability of the target population food needs</t>
  </si>
  <si>
    <t>Humanitarian Emergency Assistance to Mitigate the Effects of the 2018/2019 Drought in Namibia</t>
  </si>
  <si>
    <t>P-NA-AA0-010</t>
  </si>
  <si>
    <t>Emergency food assistance, provision of agricultural inputs (seeds), provision of feed and supplements for livestocks, and water distribution using water tankers.</t>
  </si>
  <si>
    <t>To restore livelihoods of drought affected communities and improve conditions (feed and water) for livestock</t>
  </si>
  <si>
    <t>% increase in the provision of emergency food assistance;</t>
  </si>
  <si>
    <t>% increase of households benefiting from water distributed using water tankers/bowsers</t>
  </si>
  <si>
    <t>Agriculture - Access to food</t>
  </si>
  <si>
    <t>Africa Forestry Fund II (ASFF II) - Equity Investment</t>
  </si>
  <si>
    <t>P-Z1-AAZ-054</t>
  </si>
  <si>
    <t>ASFF ll</t>
  </si>
  <si>
    <t>To invest in sustainable forestry value chains in Sub-Saharan Africa</t>
  </si>
  <si>
    <t>Improving Access and Quality of Basic Education (IAQBE)</t>
  </si>
  <si>
    <t>P-SS-I00-003</t>
  </si>
  <si>
    <t>Provision and rehabilitation of gender sensitive latrines and school WASH facilities</t>
  </si>
  <si>
    <t>To increase access to and quality of basic education through improved infrastructure and enhanced teaching and learning</t>
  </si>
  <si>
    <t>Climate Change Integration in Environmental Management and Sustainable Land use Project (ICE-SLM)</t>
  </si>
  <si>
    <t>P-AO-C00-003</t>
  </si>
  <si>
    <t>GEF/ LDCF</t>
  </si>
  <si>
    <t>To strengthen climate change measures and promote adaptive measures and practices</t>
  </si>
  <si>
    <t>Value Chains, Agricultural and Rural Entrepreneurship Support Project (PACVEAR)</t>
  </si>
  <si>
    <t>P-GW-A00-004</t>
  </si>
  <si>
    <t>Increased volume of agricultural production of rice</t>
  </si>
  <si>
    <t>To improve the rice and market gardening subsector production environment, and promote enterprises in all targeted subsector value chain links.</t>
  </si>
  <si>
    <t>Emergency Food and Nutrition Security for Children in Bié Region</t>
  </si>
  <si>
    <t>P-AO-AA0-010</t>
  </si>
  <si>
    <t>Food distribution for improved food security and livelihoods</t>
  </si>
  <si>
    <t>To provide emergency food and nutrition security for children</t>
  </si>
  <si>
    <t>% reduction in under-5 mortality rate</t>
  </si>
  <si>
    <t>Reduced rate of acute malnutrition among children under 5</t>
  </si>
  <si>
    <t>Number of formula packages distributed</t>
  </si>
  <si>
    <t>UN</t>
  </si>
  <si>
    <t>Social - Access to nutritious food</t>
  </si>
  <si>
    <t>Support Project for Cotonou Stormwater Drainage Programme (PAPC)</t>
  </si>
  <si>
    <t>P-BJ-EBC-002</t>
  </si>
  <si>
    <t>Modification of drinking water supply; Building the capacity of 50 women in product processing and marketing</t>
  </si>
  <si>
    <t>To improve water drainage for enhancing health and sanitation</t>
  </si>
  <si>
    <t>Number of women trained in product processing and marketing</t>
  </si>
  <si>
    <t>WASH - Access to good hygiene and sanitation practices</t>
  </si>
  <si>
    <t>Groundwater Assessment, Aquifer Mapping and Well Development Project</t>
  </si>
  <si>
    <t>P-ER-EAZ-006</t>
  </si>
  <si>
    <t>Support on safe and potable water supply in the targeted rural community villages</t>
  </si>
  <si>
    <t>To support the Groundwater Assessment, Aquifer Mapping and Well Development</t>
  </si>
  <si>
    <t>Increase water and sanitation coverage to 100% by 2035</t>
  </si>
  <si>
    <t>WASH - Access to safe water</t>
  </si>
  <si>
    <t>Special Agro-Industrial Processing Zones Development Programme (PDZTA-BK)</t>
  </si>
  <si>
    <t>P-GN-AA0-023</t>
  </si>
  <si>
    <t>Support for the structures in charge of quality standards and norms as well as food fortification with micronutrients; sensitization campaigns on balanced nutrition, gender, prevention of early marriages, environmental sanitation</t>
  </si>
  <si>
    <t>To contribute to the reduction of food imports and improve Guinea’s food and nutrition security by establishing private sector-driven agro-industrial development hubs</t>
  </si>
  <si>
    <t>% reduction in chronic malnutrition prevalence</t>
  </si>
  <si>
    <t>Number of women/young people receiving support for the processing of food and nutrition education activities</t>
  </si>
  <si>
    <t>Ministry of Agriculture and Rural Development, Ministry of Employment</t>
  </si>
  <si>
    <t>Agriculture - Sensitization campaign for good nutrition</t>
  </si>
  <si>
    <t>Savannah Investment Programme (SIP)</t>
  </si>
  <si>
    <t>P-GH-A00-010</t>
  </si>
  <si>
    <t>Promotion of local poultry and egg consumption to improve household nutrition, especially maternal and child nutrition to prevent stunting</t>
  </si>
  <si>
    <t>To enhance the productivity of the maize, soybean and poultry industries as well as small ruminants for increased food and nutrition security and reduced importation of animal protein in Ghana</t>
  </si>
  <si>
    <t>Prevalence of stunting in children under 5 years (Northern region)</t>
  </si>
  <si>
    <t>Proportion of children 6-23 months with a minimum acceptable diet (Northern region)</t>
  </si>
  <si>
    <t>Number of households sensitized in consumption of local poultry/eggs</t>
  </si>
  <si>
    <t>Agriculture - Availability and access to nutritious food</t>
  </si>
  <si>
    <t>Sustainable Fisheries, Aquaculture Development and Watershed Management Project</t>
  </si>
  <si>
    <t>P-MW-AAF-003</t>
  </si>
  <si>
    <t>Value chain development to increase local access and consumption of fish protein; Implementation unit will include a part-time Nutrition Officer</t>
  </si>
  <si>
    <t>To contribute towards poverty reduction through improved fish commodity value addition and increased consumption, strengthened nutritional security, as well as to build climate resilience in Malawi</t>
  </si>
  <si>
    <t>% reduction of malnourishment amongst children under 5 through increased fish protein in diet</t>
  </si>
  <si>
    <t>Increase intake of fish protein consumption; number of women and children 6-23 months with a minimum acceptable fish diet; # of jobs created for women and youth in the fisheries sector in project areas (disaggregated by gender)</t>
  </si>
  <si>
    <t>WB, EU, USAID, Irish Aid, WFP, GIZ 2, FAO, IFAD, JICA, FICA for technical support</t>
  </si>
  <si>
    <t>Agriculture - Increased fish production for improved diet</t>
  </si>
  <si>
    <t>Sensitization on sanitation, hygiene and nutrition; Sustainable Rural Water Supply and Sanitation Project for North and South Kordofan</t>
  </si>
  <si>
    <t>P-SD-E00-004</t>
  </si>
  <si>
    <t>Sensitization on sanitation, hygiene and nutrition; Construction of water and sanitation facilities for hygiene promotion</t>
  </si>
  <si>
    <t>To improve the quality of life of the people and build resilience against climate variability and change in target area</t>
  </si>
  <si>
    <t>Reduction in % of stunting in children under 5; reduction of time used to collect water for domestic use</t>
  </si>
  <si>
    <t>No. of people sensitized on sanitation and hygiene and nutrition</t>
  </si>
  <si>
    <t>No. of women and youth trained on income generating activities</t>
  </si>
  <si>
    <t>WASH - Access and availability of quality water</t>
  </si>
  <si>
    <t>Emergency Assistance to Support the National Ebola Viral Disease Preparedness and Response Plan</t>
  </si>
  <si>
    <t>P-UG-IBE-001</t>
  </si>
  <si>
    <t>Procurement and distribution of EVD kits, medical supplies including medicines for malaria management</t>
  </si>
  <si>
    <t>To support the National Ebola Viral Disease (EVD) Preparedness and Response Plan</t>
  </si>
  <si>
    <t>% reduction of mortality</t>
  </si>
  <si>
    <t>Ministry of Health in collaboration with WHO</t>
  </si>
  <si>
    <t>Health - Access to medical kits</t>
  </si>
  <si>
    <t>Sustainable Livestock Infrastructure Management Project (SLIMP)</t>
  </si>
  <si>
    <t>P-ZM-AAE-003</t>
  </si>
  <si>
    <t>Provision of nutritious foods such as milk and meat products; conduct community-based and mass media Social and Behaviour Change Communication (SBCC) campaign directed at women and girls</t>
  </si>
  <si>
    <t>To contribute to poverty reduction through enhanced sustainable use of livestock infrastructure for improved household incomes, food and nutrition security</t>
  </si>
  <si>
    <t>Food security and minimum acceptable diet for children</t>
  </si>
  <si>
    <t>Increase in the number of women and youth engaged in nutrition-sensitive livestock production; increase in women groups supported with nutrition-sensitive income generation activities</t>
  </si>
  <si>
    <t>The agricultural sector is chaired by IFAD and consists of AfDB, FAO, JICA, World Bank, WFP, IFAD and
 USAID</t>
  </si>
  <si>
    <t>Agriculture - Increase in agricultural production for food access and availability</t>
  </si>
  <si>
    <t>Project to Support the East African Nutritional Sciences Institute - EANSI "PA-EANSI"</t>
  </si>
  <si>
    <t>P-BI-IC0-001</t>
  </si>
  <si>
    <t>Develop pedagogical models for five nutrition training courses at the Masters and PhD levels: clinical nutrition; nutrition and public health; agri-food technology; food quality; food security and climate change</t>
  </si>
  <si>
    <t>To enhance nutrition security and economic growth in the East African Community region through improved access to high-quality training and research in the nutrition sciences</t>
  </si>
  <si>
    <t>Reduction in chronic malnutrition rate among children under 5 (per 1,000)</t>
  </si>
  <si>
    <t>Rate of increase of nutrition-trained staff at health facilities; nutrition qualification rate of the staff of the nutrition programme; cumulative number of young Master’s-level graduates in the new fields at the end of the project (30% of whom are women); number of professionals offered continuing training (50% of whom are women)</t>
  </si>
  <si>
    <t>Number of Masters and PhD scholarship holders in nutrition sciences</t>
  </si>
  <si>
    <t>The main partners involved in nutrition training are the
 World Bank, the United Nations system (UNICEF, WFP, WHO, FAO), bilateral partners (Netherlands, Germany-GIZ, etc.), the European Union, national NGOs. Nutrition assistance is coordinated through a sector-based group with UNICEF as the lead donor.</t>
  </si>
  <si>
    <t>Education - Training and knowledge dissemination on good nutrition</t>
  </si>
  <si>
    <t>Institution</t>
  </si>
  <si>
    <t>Aide d'urgence aux victimes des inondations de la Wilaya du Guidamakha</t>
  </si>
  <si>
    <t>P-MR-AAZ-006</t>
  </si>
  <si>
    <t>Food distribution to improve nutritional and food security</t>
  </si>
  <si>
    <t>To address urgent humanitarian needs for affected flood victims</t>
  </si>
  <si>
    <t>% of families with food needs covered in the intervention region</t>
  </si>
  <si>
    <t>Social - Access and availability of household food needs</t>
  </si>
  <si>
    <t>Support Project for the Implementation of the Inclusive Service Delivery Development Programme "PAME/PDSI"</t>
  </si>
  <si>
    <t>P-CI-AA0-033</t>
  </si>
  <si>
    <t>To promote strong and inclusive economic growth by building the country's capacity to monitor and assess the national development strategy for inclusive service delivery</t>
  </si>
  <si>
    <t>Integrated Agricultural Value Chains Development Project (PRODIVAC)</t>
  </si>
  <si>
    <t>P-CG-AAG-002</t>
  </si>
  <si>
    <t>Empowerment of 50,000 women; reduction of the challenges in food processing, marketing and the promotion of essential nutrition actions; and promoting the consumption of locally available iron-rich food for women, adolescent girls and young children (6 to 23 months)</t>
  </si>
  <si>
    <t>To contribute to the improvement of food and nutrition security as well as diversification of the national economy</t>
  </si>
  <si>
    <t>% reduction in chronic malnutrition rate for children under 5</t>
  </si>
  <si>
    <t>% of children aged 6-23 months with minimum food diversity; % of cassava flour fortified with micronutrients</t>
  </si>
  <si>
    <t>Number of women trained (nutrition education, literacy)</t>
  </si>
  <si>
    <t>WFP, FAO, IFAD as technical partners</t>
  </si>
  <si>
    <t>Agriculture - Women empowerment and nutrition knowledge/awareness</t>
  </si>
  <si>
    <t>Rural Economy Integrated Development Support Project (PROADER)</t>
  </si>
  <si>
    <t>P-CD-AB0-007</t>
  </si>
  <si>
    <t>To contribute to the promotion of a dynamic and prosperous rural economy, through the establishment of an efficient agricultural and rural entrepreneurship</t>
  </si>
  <si>
    <t>Reduced rate of chronic malnutrition in children under 5 in rural communities</t>
  </si>
  <si>
    <t>Youth Entrepreneurship and Innovation Multidonor Trust: Grant for the Capacity Building of Youth-led Start-ups and Micro, Small and Medium Enterprises (MSMEs) under the TEF Entrepreneurship Programme</t>
  </si>
  <si>
    <t>P-Z1-I00-023</t>
  </si>
  <si>
    <t>Africa</t>
  </si>
  <si>
    <t>To provide capacity building to youth led start-ups/ MSMEs by improving business skills through training, coaching and mentoring and reduce the risk of investing in them</t>
  </si>
  <si>
    <t>Drought Resilience and Sustainable Livelihood Programme (DRSLP-V)</t>
  </si>
  <si>
    <t>P-ER-AAZ-001</t>
  </si>
  <si>
    <t>Improving water supply to meet the population's nutrition security needs</t>
  </si>
  <si>
    <t>To enhance sustainable livelihoods programme during drought resilience</t>
  </si>
  <si>
    <t>% reduction in households experiencing waterborne diseases</t>
  </si>
  <si>
    <t>Improved water availability at the household level</t>
  </si>
  <si>
    <t>Increase in % of children enrolled in schools</t>
  </si>
  <si>
    <t>Agriculture - Improved access to clean water supply</t>
  </si>
  <si>
    <t>Enable Youth Eritrea</t>
  </si>
  <si>
    <t>P-ER-AAZ-003</t>
  </si>
  <si>
    <t>Transition Support Facility (TSF)</t>
  </si>
  <si>
    <t>To finance part of the costs of the ENABLE Youth Eritrea</t>
  </si>
  <si>
    <t>Rural Drinking Water and Sanitation Project (PEPA-MR)</t>
  </si>
  <si>
    <t>P-BF-E00-016</t>
  </si>
  <si>
    <t>Quality water supply and sanitation services</t>
  </si>
  <si>
    <t>To improve the living conditions for the people of the Centre-West and Centre-South Regions</t>
  </si>
  <si>
    <t>Reduction in prevalence of diarrhoeal diseases</t>
  </si>
  <si>
    <t>Drinking water access rate; increased family sanitation access rate</t>
  </si>
  <si>
    <t>Number of people sensitized on water quality protection, 50% of whom are women; Number of people sensitized on sanitation, hygiene, HMM and nutrition best practices, 60% of whom are women</t>
  </si>
  <si>
    <t>Ministry of Health and Ministry of Water and Sanitation</t>
  </si>
  <si>
    <t>WASH - Access to quality water supply to improve living conditions of the population</t>
  </si>
  <si>
    <t>Project to Support and Enhance the Entrepreneurial Initiatives of Women and Young People (PAVIE)</t>
  </si>
  <si>
    <t>P-SN-I00-008</t>
  </si>
  <si>
    <t>To contribute to the promotion of more inclusive growth through the support, promotion and development of wealth- and job-creating entrepreneurship</t>
  </si>
  <si>
    <t>Nigeria Urban Water Sector Reform and Akure Water Supply &amp; Sanitation Project</t>
  </si>
  <si>
    <t>P-NG-E00-009</t>
  </si>
  <si>
    <t>Quality water supply and sanitation services; Hygiene education</t>
  </si>
  <si>
    <t>To contribute to sustainable access to safe drinking water and sanitation to the residents of Akure City and its environs</t>
  </si>
  <si>
    <t>% of people with sustainable access to water and sanitation services</t>
  </si>
  <si>
    <t>WASH - Access to quality water to improve living conditions of the population</t>
  </si>
  <si>
    <t>Social Protection Improvement Support Programme (PAAPS)</t>
  </si>
  <si>
    <t>P-MA-I00-010</t>
  </si>
  <si>
    <t>Establishment of the Integrated Hospital Information System (IHIS) at the Ministry of Health</t>
  </si>
  <si>
    <t>To improve the living conditions of the population, particularly vulnerable women, children and the disabled, by providing inclusive access to social protections and 
 enhanced social protection governance</t>
  </si>
  <si>
    <t>% increase in the mandatory health-care coverage rate from 62% of the population in 2018 to 80% by 2030</t>
  </si>
  <si>
    <t>Ministry of Health –Ministry of Solidarity, Social Development, Equality and Family</t>
  </si>
  <si>
    <t>Health - Access to health facilities</t>
  </si>
  <si>
    <t>Integrated Rural Sanitation in Upper Egypt – Luxor (IRSUE-LUXOR)</t>
  </si>
  <si>
    <t>P-EG-E00-006</t>
  </si>
  <si>
    <t>To contribute to increased coverage of improved sanitation and clean environment for the populations living in the Luxor governorate</t>
  </si>
  <si>
    <t>% increase in healthy life expectancy at birth; % of treated wastewater to drinking water</t>
  </si>
  <si>
    <t>% of villages connected to working sanitation systems</t>
  </si>
  <si>
    <t>Government Social Programme Support Project (PA-PS GOUV)</t>
  </si>
  <si>
    <t>P-CI-A00-011</t>
  </si>
  <si>
    <t>Village water supply; Rehabilitation and equipping of health and social centres</t>
  </si>
  <si>
    <t>To improve the living conditions of rural dwellers and young people by supporting agricultural production and processing, bettering their access to basic social services and facilitating young people’s access to the labour market</t>
  </si>
  <si>
    <t>% of health services utilisation rate; % of under-5 children who have had an episode of diarrhoea; Additional annual poultry production</t>
  </si>
  <si>
    <t>Elnefeidi Group Holding Co. Ltd</t>
  </si>
  <si>
    <t>P-SD-AAZ-010</t>
  </si>
  <si>
    <t>To increase agricultural productivity, enhance related infrastructure, food processing and distribution</t>
  </si>
  <si>
    <t>% change in food and nutrition security for the communities</t>
  </si>
  <si>
    <t>Technical and Vocational Education Training and Entrepreneurship Project</t>
  </si>
  <si>
    <t>P-KE-IAE-003</t>
  </si>
  <si>
    <t>To improve access, quality and relevance of Technical Education and Youth Entrepreneurship Training for increased youth employment</t>
  </si>
  <si>
    <t>South Agro-Industrial Processing Zone Project (PZTA-SUD or Agropole Sud)</t>
  </si>
  <si>
    <t>P-SN-AAG-003</t>
  </si>
  <si>
    <t>Awareness and communication sessions for behavioural change in nutrition, health and hygiene at community level; Support on nutritional quality and processed products to ensure acceptability to the local population and the market.</t>
  </si>
  <si>
    <t>To create added value on agricultural products and the sustainable increase in productivity of priority agro-industrial sectors (mango and cashew).</t>
  </si>
  <si>
    <t>% Share of agricultural products processed according to the required standards: (i) mango ;(ii) cashew; (iii) maize; (iv) banana.</t>
  </si>
  <si>
    <t>Number of women sensitised on nutrition/health issues</t>
  </si>
  <si>
    <t>Agriculture - Improved food processing for quality diet</t>
  </si>
  <si>
    <t>Development Programme for the Special Agro-Industrial Processing Zone of Koulikoro and Semi-Urban Bamako Regions (PDZSTA-BK)</t>
  </si>
  <si>
    <t>P-ML-AAG-004</t>
  </si>
  <si>
    <t>Training on agricultural transformation and improved food processing</t>
  </si>
  <si>
    <t>To strengthen the food and nutritional security at zone of Koulikoro</t>
  </si>
  <si>
    <t>Increase number of youth trained in food processing</t>
  </si>
  <si>
    <t>Economic and Social Reform Support Programme (PARES)</t>
  </si>
  <si>
    <t>P-CI-KA0-010</t>
  </si>
  <si>
    <t>Marketing of breast milk substitutes; Establishment of the Regional Nutrition Committees for Food and Early Childhood Development</t>
  </si>
  <si>
    <t>To support the government's efforts to maintain the stability of the macroeconomic framework, enhance the effectiveness of public investment programming and implementation; improve public procurement systems and practices as well as ex-post control of public expenditure; and improve social services delivery to disadvantaged peoples</t>
  </si>
  <si>
    <t>% increase access to safe drinking water in rural areas</t>
  </si>
  <si>
    <t>Creation of regional nutrition committees for food and early childhood development; Marketing of breast milk substitutes</t>
  </si>
  <si>
    <t>Ministry of Planning and Development, Ministry of Youth and Employment, Ministry of Social Protection</t>
  </si>
  <si>
    <t>Social - Social inclusion reform</t>
  </si>
  <si>
    <t>1. Increased number vulnerable households benefiting from the scale up of safety net programs (school resumption and school feeding program).</t>
  </si>
  <si>
    <t>Indicators En</t>
  </si>
  <si>
    <t>Indicators Fr</t>
  </si>
  <si>
    <t>Unit</t>
  </si>
  <si>
    <t>Type</t>
  </si>
  <si>
    <t>Sector</t>
  </si>
  <si>
    <t>Project SAP COD</t>
  </si>
  <si>
    <t>Project Approval Year</t>
  </si>
  <si>
    <t>Country Name</t>
  </si>
  <si>
    <t>Liste of Contries involved in Multinational or Regional Projects</t>
  </si>
  <si>
    <t>Country ISO 2 Code</t>
  </si>
  <si>
    <t>Geographical Region</t>
  </si>
  <si>
    <t>Project Sub-sectors</t>
  </si>
  <si>
    <t>Project Key Sector Name</t>
  </si>
  <si>
    <t>String</t>
  </si>
  <si>
    <t>Boolean</t>
  </si>
  <si>
    <t>DOUBLE</t>
  </si>
  <si>
    <t>specify if the project has Nutrition Intervention or  Activity indicators</t>
  </si>
  <si>
    <t>detail about nutrition goal and objectives</t>
  </si>
  <si>
    <t>Specify if the project has the nutrition goal or objectives</t>
  </si>
  <si>
    <t>does the project has nutrition indication</t>
  </si>
  <si>
    <t>the impact on nutrition indicator (0 = No impact, 9999 : Impact)</t>
  </si>
  <si>
    <t>Description of nutrition impact indication</t>
  </si>
  <si>
    <t>INTEGER</t>
  </si>
  <si>
    <t>Outcome Indicators (0 = No Outcome, 999: Outcome)</t>
  </si>
  <si>
    <t>IS this project classified as Nutrition-Smart Project ?</t>
  </si>
  <si>
    <t>do women benefit from this project</t>
  </si>
  <si>
    <t>do children benefit from this project</t>
  </si>
  <si>
    <t>BOOLEAN</t>
  </si>
  <si>
    <t>Nutrition dashboard Data Input.xlsx</t>
  </si>
  <si>
    <t>Source Name</t>
  </si>
  <si>
    <t>Field Name</t>
  </si>
  <si>
    <t>Example</t>
  </si>
  <si>
    <t>SOURCES</t>
  </si>
  <si>
    <t>NUMBER(38,0)</t>
  </si>
  <si>
    <t>VARCHAR2(50 BYTE)</t>
  </si>
  <si>
    <t>VARCHAR2(150 BYTE)</t>
  </si>
  <si>
    <t>PROJECT_NAME</t>
  </si>
  <si>
    <t>VARCHAR2(350 BYTE)</t>
  </si>
  <si>
    <t>PROJECT_CODE</t>
  </si>
  <si>
    <t>VARCHAR2(20 BYTE)</t>
  </si>
  <si>
    <t>APPROVAL_YEAR</t>
  </si>
  <si>
    <t>COUNTRY</t>
  </si>
  <si>
    <t>COUNTRIES_DETAIL</t>
  </si>
  <si>
    <t>VARCHAR2(400 BYTE)</t>
  </si>
  <si>
    <t>COUNTRY_CODE</t>
  </si>
  <si>
    <t>VARCHAR2(15 BYTE)</t>
  </si>
  <si>
    <t>REGION</t>
  </si>
  <si>
    <t>SUB_SECTOR</t>
  </si>
  <si>
    <t>KEY_SECTOR</t>
  </si>
  <si>
    <t>SOURCE_OF_PROJECT_FUNDING</t>
  </si>
  <si>
    <t>SOLELY_TRUST_FUNDED_PROJECT</t>
  </si>
  <si>
    <t>VARCHAR2(3 BYTE)</t>
  </si>
  <si>
    <t>BUDGET_CURRENCY</t>
  </si>
  <si>
    <t>BUDGET</t>
  </si>
  <si>
    <t>FLOAT</t>
  </si>
  <si>
    <t>BUDGET_UAC</t>
  </si>
  <si>
    <t>BUDGET_USD</t>
  </si>
  <si>
    <t>TOTAL_AFDB_CONTRIBUTION_CURRENCY</t>
  </si>
  <si>
    <t>TOTAL_AFDB_CONTRIBUTION_UAC</t>
  </si>
  <si>
    <t>TOTAL_AFDB_CONTRIBUTION_USD</t>
  </si>
  <si>
    <t>TOTAL_ADB_ADF_FUNDING_CURRENCY</t>
  </si>
  <si>
    <t>TOTAL_ADB_AND_ADF_FUNDING_UAC</t>
  </si>
  <si>
    <t>TOTAL_ADB_AND_AFB_FUNDING_USD</t>
  </si>
  <si>
    <t>CURRENCY_ERROR_MESSAGE</t>
  </si>
  <si>
    <t>VARCHAR2(2 BYTE)</t>
  </si>
  <si>
    <t>NUTRITION_INTERVENTION_ACTIVITY</t>
  </si>
  <si>
    <t>INFORMATION_ON_NUTRITION_INTERVENTION</t>
  </si>
  <si>
    <t>VARCHAR2(750 BYTE)</t>
  </si>
  <si>
    <t>NUTRITION_GOAL_OBJECTIVES</t>
  </si>
  <si>
    <t>INFORMATION_ON_GOAL_OBJECTIVES</t>
  </si>
  <si>
    <t>NUTRITION_INDICATORS</t>
  </si>
  <si>
    <t>IMPACT_INDICATORS</t>
  </si>
  <si>
    <t>IMPACT_INDICATORS_DESCRIPTION</t>
  </si>
  <si>
    <t>OUTCOME_INDICATORS</t>
  </si>
  <si>
    <t>OUTCOME_INDICATORS_DESCRIPTION</t>
  </si>
  <si>
    <t>OUTPUT_INDICATORS</t>
  </si>
  <si>
    <t>OUTPUT_INDICATORS_DESCRIPTION</t>
  </si>
  <si>
    <t>TOTAL_NUMBER_OF_NUTRITION_INDICATORS</t>
  </si>
  <si>
    <t>MULTI_SECTORAL_INTERVENTIONS</t>
  </si>
  <si>
    <t>MULTI_SECTORAL_INTERVENTION_INFORMATION</t>
  </si>
  <si>
    <t>INTEGRATED_IMPACT_PATHWAY</t>
  </si>
  <si>
    <t>INTEGRATED_IMPACT_PATHWAY_INFORMATION</t>
  </si>
  <si>
    <t>BENEFICIARY_TYPES</t>
  </si>
  <si>
    <t>WOMEN_BENEFICIARIES</t>
  </si>
  <si>
    <t>CHILDREN_BENEFICIARIES</t>
  </si>
  <si>
    <t>OPERATIONAL_INSTRUMENT</t>
  </si>
  <si>
    <t>NUTRITION_SMART_PROJECT</t>
  </si>
  <si>
    <t>ONES_GENERIC_FIELD</t>
  </si>
  <si>
    <t>CONTRIBUTION_CURRENCY</t>
  </si>
  <si>
    <t>TARGET</t>
  </si>
  <si>
    <t>Table</t>
  </si>
  <si>
    <t>Schema</t>
  </si>
  <si>
    <t>Field</t>
  </si>
  <si>
    <t>Nullable</t>
  </si>
  <si>
    <t>IPR</t>
  </si>
  <si>
    <t>NUT_FACT_PORTFOLIO</t>
  </si>
  <si>
    <t>Mali, Burkina Faso,  Niger,  Côte d'Ivoire</t>
  </si>
  <si>
    <t>WEST</t>
  </si>
  <si>
    <t>Z1</t>
  </si>
  <si>
    <t xml:space="preserve">Community nutrition programmes strengthened; hospital based management of severely malnourished children; dietary counselling during their lactation and pregnancy Iron-acid folic supplementation for pregnant women; Vitamin A supplementation; micronutrient powder </t>
  </si>
  <si>
    <t>The specific objective is to improve the quality of life by increasing access of the poor and vulnerable to basic social services in water, sanitation, hygiene, health and education; livelihood opportunities; food security and strengthened safety net systems in affected states in the Northeast. Component 1 aims to enhanced nutrition for infants and pregnant women.</t>
  </si>
  <si>
    <t>% Population with safe water access, of which % are female (CSI) % Population with access to new hygienic HH toilets, % female (CSI)</t>
  </si>
  <si>
    <t xml:space="preserve">1. Increase in number of Children under 5 years
with SAM admitted to
therapeutic feeding
programmes
2. Increase in No. of women that benefit from dietary counselling during their lactation and pregnancy and Vitamin A
3. Nutrition early
warning system available </t>
  </si>
  <si>
    <t>Health, Climate change  adaptation, social inclusion and gender, youth partcipation and nutrition counselling</t>
  </si>
  <si>
    <t>Nutrition education and health systems</t>
  </si>
  <si>
    <t>KM</t>
  </si>
  <si>
    <t>Underweight in children under 5 years of age (NE) 30.8% (2013) Underweight 25%</t>
  </si>
  <si>
    <t>Iron-acid folic supplementation for pregnant women TBD</t>
  </si>
  <si>
    <t>Vitamin A</t>
  </si>
  <si>
    <t>P-Z1-C00-067</t>
  </si>
  <si>
    <t>North-Africa</t>
  </si>
  <si>
    <t>Not mandatory</t>
  </si>
  <si>
    <t>Manadatory</t>
  </si>
  <si>
    <t>P-BF-AA0-032</t>
  </si>
  <si>
    <t>Gardens/farms at 16 schools</t>
  </si>
  <si>
    <t>Contribute to integrated, climate-resilience and inclusive development of maize, soya beans, poultry and fish value chains to strengthen food and nutrition security</t>
  </si>
  <si>
    <t>Prevalence of stunting in under-five children</t>
  </si>
  <si>
    <t>1. Agricultural and livestock production and productivity have increased.
2. Rate of prevalence of chronic malnutrition in under-five children</t>
  </si>
  <si>
    <t xml:space="preserve">1. Producers benefiting from financing and training, including on climate-smart farming systems (maize, soya beans, poultry and fish)
2. Maize and soya beans storage facilities constructed/rehabilitated
3. People involved in processing and in SMEs trained in nutrition (food technology for nutritious and healthy food, etc.
4. Women with children (0-5 years) receiving training on dietary diversification and product and food safety per health centre
</t>
  </si>
  <si>
    <t>Agriculture production</t>
  </si>
  <si>
    <t>P-SZ-A00-006</t>
  </si>
  <si>
    <t>P-KE-IB0-002</t>
  </si>
  <si>
    <t>P-NG-B00-016</t>
  </si>
  <si>
    <t>P-SN-AAE-004</t>
  </si>
  <si>
    <t>P-TZ-FAB-003</t>
  </si>
  <si>
    <t>P-GM-DB0-006</t>
  </si>
  <si>
    <t>P-NE-E00-005</t>
  </si>
  <si>
    <t>Construction of water points and latrines in health facilities, and campaign/capacity building on hygiene promotion</t>
  </si>
  <si>
    <t>Improve access for the rural, poor, and vulnerable populations of Tahoua, Zinder, Maradi and Tillabéri regions to sustainable drinking water, sanitation, and hygiene services in support of post-COVID-19 prevention</t>
  </si>
  <si>
    <t>Access rates to drinking water and sanitation</t>
  </si>
  <si>
    <t>1. Additional people with access to improved drinking water services in rural areas in Tahoua and Zinder regions, including at least 50% women
2. Additional people with access to improved hygiene and sanitation services in rural areas in Tahoua and Zinder regions including at least 50% women</t>
  </si>
  <si>
    <t>1. People who have adopted good practices for behavioural change in water, hygiene, and sanitation 
2. Latrine blocks (3 stalls) constructed/rehabilitated, including hand-washing facilities (HWF) in schools, health facilities, and public places
3. Water connections in schools and health facilities</t>
  </si>
  <si>
    <t>WASH: Improving access to water and sanitation services</t>
  </si>
  <si>
    <t>P-Z1-DB0-246</t>
  </si>
  <si>
    <t>P-TG-FF0-003</t>
  </si>
  <si>
    <t>P-Z1-C00-090</t>
  </si>
  <si>
    <t>Burkina Faso, Guinea, Mali, Niger, Senegal, Togo and CILSS</t>
  </si>
  <si>
    <t>Agricultural development and construction of water collection facilities and other socioeconomic facilities (drinking water, livestock markets, vaccination parks, slaughter areas, seed centres, fish ponds, etc.).</t>
  </si>
  <si>
    <t>Contribute to improving food and nutrition security and living conditions of population in the Sahel</t>
  </si>
  <si>
    <t>No of people suffering from hunger or malnutrition and people living below the poverty line</t>
  </si>
  <si>
    <t>1. Increase in agriculture production. 2. No. of jobs created (% women) 3. Increase in the volume of intra-regional trade in agricultural products</t>
  </si>
  <si>
    <t xml:space="preserve">1. Agropastoral areas sustainably managed 
2. Resilient infrastructure developed 
3. Climate smart agriculture, silviculture and pastoral fish production supported 
4. Development of agroculture, silviculture, pastoral and fisheries value chains 
5. Entrepreneurshio in agriculture value chains developed 
6. Distribution of biodigesters supported </t>
  </si>
  <si>
    <t>Ministries of Agriculture and CILSS (regional component)</t>
  </si>
  <si>
    <t>Agriculture/resilience/climate change</t>
  </si>
  <si>
    <t>P-Z1-C00-091</t>
  </si>
  <si>
    <t>1. Increase agriculture production. 2. No. of jobs created (% women) 3. Increase in the volume of intra-regional trade in agricultural products</t>
  </si>
  <si>
    <t>P-Z1-C00-094</t>
  </si>
  <si>
    <t>yes</t>
  </si>
  <si>
    <t>P-Z1-C00-092</t>
  </si>
  <si>
    <t>P-Z1-C00-093</t>
  </si>
  <si>
    <t>P-TN-FF0-004</t>
  </si>
  <si>
    <t>P-ML-AA0-037</t>
  </si>
  <si>
    <t xml:space="preserve">Build the resilience of the population through quality health care, and increase employability of youth and women in climate resilient and low carbon agricultural value chain </t>
  </si>
  <si>
    <t xml:space="preserve">Average household income in agriculture, fishery and livestock </t>
  </si>
  <si>
    <t>Basic water supply and health centers constructed</t>
  </si>
  <si>
    <t>P-SN-G00-004</t>
  </si>
  <si>
    <t>P-SO-FA0-003</t>
  </si>
  <si>
    <t>P-Z1-IBE-029</t>
  </si>
  <si>
    <t>Burkina Faso, Niger, Mali</t>
  </si>
  <si>
    <t>1. Rehabilitation of incinerators and water supply systems in 30 health facilities
2. Rehabilitation and equipping 30 HFs and laboratories to improve capacity to manage and treat NTDs.</t>
  </si>
  <si>
    <t>Improve diagnosis, prevention and treatment of NTDs among vulnerable groups including women and children in cross border communities in Burkina Faso, Niger and Mali</t>
  </si>
  <si>
    <t>People with new or improved access to water and sanitation</t>
  </si>
  <si>
    <t>1. Number of health facilities rehabilitated
2. Number of water supply systems and incinerators constructed/renovated</t>
  </si>
  <si>
    <t>WAHO</t>
  </si>
  <si>
    <t>P-CD-H00-002</t>
  </si>
  <si>
    <t>P-NE-FA0-005</t>
  </si>
  <si>
    <t>P-SC-K00-023</t>
  </si>
  <si>
    <t>P-SN-DB0-025</t>
  </si>
  <si>
    <t>P-Z1-D00-056</t>
  </si>
  <si>
    <t>P-NE-H00-001</t>
  </si>
  <si>
    <t>P-MZ-F00-017</t>
  </si>
  <si>
    <t>P-Z1-DB0-255</t>
  </si>
  <si>
    <t>Health education/awareness raising and infrastructure work (markets and borehole)</t>
  </si>
  <si>
    <t>Improved access of households to basic social services:
1. Distance travelled to fetch drinking water
2. Distance travelled to access health care facility</t>
  </si>
  <si>
    <t>Number of people reached with awareness on HIV/AIDs, COVID-19 prevention, and GBV protection</t>
  </si>
  <si>
    <t>Health: Awareness raising</t>
  </si>
  <si>
    <t>P-Z1-AAG-043</t>
  </si>
  <si>
    <t>P-EG-AAC-027</t>
  </si>
  <si>
    <t>Waste water treatment and recycling for agricultural production and fishery</t>
  </si>
  <si>
    <t>Increased access to safely managed sanitation services</t>
  </si>
  <si>
    <t>Construction Authority for Potable Water and Wastewater (CAPW), Ministry of Housing, Utilities and Urban Communities (MHUUC)</t>
  </si>
  <si>
    <t>WASH/Agriculture: Increasing access to sanitation services and boosting agricultural production through wastewater treatment and recylcing for food security.</t>
  </si>
  <si>
    <t>P-EG-HAB-011</t>
  </si>
  <si>
    <t>P-SN-E00-008</t>
  </si>
  <si>
    <t>Provision of water, sanitation and hygiene services, including campaigns  to  promote  hygiene  of water, foodstuffs (nutrition), housing and the environment and the fight against communicable diseases are carried out in rural areas</t>
  </si>
  <si>
    <t>Reduce disparities in access to drinking water, sanitation and hygiene services by construction WASH infrastructure and promoting hygiene to build sustainable resilience to diseases including malnutrition and communicable diseases.</t>
  </si>
  <si>
    <t xml:space="preserve">1. Reduce prevalence of diarrheal diseases from 12% to 8% in 2023
2. Increase rate of access to drinking water in rural areas from 95% to 97% </t>
  </si>
  <si>
    <t>1.	Population (% women) in semi-urban and rural areas are more resilient to water-born diseases and pandemics, including COVID-19 and malnutrition.
2.	Population (% women) in targeted areas have access to safe water and sanitation services and their income are increased.
3.	Agropastoral farms are supplied with water and/or organic fertilizers (including those managed by women)</t>
  </si>
  <si>
    <t>1. Access to drinking water
2. Hygiene education in semi-urban and rural areas, targeting households (including % female headed HHs)
3. Family latrines built
4. Water supply for market gardening and agropastoral activities</t>
  </si>
  <si>
    <t>WASH/Health/Nutrition: Sustainable access to water, sanitation and hygiene services (including hygiene promotion activities) that will contribute to reduction of water-borne/communicable diseases</t>
  </si>
  <si>
    <t>P-Z1-DB0-157</t>
  </si>
  <si>
    <t>Guinea Bissau, Senegal</t>
  </si>
  <si>
    <t xml:space="preserve">Nutrition and health education/sensitization </t>
  </si>
  <si>
    <t>Performance  of  the activities  of women's groups (agricultural activities)</t>
  </si>
  <si>
    <t>1. Population and road users aware  of  nutrition, sexual  and  reproductive health,  and  endemic  diseases
2. Multipurpose platforms, processing  units  for  agricultural  products  and  drying areas for agricultural and fisheries products developed and equipped for women's group
3. Market  gardening  areas rehabilitated for women's groups</t>
  </si>
  <si>
    <t>Health: Reproductive health education/sensitization 
Agriculture: Development of market gardening areas</t>
  </si>
  <si>
    <t>P-Z1-DB0-273</t>
  </si>
  <si>
    <t>P-TG-J00-001</t>
  </si>
  <si>
    <t>P-CV-GB0-004</t>
  </si>
  <si>
    <t>Number of start-ups and innovative MSMEs applying digital innovation in green, climate-resilient and low-carbon sectors (such as Agriculture) gaining access to finance</t>
  </si>
  <si>
    <t>Agriculture: Digitalization of supply chains, climate-smart farming, e-services and low-carbon transport system</t>
  </si>
  <si>
    <t>P-SN-A00-015</t>
  </si>
  <si>
    <t>Promotion of food and nutrition security among vulnerable households through nutrition education and crop production</t>
  </si>
  <si>
    <t xml:space="preserve">Reduction of food insecurity in rural areas </t>
  </si>
  <si>
    <t>Strengthening of food and nutrition security in targeted areas</t>
  </si>
  <si>
    <t>1. Household incomes and food security are improved.
2. Local agricultural product storage, packaging and processing capacities are expanded</t>
  </si>
  <si>
    <t xml:space="preserve">1. Community resilience to risk is strengthened (number of people whose capacities are built on health and nutrition)
2. Agro-industrial processing capacities are expanded
</t>
  </si>
  <si>
    <t xml:space="preserve">Agriculture and Social Protection: Increase agricultural production  contributing to higher incomes for, and the food and nutrition security of rural communities (including children) which will reduce poverty. </t>
  </si>
  <si>
    <t>P-Z1-DB0-250</t>
  </si>
  <si>
    <t>Nutrition education and training for women farmers group on conservation of agricultural products</t>
  </si>
  <si>
    <t>1. Nutrition awareness sessions conducted per year
2. Number of WASH facilities rehabilitated/constructed/supported under the programme</t>
  </si>
  <si>
    <t>Agriculture and Nutrition: Nutrition awareness and training of women farmers group on conservation of agricultural products</t>
  </si>
  <si>
    <t>P-LR-AA0-012</t>
  </si>
  <si>
    <t>Country's food security strengthened</t>
  </si>
  <si>
    <t>Increase in agricultural production of import substitutes (cassava, rice, fruits and vegetables)</t>
  </si>
  <si>
    <t>Agriculture and Social Protection: Gender responsive agricultural policy formulation and women economic empowerment through creating and strengthening capacity of female producers and engagement in value chain development (production, processing, distribution and business development)</t>
  </si>
  <si>
    <t>P-CI-FA0-027</t>
  </si>
  <si>
    <t>P-NG-HAB-047</t>
  </si>
  <si>
    <t>P-UG-DB0-031</t>
  </si>
  <si>
    <t>Agriculture: Increased agricultural productivity and sales through improved road access to farming sites and markets</t>
  </si>
  <si>
    <t>P-GN-K00-016</t>
  </si>
  <si>
    <t>P-KE-DB0-030</t>
  </si>
  <si>
    <t>P-Z1-KF0-073</t>
  </si>
  <si>
    <t>AfCFTA (RECs, RMCs)</t>
  </si>
  <si>
    <t>P-Z1-HAB-094</t>
  </si>
  <si>
    <t>P-CM-DB0-024</t>
  </si>
  <si>
    <t>1. Number of health centers rehabilitated/constructed
2. Number of boreholes rehabilitated/constructed
3. Length of access road to agricultural production sites
4. Women trained in fish preservation/processing</t>
  </si>
  <si>
    <t>WASH: Construction/rehanilitation of boreholes, health center and access road to agricultural areas</t>
  </si>
  <si>
    <t>P-Z1-HB0-073</t>
  </si>
  <si>
    <t>P-SO-DB0-008</t>
  </si>
  <si>
    <t>P-NE-DB0-013</t>
  </si>
  <si>
    <t>Training on agricultural production</t>
  </si>
  <si>
    <t>Average income of direct beneficiaries engaged in income-generating activities (agriculture and livestock)</t>
  </si>
  <si>
    <t>1. Number of women group supported with training, materials and equipment for production in agriculture and livestock</t>
  </si>
  <si>
    <t>Agriculture: Provision of agricultural and livestock equipment</t>
  </si>
  <si>
    <t>P-CI-A00-008</t>
  </si>
  <si>
    <t>P-Z1-BZ0-012</t>
  </si>
  <si>
    <t>ECOWAS Countries</t>
  </si>
  <si>
    <t xml:space="preserve">Technical assistance to close skills gaps in pharmaceutical prodcution and technology development </t>
  </si>
  <si>
    <t>Facilitate access to safe and high-quality medicines for the people of ECOWAS region</t>
  </si>
  <si>
    <t>Enhanced institutional capacity to manage, regulate and improve standard and quality control of medicines locally manufactured by pharmaceutical industries, thereby enhancing the health and well-being of the population</t>
  </si>
  <si>
    <t xml:space="preserve">1. Quality, safe and affordable medicines and COVID-19 vaccines manufactured locally in the ECOWAS region.
2. People accessing safe and affordable pharmaceutical products in the region.
3. Effectiveness and capacities of pharmaceutical institutions enhanced.  </t>
  </si>
  <si>
    <t>Health: Improved local production of pharmaceutical products and capacity building programs for pharmaceutical industries, including regulatory authorities</t>
  </si>
  <si>
    <t>1. Nutrition-sensitive communications to promote WASH in schools, health facilities and and households using existing local delivery platform
2. Construction of gender-responsive sanitation facilities in health centres for safe waste disposal</t>
  </si>
  <si>
    <t xml:space="preserve">To improve access to climate resilient and gender sensitive integrated and sustainable water and sanitation services </t>
  </si>
  <si>
    <t xml:space="preserve">1. Access to safely managed drinking water and sanitation services (% population)
</t>
  </si>
  <si>
    <t>1. Population  with access to improved drinking water services, of which % are female
2. Population with access to improved sanitation services, of which % are female</t>
  </si>
  <si>
    <t>1. Production wells (boreholes) developed, equipped and operational (with dedicated power line) and backbone transmission pipeline constructed
2. Water distribution system constructed (includes reservoirs, chlorination tanks etc)
3. Public   sanitation   facilities   constructed (segregated by sex and by physically challenges persons)
4. Drought  and  flood  early  warning  systems enhanced and operational</t>
  </si>
  <si>
    <t>WASH: Provision of water and sanitation services</t>
  </si>
  <si>
    <t>Increase access to improved agricultural and food production techniques</t>
  </si>
  <si>
    <t>To increase the production of cereals and oilseeds in order to strengthen food security in Madagascar</t>
  </si>
  <si>
    <t>Number of people suffering from hunger /undernutrition (million)</t>
  </si>
  <si>
    <t>1. Agricultural productivity of cereals and oilseeds improves
2. Food production increases</t>
  </si>
  <si>
    <t>1. Access to food is improved
2.  Number   of   producers   who   have benefited   from   inputs   and   advisory   services   on   climate-smart farming  techniques  relating  to  production  and  market  access,  of which 30% are women</t>
  </si>
  <si>
    <t>Agriculture: Increase production of agricultural produce</t>
  </si>
  <si>
    <t xml:space="preserve">1. Development of water points
2. IEC activities on water-related diseases, hygiene, STIs/AIDS and COVID-19
3. Cash transfer for nutrition </t>
  </si>
  <si>
    <t>To  contribute  to  poverty  reduction  and  to  the improvement  of  food  and  nutritional  security  of  the  community  in  South  Madagascar  through  the 
development  of  production  and  market  access  infrastructures  (irrigated  farms,  rural  roads  and waterpoints), the promotion of resilient agricultural value chains, and the development of employment and entrepreneurship for young people and women.</t>
  </si>
  <si>
    <t>The number of persons suffering from hunger and malnutrition is reduced</t>
  </si>
  <si>
    <t>1. % of the population getting the minimum intake of 2,133 kcal/day
2. Number of additional inhabitants having access to drinking water</t>
  </si>
  <si>
    <t>1. Number of people educated on good nutrition practices
2. Number  of  vulnerable  households  receiving  cash  transfers for nutrition (including  %  of households headed by women)
3. Number of boreholes completed and equipped</t>
  </si>
  <si>
    <t>Agriculture: Development of agricultureal and rural infrastructure</t>
  </si>
  <si>
    <t>Contribute to food and nutrition security and reduction of risks to vulnerable people</t>
  </si>
  <si>
    <t>Provision of climate smart certified cereal seeds such as maize,  rice,  sorghum, and  legumes  (groundnuts,  beans,  cow  peas,  soy  and  pigeon  peas),  and fertilizer to smallholder farmers</t>
  </si>
  <si>
    <t>To support smallholder farmers and the government to raise food production to mitigate the impact of the Russia-Ukraine food crisis in the short-term period</t>
  </si>
  <si>
    <t xml:space="preserve">Vulnerability to food and nutrition insecurity and resilience </t>
  </si>
  <si>
    <t xml:space="preserve">Avert food crisis in Malawi and build resilience of value chain actors for future shocks: 
Availability of food for consumption: </t>
  </si>
  <si>
    <t xml:space="preserve">Scaled up food production and nutritional staples </t>
  </si>
  <si>
    <t>Agriculture: Provision of seeds and fertilizers for food production</t>
  </si>
  <si>
    <t>Distribution of seeds and fertilizers for farming</t>
  </si>
  <si>
    <t>To strengthen the country's food sovereignty by reducing dependence on  imports  of  basic  cereals  and  horticultural  food  products.</t>
  </si>
  <si>
    <t>Reduce, in the  short  to  medium  term,  its  dependence  on imports of  basic cereals  (rice,  maize, millet) and boost horticultural production in the long term</t>
  </si>
  <si>
    <t>1. Building the resilience of food production
2. Positive impact on  household  incomes  and the country's food and nutrition security situation</t>
  </si>
  <si>
    <t>Improving access to seeds and fertilizers for food farming</t>
  </si>
  <si>
    <t>Agriculture: Provision of seeds and fertilizers for increased food production</t>
  </si>
  <si>
    <t>Distribution of seeds for food production</t>
  </si>
  <si>
    <t xml:space="preserve">To improve production, productivity and profitability of priority crops (wheat, sunflower and rice) by scaling up the delivery of affordable inputs to smallholder farmers in the target areas.  </t>
  </si>
  <si>
    <t>1. Increased food production, and 
2.Reduced food and nutrition insecurity in Tanzania</t>
  </si>
  <si>
    <t xml:space="preserve"> Improved production and productivity of wheat, sunflower and rice</t>
  </si>
  <si>
    <t xml:space="preserve">1. Scaled up food production of priority crop - Number of farmers receiving subsidies for certified seeds of climate resilient varieties of wheat, sunflower and rice (disaggregated by gender)
2. Improved policy and regulatory environment for food system - Percentage increase in budget allocated to agriculture </t>
  </si>
  <si>
    <t>Drinking water and sanitation services</t>
  </si>
  <si>
    <t>Improve and expand water supply for domestic and industrial use, sanitation services, food and nutrition security by harnessing water resources and developing infrastructure and water and sanitation systems for Dodoma City, Bahi, Chemba and Chamwino towns by 2051.</t>
  </si>
  <si>
    <t>1. Access to safely managed drinking water services (% population)
2. Access to safely improved sanitation services (% population)</t>
  </si>
  <si>
    <t xml:space="preserve">Storage capacity for water supply and multipurpose use </t>
  </si>
  <si>
    <t>1. Catchment area with improved sanitation management practices 
2. Catchment    Management    Committees    established, strengthened and functional to support catchment restoration 
3. Water Infrastructure Developed</t>
  </si>
  <si>
    <t>WASH: Improved water and sanitation services</t>
  </si>
  <si>
    <t>Construction of community water collection facilities</t>
  </si>
  <si>
    <t>Contribute to improving living conditions and food and nutrition security of the populations in the Sahel and West Africa</t>
  </si>
  <si>
    <t>Number of people suffering from hunger or malnutrition</t>
  </si>
  <si>
    <t>The production of plant, animal and fishery products has increased</t>
  </si>
  <si>
    <t>Number of water collection facilities developed</t>
  </si>
  <si>
    <t>Agriculture: Hydro-agricultural development</t>
  </si>
  <si>
    <t>Agricultural development and construction of water collection facilities (drinking water)</t>
  </si>
  <si>
    <t xml:space="preserve">1. Agropastoral areas sustainably managed 
2. Climate smart agriculture, silviculture and pastoral fish production supported </t>
  </si>
  <si>
    <t>Mozambique, Zambia</t>
  </si>
  <si>
    <t>Hygiene practices education</t>
  </si>
  <si>
    <t xml:space="preserve">Number of people who are malnourished, </t>
  </si>
  <si>
    <t xml:space="preserve">Community members trained through extension services on climate-smart water, sanitation, and hygiene (WASH) </t>
  </si>
  <si>
    <t>WASH: Hygiene practices education</t>
  </si>
  <si>
    <t xml:space="preserve">AfCFTA </t>
  </si>
  <si>
    <t>Distribution of seeds for wheat, sorghum and millet production for diversed nutrition</t>
  </si>
  <si>
    <t>Scale  up wheat  production  and  productivity  in  Sudan  to  mitigate  the  impact  of  the Russia's  Invasion  of Ukraine on food security and help Sudan achieve self-sufficiency in wheat production in the medium term 
-
term.</t>
  </si>
  <si>
    <t>Rwanda, Burundi</t>
  </si>
  <si>
    <t>Nutrition integrated hygiene education</t>
  </si>
  <si>
    <t>Increase the quality, access, and sustainable operations of improved water supply and sanitation services</t>
  </si>
  <si>
    <t>1. Access to safely managed drinking water services (% population) 
2. Access to safely improved sanitation services (% population)</t>
  </si>
  <si>
    <t>1. People with new or improved access to water (to be disaggregated by gender (CSI) in Butha Buthe region 
2. Average daily hours of supply (hrs.) at connections and water points
3. People with new or improved access to sanitation services (thousands) (to be disaggregated by gender) (CSI) in Butha Buthe region)</t>
  </si>
  <si>
    <t>1.eople sensitized through integrated nutrition and hygiene promotion initiatives (Disaggregated by gende
2. Improved water management, efficiency, and sustainability of services
3. Climate resilient public sanitation and hygiene facilities constructed in schools, public places &amp; health centres and Gender and disability compliant (for the vulnerable)</t>
  </si>
  <si>
    <t>WASH: Improving access to quality WASH services</t>
  </si>
  <si>
    <t>Ensure national climate-resilient food  and  nutrition security</t>
  </si>
  <si>
    <t>Number of people who are hungry/malnourished (millions)</t>
  </si>
  <si>
    <t>N</t>
  </si>
  <si>
    <t>Agriculture/Livestock: Increasing local food production and livestock</t>
  </si>
  <si>
    <t>RECs</t>
  </si>
  <si>
    <t>COMESA</t>
  </si>
  <si>
    <t>Malawi, Mozambique</t>
  </si>
  <si>
    <t>Construction of health facilities and water boreholes</t>
  </si>
  <si>
    <t xml:space="preserve">1. Health facilities rehabilitated
2. Boreholes and wells drilled/rehabilitated and equipped </t>
  </si>
  <si>
    <t>WASH: Construction of health facilities and water boreholes</t>
  </si>
  <si>
    <t xml:space="preserve">Enhance food and nutrition security by strengthening the competitiveness and resilience of the grain sector </t>
  </si>
  <si>
    <t>nA</t>
  </si>
  <si>
    <t>Distribution of seeds and fertilizers for cereal production</t>
  </si>
  <si>
    <t>Cushion the impact of exogenous shocks and strengthen the country's food sovereignty</t>
  </si>
  <si>
    <t>Increase cereal production</t>
  </si>
  <si>
    <t>Strengthening the resilience of food production, boosting yield and cereal production</t>
  </si>
  <si>
    <t>Quantities of certified fertilizers supplied  (for  maize,  rice  and  cassava cultivation)</t>
  </si>
  <si>
    <t xml:space="preserve">Agriculture: Strengthening food production </t>
  </si>
  <si>
    <t>Distribution of seeds and fertilizers for food production</t>
  </si>
  <si>
    <t>Contribute to boost the production of the main agricultural crops to mitigate the impact of the food cris</t>
  </si>
  <si>
    <t xml:space="preserve"> Food security index</t>
  </si>
  <si>
    <t xml:space="preserve">Additional quantity of improved seeds delivered to farmers (rice, maize, soya, market garden crops/tomato, wheat) </t>
  </si>
  <si>
    <t>Persons benefitting from agricultural improvements (50% women)</t>
  </si>
  <si>
    <t>Agriculture: Strengthening local production of grains</t>
  </si>
  <si>
    <t>Incentives for local farmers to grow wheat</t>
  </si>
  <si>
    <t>Contribute  to  strengthening  food  security  and resilience of the Egyptian economy</t>
  </si>
  <si>
    <t>Global Food Security Index/Number of people who are hungry/malnourished (millions)</t>
  </si>
  <si>
    <t xml:space="preserve">Improved food affordability, availability, quality and safety </t>
  </si>
  <si>
    <t>1. Mitigating food security risks on vulnerable population
2. Enhancing agricultural productivity and sustainability</t>
  </si>
  <si>
    <t>Agriculture: Promoting food productivity</t>
  </si>
  <si>
    <t>Increase agricultural productivity and household incomes by expanding access to climate-resilient and productivity-increasing technologies in low-income RMCs across Africa by 2025</t>
  </si>
  <si>
    <t>Number of people who are hungry / malnourished (millions)</t>
  </si>
  <si>
    <t>Average productivity of cereals, 
legumes, roots and tubers, small 
Increased agricultural productivity and income: Livestock and fisheries across compact intervention sites</t>
  </si>
  <si>
    <t>Certified and climate resilient seeds of maize, rice, wheat, cassava, small livestock, sorghum/millet, orange flesh sweet potato, high-iron beans and fish produced and distributed</t>
  </si>
  <si>
    <t>IITA</t>
  </si>
  <si>
    <t>Agriculture: Food production strengthening</t>
  </si>
  <si>
    <t>Build resilient farming livelihoods and increase food and nutrition  security</t>
  </si>
  <si>
    <t xml:space="preserve">Number of people who are hungry/malnourished </t>
  </si>
  <si>
    <t>1. Increased farm productivity
2. Increased afforability and availability of food</t>
  </si>
  <si>
    <t>Volume of seeds and fertilizers redeemed/distributed for cropping</t>
  </si>
  <si>
    <t>Distribution of cereals and oil seeds for increased food production</t>
  </si>
  <si>
    <t xml:space="preserve">Increase  agricultural  productivity  and  production  to improve food security in Kenya in the short term and to mitigate the impacts of the Russia-Ukraine war on food </t>
  </si>
  <si>
    <t>Cereal and oil production increase</t>
  </si>
  <si>
    <t>Enhanced agricultural productivity through improved certified seeds dissemination</t>
  </si>
  <si>
    <t>Scaled up food production</t>
  </si>
  <si>
    <t>Agriculture: Strengthened food production</t>
  </si>
  <si>
    <t>Provision of farming inputs for maize, sorghum and beans</t>
  </si>
  <si>
    <t>Scaling-up food production and reducing vulnerability of the poor to high and unstable food prices</t>
  </si>
  <si>
    <t>Increased food security</t>
  </si>
  <si>
    <t>Increased local production of maize (staple food)</t>
  </si>
  <si>
    <t>1. Domestic food production is adequate
2. Annual food vulnerability assessment is maintained</t>
  </si>
  <si>
    <t>Djibouti, Ethiopia, Kenya, Somalia, South Sudan</t>
  </si>
  <si>
    <t>Rehabilitation of water infrastructure for increased agro production</t>
  </si>
  <si>
    <t>Build resilience to food and nutrition insecurity and the impacts of climate change in the Horn of Africa</t>
  </si>
  <si>
    <t>Number of people who are hungry / malnourished</t>
  </si>
  <si>
    <t>Agricultural production (crops and livestock) increase</t>
  </si>
  <si>
    <t xml:space="preserve"> Water mobilization infrastructure (boreholes, water distribution system) constructed/rehabilitated</t>
  </si>
  <si>
    <t>Increasing access to health care through increase human resources in health sector</t>
  </si>
  <si>
    <t>Accelerate social protection system reforms in Morocco to increase social coverage (including health) of poor and vulnerable communities</t>
  </si>
  <si>
    <t>Density of  healthcare personnel/10000 people in urban areas</t>
  </si>
  <si>
    <t>Social protection generalized through universal health coverage: Density  of  healthcare  personnel  in  rural areas per 1000 people</t>
  </si>
  <si>
    <t>Increase in investment budget allocated to the Ministry  of Health  and  Social  protection  to bolster healthcare supply</t>
  </si>
  <si>
    <t>Social Protection: increasing social coverage of poor and vulnerable communities</t>
  </si>
  <si>
    <t>To contribute to Ghana’s Post-Covid-19 recovery through infrastructure development to build health-related skills in higher education</t>
  </si>
  <si>
    <t>Improved quality and timeliness of mass communication on public health issues</t>
  </si>
  <si>
    <t>Education: Training of university lecturers on health-related field</t>
  </si>
  <si>
    <t>CoDA, AFROSAI-E</t>
  </si>
  <si>
    <t xml:space="preserve"> People in the project area sensitised on STIs, COVID-19 and other pandemics, food hygiene, gender, and gender-based violence (GBV).</t>
  </si>
  <si>
    <t>IGAD</t>
  </si>
  <si>
    <t>Liberia, Sierra Leone, Guinea</t>
  </si>
  <si>
    <t>Nutrition education and rehabilitation of WASH facilities</t>
  </si>
  <si>
    <t>1. Awareness building on HIV/AIDS, Ebola, gender-based violence, and nutrition
2. Number of social and WASH facilities rehabilitated/supported/constructed</t>
  </si>
  <si>
    <t>WASH: Construction of WASH facilities</t>
  </si>
  <si>
    <t>EAC</t>
  </si>
  <si>
    <t>AUC</t>
  </si>
  <si>
    <t>Build the resilience of small holder farmers through increased access to inputs and increase food and nutrition security</t>
  </si>
  <si>
    <t>Additional number of households accessing quality and nutritious food</t>
  </si>
  <si>
    <t>People  educated  about  STIs, COVID-19 and other pandemics, food hygiene, gender and gender-based violence (GBV)</t>
  </si>
  <si>
    <t>ECOWAS</t>
  </si>
  <si>
    <t>Burkina Faso, Chad, Djibouti, Eritrea, Ethiopia, Mali, Mauritania, Niger, Senegal</t>
  </si>
  <si>
    <t>Liberia, Sierra Leone</t>
  </si>
  <si>
    <t>1. Awareness building on HIV/AIDS, Ebola, gender-based violence, nutrition, and COVID-19
2. Number of climate resilient social and WASH facilities (toilets, boreholes, clinic facilities) rehabilitated/supported/constructe</t>
  </si>
  <si>
    <t>Mali, Mauritania</t>
  </si>
  <si>
    <t>Construction of boreholes to increase access to drinking water</t>
  </si>
  <si>
    <t xml:space="preserve">Number  of  boreholes built </t>
  </si>
  <si>
    <t xml:space="preserve"> To promote agriculture and fisheries value chain development</t>
  </si>
  <si>
    <t xml:space="preserve">Productivity of cocoa, pepper, and vanilla </t>
  </si>
  <si>
    <t>Agricultural productivity and reducing the number of people who are hungry/malnourished (million)</t>
  </si>
  <si>
    <t>EAPP</t>
  </si>
  <si>
    <t>Tanzania, Burundi, DRC</t>
  </si>
  <si>
    <t>Behavior change communication/awareness raising on hygiene and sanitation, to prevent water-borne diseases</t>
  </si>
  <si>
    <t>Access to well-managed sanitation facilities</t>
  </si>
  <si>
    <t>Improve agricultural productivity and raise household income</t>
  </si>
  <si>
    <t>Improved agricultural productivity (Annual average productivity of maize, paddy and sunflower)</t>
  </si>
  <si>
    <t>Nutrition education, construction of water and sanitation facilities and sensitization on hygiene practices</t>
  </si>
  <si>
    <t>To improve access to water supply and sanitation services</t>
  </si>
  <si>
    <t>Access to basic drinking water and basic sanitation services (% population)</t>
  </si>
  <si>
    <t>1. Population accessing clean drinking water services
2. Population accessing basic sanitation services</t>
  </si>
  <si>
    <t>1. Improved community water points (constructed /rehabilitated) 
2. Community members sensitized on improved sanitation and hygiene
3. Public/communal latrines/sanitation facilities constructed</t>
  </si>
  <si>
    <t>WASH: Improved access to drinking water and basic sanitation services</t>
  </si>
  <si>
    <t>Income generating activities for improved nutrition among vulnerable groups, and disctribution of ploughing, seeds and fertilizers for crop (maize, paddy rice and vegetable) production</t>
  </si>
  <si>
    <t>To contribute to robust and shared economic growth, climate resilience and food and nutrition security</t>
  </si>
  <si>
    <t>Increase in cereal and vegetable production</t>
  </si>
  <si>
    <t>AU</t>
  </si>
  <si>
    <t>Promoting food safety culture, gender and nutrition-sensitive investment evidence-based advocacy and communication for consumers and producers and SPS Policy mainstreaming</t>
  </si>
  <si>
    <t>To Improve food safety and nutrition systems in Member States</t>
  </si>
  <si>
    <t>1. Number of people who are hungry/malnourished.
2. Prevalence of stunting among children under 5</t>
  </si>
  <si>
    <t>1.  Population who benefit from gender sensitive food and nutrition information (Direct and indirect beneficiaries) (at least 50% women)
2. Food  producers  who benefit from food safety services (at least 50% women)</t>
  </si>
  <si>
    <t>1. People benefitting from information  campaigns  on gender  responsive  and nutrition-sensitive technologies in Member States out of which 50% are women
2. Gender  responsive  and Nutrition-sensitive technologies disseminated
3. Knowledge products on food  safety  generated  and  disseminated (gender sensitive)
4. African states to review and include gender  responsive  and nutrition-sensitive technologies in their agricultural policies /strategies</t>
  </si>
  <si>
    <t>Agriculture: Development and mainstreaming of food safety strategy and policy in agriculture.</t>
  </si>
  <si>
    <t>Cameroon, Equatorial Guinea</t>
  </si>
  <si>
    <t>Rehabilitation of health centers and construction of drinking water points</t>
  </si>
  <si>
    <t>1.  Health centres rehabilitated/built
2. Water points established</t>
  </si>
  <si>
    <t xml:space="preserve"> End all forms of malnutrition</t>
  </si>
  <si>
    <t>Market gardening and  capitalizing  on  good  practice  in  household  food  and nutritional security and raising awarenes</t>
  </si>
  <si>
    <t xml:space="preserve">To sustainably increase household incomes and food security </t>
  </si>
  <si>
    <t xml:space="preserve"> 1. Production from the ASPF sectors supported by the Project (Tonnes): (i) Rice; (ii) Maize; (iii) Onions; (iv) Milk
2.  Number of additional jobs created/consolidated: (i) direct (of which % women and young people) and (ii) indirect.</t>
  </si>
  <si>
    <t>1. Number of people (gender desagregated) whose capacity has been strengthened in (i) E&amp;S safeguards; (ii) gender; (iii) climate change; (iv) nutrition, hygiene and health
2. Small market garden areas upgraded and equipped with water-saving equipment</t>
  </si>
  <si>
    <t>Agriculture:Promotion of food and nutritional security for vulnerable households and access to health cover and agricultural insurance</t>
  </si>
  <si>
    <t>Livelihood activities through the implementation of alternative income generating activities to improving household incomes, nutrition, and health
Sensitization activities on hygiene promotion</t>
  </si>
  <si>
    <t>To increase access to sustainable and climate resilient portable water supply and safely managed sanitation services</t>
  </si>
  <si>
    <t xml:space="preserve">Access to safely managed drinking water services and safely managed sanitation facilities (% population)  </t>
  </si>
  <si>
    <t>1. People with access to improved drinking water services, of which 50% are female
2. Number of hours of water supply
3. People with access toimproved sanitation services, of which 50% are female</t>
  </si>
  <si>
    <t>1. Community members sensitized on improved sanitation &amp; hygiene, HIV and AIDs, Nutrition, Malaria and COVID 19 of which at least 51% are female
2.  Number of gender and disability friendly public sanitation and hygiene facilities constructed and rehabilitated 
3. People trained and supported in alternative income generating activities to improve their livelihoods and nutrition, of which 50% are women</t>
  </si>
  <si>
    <t>WASH: Improved access to drinking water and sanitation services</t>
  </si>
  <si>
    <t xml:space="preserve">Training  of laboratory  food  safety  and agricultural  extension  technicians;  (ii) development  of competency-based curricula (on Food and Nutrition, Food technology, Food Microbiology, and Food Chemistry) </t>
  </si>
  <si>
    <t>The project aims to increase access to quality middle-level technical skills training for South Sudan youth to promote their participation in agricultural value chain development</t>
  </si>
  <si>
    <t xml:space="preserve">Number of students graduated from UoJ food safety and agriculture extension technician courses </t>
  </si>
  <si>
    <t>1. Number of students enrolled by UoJ in food safety and agriculture extension technician courses 
2.  Labour market-relevant curricula developed for Diploma courses in Food safety and standards.</t>
  </si>
  <si>
    <t>Education: Training on food and nutrition</t>
  </si>
  <si>
    <t xml:space="preserve">Nutrition SBCC, rehabilitation  and  equipment  of  two  healthcare centres, with  a  focus  on maternity, paediatric,an d nutrition care, up to national standards. </t>
  </si>
  <si>
    <t>To promote livelihoods and access to basic social services (health, nutrition, social protection, and education services) for people in rural areas</t>
  </si>
  <si>
    <t>Number of people with access to equipped health facilities providing health and nutrition care (sex disaggregated)</t>
  </si>
  <si>
    <t>Number of persons who participate in nutrition sensitization campaigns (sex disaggregated)</t>
  </si>
  <si>
    <t>Social Protection and Health: Improved access to social and health services</t>
  </si>
  <si>
    <t>Guinea Bissau, Chad, Gambia</t>
  </si>
  <si>
    <t>Improving living conditions and food and nutrition security of the populations in the Sahel and West Africa</t>
  </si>
  <si>
    <t>To make a sustainable contribution to the resilience of food and nutritional security</t>
  </si>
  <si>
    <t>Additional beneficiaries declaring an increase in production and income (maize and soyabean)</t>
  </si>
  <si>
    <t xml:space="preserve">Small-scale maize and soyabean processing units for multi-nutritional livestock </t>
  </si>
  <si>
    <t xml:space="preserve"> Improve food security and self-sufficiency through appropriate interventions on all segments of the cereal supply chain (upstream and downstream) to increase cereal production and productivity</t>
  </si>
  <si>
    <t>Sensitization on hygiene practices and nutrition</t>
  </si>
  <si>
    <t xml:space="preserve"> To improve wheat productivity and production</t>
  </si>
  <si>
    <t>Number of people who are malnourished (million)</t>
  </si>
  <si>
    <t xml:space="preserve"> Share of wheat production marketed commercially by households</t>
  </si>
  <si>
    <t xml:space="preserve"> Improve governance in the water and sanitation sector and access to basic water supply and sanitation services</t>
  </si>
  <si>
    <t>AfCFTA</t>
  </si>
  <si>
    <t>School gardening</t>
  </si>
  <si>
    <t>Contribute to food sovereignty and nutritional security</t>
  </si>
  <si>
    <t xml:space="preserve">1. Increase in production (maize, beans, cassava, sweet potatoes, vegetables, tomatoes, irish potatoes)
2. Food reinforcement in school canteens </t>
  </si>
  <si>
    <t>Agriculture: Increased production of food crops</t>
  </si>
  <si>
    <t>Public awareness campaign and education in nutrition, hygiene and sanitation (personal, food, environmental hygiene) and provision of handwashing facilities to households</t>
  </si>
  <si>
    <t>Improve access to climate resilient and sustainable sanitation services</t>
  </si>
  <si>
    <t>Access to safely managed sanitation services (% population)</t>
  </si>
  <si>
    <t xml:space="preserve">1. Proportion of people with access to at least basic handwashing facilities with soap and water at home (%) 
2. Proportion of people with access to improved sanitation services in the project intervention towns </t>
  </si>
  <si>
    <t>1. Number of improved hygiene and sanitation facilities provided in schools, public places &amp; health centres
2. Number of household sanitation facilities constructed/improved for the most vulnerable members of the community 
3.People sensitized on hygiene and sanitation promotion (Disaggregated by gender)</t>
  </si>
  <si>
    <t>WASH: Improved access to hygiene and sanitation facilities</t>
  </si>
  <si>
    <t>Somalia, Djibouti</t>
  </si>
  <si>
    <t>Cash transfers to extremely poor households and targeted nutrition program</t>
  </si>
  <si>
    <t>P-ET-E00-016</t>
  </si>
  <si>
    <t>P-ET-KF0-007</t>
  </si>
  <si>
    <t>P-MG-EAZ-001</t>
  </si>
  <si>
    <t>P-MG-AA0-044</t>
  </si>
  <si>
    <t>P-MG-A00-007</t>
  </si>
  <si>
    <t>P-MG-A00-012</t>
  </si>
  <si>
    <t>P-MW-AA0-038</t>
  </si>
  <si>
    <t>P-MW-A00-012</t>
  </si>
  <si>
    <t>P-SN-KA0-018</t>
  </si>
  <si>
    <t>P-SN-A00-022</t>
  </si>
  <si>
    <t>P-TZ-I00-003</t>
  </si>
  <si>
    <t>P-TZ-A00-014</t>
  </si>
  <si>
    <t>P-TZ-E00-011</t>
  </si>
  <si>
    <t>P-Z1-C00-072</t>
  </si>
  <si>
    <t>P-Z1-C00-089</t>
  </si>
  <si>
    <t>P-Z1-C00-075</t>
  </si>
  <si>
    <t>P-Z1-C00-095</t>
  </si>
  <si>
    <t>P-Z1-C00-096</t>
  </si>
  <si>
    <t>P-TD-F00-004</t>
  </si>
  <si>
    <t>P-Z1-GB0-036</t>
  </si>
  <si>
    <t>P-CM-KF0-007</t>
  </si>
  <si>
    <t>P-SD-AAB-005</t>
  </si>
  <si>
    <t>P-SO-IA0-002</t>
  </si>
  <si>
    <t>P-Z1-DB0-254</t>
  </si>
  <si>
    <t>P-Z1-DB0-274</t>
  </si>
  <si>
    <t>P-BW-K00-005</t>
  </si>
  <si>
    <t>P-LS-E00-008</t>
  </si>
  <si>
    <t>P-DJ-DB0-005</t>
  </si>
  <si>
    <t>P-GH-A00-012</t>
  </si>
  <si>
    <t>P-GN-A00-009</t>
  </si>
  <si>
    <t>P-Z1-HAA-107</t>
  </si>
  <si>
    <t>P-CV-K00-015</t>
  </si>
  <si>
    <t>P-SS-KF0-007</t>
  </si>
  <si>
    <t>P-GM-A00-007</t>
  </si>
  <si>
    <t>P-Z1-K00-136</t>
  </si>
  <si>
    <t>P-Z1-KF0-075</t>
  </si>
  <si>
    <t>P-Z1-BB0-008</t>
  </si>
  <si>
    <t>P-LS-KF0-005</t>
  </si>
  <si>
    <t>P-Z1-DB0-253</t>
  </si>
  <si>
    <t>P-Z1-DB0-271</t>
  </si>
  <si>
    <t>P-TN-AA0-030</t>
  </si>
  <si>
    <t>P-BI-IE0-006</t>
  </si>
  <si>
    <t>P-DJ-KF0-010</t>
  </si>
  <si>
    <t>P-MA-AA0-023</t>
  </si>
  <si>
    <t>P-TD-KF0-011</t>
  </si>
  <si>
    <t>P-Z1-GB0-035</t>
  </si>
  <si>
    <t>P-CI-AA0-037</t>
  </si>
  <si>
    <t>P-CM-AA0-015</t>
  </si>
  <si>
    <t>P-EG-K00-017</t>
  </si>
  <si>
    <t>P-Z1-AA0-139</t>
  </si>
  <si>
    <t>P-ZM-AA0-043</t>
  </si>
  <si>
    <t>P-GN-FA0-018</t>
  </si>
  <si>
    <t>P-KE-A00-002</t>
  </si>
  <si>
    <t>P-SZ-AA0-013</t>
  </si>
  <si>
    <t>P-Z1-C00-080</t>
  </si>
  <si>
    <t>P-MA-I00-012</t>
  </si>
  <si>
    <t>P-CM-KF0-006</t>
  </si>
  <si>
    <t>P-GH-I00-002</t>
  </si>
  <si>
    <t>P-KE-K00-010</t>
  </si>
  <si>
    <t>P-Z1-FA0-189</t>
  </si>
  <si>
    <t>P-MA-DA0-007</t>
  </si>
  <si>
    <t>P-MA-DD0-008</t>
  </si>
  <si>
    <t>P-Z1-KF0-070</t>
  </si>
  <si>
    <t>P-Z1-KF0-076</t>
  </si>
  <si>
    <t>P-KM-D00-002</t>
  </si>
  <si>
    <t>P-Z1-F00-129</t>
  </si>
  <si>
    <t>P-Z1-DB0-143</t>
  </si>
  <si>
    <t>P-Z1-DB0-209</t>
  </si>
  <si>
    <t>P-Z1-K00-115</t>
  </si>
  <si>
    <t>P-SO-KF0-011</t>
  </si>
  <si>
    <t>P-Z1-K00-122</t>
  </si>
  <si>
    <t>P-GH-F00-022</t>
  </si>
  <si>
    <t>P-NG-AAG-016</t>
  </si>
  <si>
    <t>P-NA-K00-005</t>
  </si>
  <si>
    <t>P-BJ-IAE-004</t>
  </si>
  <si>
    <t>P-KM-D00-003</t>
  </si>
  <si>
    <t>P-MA-DB0-008</t>
  </si>
  <si>
    <t>P-NG-HAB-024</t>
  </si>
  <si>
    <t>P-NG-HAB-071</t>
  </si>
  <si>
    <t>P-UG-I00-003</t>
  </si>
  <si>
    <t>P-Z1-FF0-034</t>
  </si>
  <si>
    <t>P-Z1-FF0-038</t>
  </si>
  <si>
    <t>P-ZW-HAB-009</t>
  </si>
  <si>
    <t>P-CM-FA0-011</t>
  </si>
  <si>
    <t>P-Z1-DB0-258</t>
  </si>
  <si>
    <t>P-Z1-DB0-259</t>
  </si>
  <si>
    <t>P-Z1-FA0-214</t>
  </si>
  <si>
    <t>P-Z1-FA0-228</t>
  </si>
  <si>
    <t>P-AO-AA0-011</t>
  </si>
  <si>
    <t>P-BJ-KF0-001</t>
  </si>
  <si>
    <t>P-ST-AA0-006</t>
  </si>
  <si>
    <t>P-Z1-AA0-158</t>
  </si>
  <si>
    <t>P-Z1-F00-152</t>
  </si>
  <si>
    <t>P-Z1-DC0-041</t>
  </si>
  <si>
    <t>P-Z1-DC0-046</t>
  </si>
  <si>
    <t>P-CF-K00-020</t>
  </si>
  <si>
    <t>P-TN-EA0-007</t>
  </si>
  <si>
    <t>P-CI-BG0-002</t>
  </si>
  <si>
    <t>P-SN-EB0-004</t>
  </si>
  <si>
    <t>P-TZ-HAA-004</t>
  </si>
  <si>
    <t>P-RW-E00-014</t>
  </si>
  <si>
    <t>P-SN-KA0-019</t>
  </si>
  <si>
    <t>P-ST-K00-013</t>
  </si>
  <si>
    <t>P-UG-DB0-035</t>
  </si>
  <si>
    <t>P-BF-AA0-035</t>
  </si>
  <si>
    <t>P-Z1-AAG-046</t>
  </si>
  <si>
    <t>P-EG-HAB-014</t>
  </si>
  <si>
    <t>P-EG-HAB-016</t>
  </si>
  <si>
    <t>P-KE-FA0-021</t>
  </si>
  <si>
    <t>P-KE-K00-012</t>
  </si>
  <si>
    <t>P-Z1-D00-048</t>
  </si>
  <si>
    <t>P-GN-FA0-022</t>
  </si>
  <si>
    <t>P-BJ-AAF-003</t>
  </si>
  <si>
    <t>P-EG-K00-016</t>
  </si>
  <si>
    <t>P-SN-AA0-014</t>
  </si>
  <si>
    <t>P-MW-AA0-039</t>
  </si>
  <si>
    <t>P-CG-K00-012</t>
  </si>
  <si>
    <t>P-MW-E00-013</t>
  </si>
  <si>
    <t>P-SC-K00-024</t>
  </si>
  <si>
    <t>P-NG-I00-002</t>
  </si>
  <si>
    <t>P-TD-E00-011</t>
  </si>
  <si>
    <t>P-SS-I00-005</t>
  </si>
  <si>
    <t>P-GH-K00-018</t>
  </si>
  <si>
    <t>P-NA-DZ0-002</t>
  </si>
  <si>
    <t>P-ZW-KF0-015</t>
  </si>
  <si>
    <t>P-CM-DB0-022</t>
  </si>
  <si>
    <t>P-Z1-HA0-037</t>
  </si>
  <si>
    <t>P-ZA-K00-006</t>
  </si>
  <si>
    <t>P-GM-KA0-011</t>
  </si>
  <si>
    <t>P-SO-KF0-015</t>
  </si>
  <si>
    <t>P-RW-IA0-006</t>
  </si>
  <si>
    <t>P-EG-IB0-009</t>
  </si>
  <si>
    <t>P-KM-D00-004</t>
  </si>
  <si>
    <t>P-MA-BB0-005</t>
  </si>
  <si>
    <t>P-MR-K00-019</t>
  </si>
  <si>
    <t>P-GM-I00-003</t>
  </si>
  <si>
    <t>P-Z1-C00-099</t>
  </si>
  <si>
    <t>P-ET-FA0-020</t>
  </si>
  <si>
    <t>P-MZ-KA0-007</t>
  </si>
  <si>
    <t>P-MZ-KA0-008</t>
  </si>
  <si>
    <t>P-NG-BG0-004</t>
  </si>
  <si>
    <t>P-CM-IA0-002</t>
  </si>
  <si>
    <t>P-GM-FA0-004</t>
  </si>
  <si>
    <t>P-GN-AA0-026</t>
  </si>
  <si>
    <t>P-LR-HB0-003</t>
  </si>
  <si>
    <t>P-Z1-C00-098</t>
  </si>
  <si>
    <t>P-Z1-C00-100</t>
  </si>
  <si>
    <t>P-KE-FA0-022</t>
  </si>
  <si>
    <t>P-TN-AA0-031</t>
  </si>
  <si>
    <t>P-GW-I00-008</t>
  </si>
  <si>
    <t>P-BJ-EBC-003</t>
  </si>
  <si>
    <t>P-CI-GB0-005</t>
  </si>
  <si>
    <t>P-MA-IA0-008</t>
  </si>
  <si>
    <t>P-ET-AA0-020</t>
  </si>
  <si>
    <t>P-RW-E00-013</t>
  </si>
  <si>
    <t>P-NG-K00-011</t>
  </si>
  <si>
    <t>P-Z1-KF0-068</t>
  </si>
  <si>
    <t>P-CV-A00-003</t>
  </si>
  <si>
    <t>P-MA-IBD-012</t>
  </si>
  <si>
    <t>P-TZ-K00-018</t>
  </si>
  <si>
    <t>P-AO-E00-006</t>
  </si>
  <si>
    <t>P-Z1-K00-127</t>
  </si>
  <si>
    <t>P-GH-D00-011</t>
  </si>
  <si>
    <t>P-NG-H00-019</t>
  </si>
  <si>
    <t>P-MU-FA0-004</t>
  </si>
  <si>
    <t>P-MZ-A00-007</t>
  </si>
  <si>
    <t>P-TG-I00-008</t>
  </si>
  <si>
    <t>P-MU-K00-009</t>
  </si>
  <si>
    <t>P-Z1-DB0-251</t>
  </si>
  <si>
    <t>P-Z1-DB0-277</t>
  </si>
  <si>
    <t>P-Z1-H00-098</t>
  </si>
  <si>
    <t>P-LR-H00-008</t>
  </si>
  <si>
    <t>P-KE-IA0-005</t>
  </si>
  <si>
    <t>P-Z1-KF0-066</t>
  </si>
  <si>
    <t>P-KE-HAB-037</t>
  </si>
  <si>
    <t>P-KE-HAB-040</t>
  </si>
  <si>
    <t>P-MU-HAB-008</t>
  </si>
  <si>
    <t>P-ER-FA0-001</t>
  </si>
  <si>
    <t>P-MR-AA0-010</t>
  </si>
  <si>
    <t>P-CI-KA0-013</t>
  </si>
  <si>
    <t>P-Z1-HAA-106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</si>
</sst>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m/d/yyyy\ h:mm:ss"/>
    <numFmt numFmtId="165" formatCode="_(* #,##0_);_(* \(#,##0\);_(* &quot;-&quot;??_);_(@_)"/>
    <numFmt numFmtId="166" formatCode="#,##0.0"/>
  </numFmts>
  <fonts count="42" x14ac:knownFonts="1">
    <font>
      <sz val="10"/>
      <color rgb="FF000000"/>
      <name val="Calibri"/>
      <scheme val="minor"/>
    </font>
    <font>
      <sz val="10"/>
      <color rgb="FF000000"/>
      <name val="Century Gothic"/>
      <family val="2"/>
    </font>
    <font>
      <sz val="12"/>
      <color rgb="FFFF0000"/>
      <name val="Century Gothic"/>
      <family val="2"/>
    </font>
    <font>
      <sz val="12"/>
      <color rgb="FF000000"/>
      <name val="Century Gothic"/>
      <family val="2"/>
    </font>
    <font>
      <sz val="12"/>
      <color theme="1"/>
      <name val="Century Gothic"/>
      <family val="2"/>
    </font>
    <font>
      <b/>
      <sz val="12"/>
      <color theme="0"/>
      <name val="Century Gothic"/>
      <family val="2"/>
    </font>
    <font>
      <b/>
      <sz val="10"/>
      <color rgb="FF000000"/>
      <name val="Century Gothic"/>
      <family val="2"/>
    </font>
    <font>
      <sz val="10"/>
      <color rgb="FF000000"/>
      <name val="Calibri"/>
      <family val="2"/>
      <scheme val="minor"/>
    </font>
    <font>
      <sz val="10"/>
      <color theme="1"/>
      <name val="Arial"/>
      <family val="2"/>
    </font>
    <font>
      <i/>
      <sz val="10"/>
      <color theme="1"/>
      <name val="Arial"/>
      <family val="2"/>
    </font>
    <font>
      <b/>
      <sz val="11"/>
      <color rgb="FF000000"/>
      <name val="Arial"/>
      <family val="2"/>
    </font>
    <font>
      <b/>
      <sz val="11"/>
      <color theme="1"/>
      <name val="Calibri"/>
      <family val="2"/>
    </font>
    <font>
      <b/>
      <sz val="11"/>
      <color theme="1"/>
      <name val="Arial"/>
      <family val="2"/>
    </font>
    <font>
      <sz val="11"/>
      <color rgb="FF000000"/>
      <name val="Calibri"/>
      <family val="2"/>
    </font>
    <font>
      <u/>
      <sz val="11"/>
      <color rgb="FF1155CC"/>
      <name val="Arial"/>
      <family val="2"/>
    </font>
    <font>
      <sz val="11"/>
      <color theme="1"/>
      <name val="Calibri"/>
      <family val="2"/>
    </font>
    <font>
      <sz val="11"/>
      <color theme="1"/>
      <name val="Arial"/>
      <family val="2"/>
    </font>
    <font>
      <sz val="10"/>
      <color rgb="FF000000"/>
      <name val="Arial"/>
      <family val="2"/>
    </font>
    <font>
      <sz val="12"/>
      <color theme="1"/>
      <name val="Calibri"/>
      <family val="2"/>
      <scheme val="minor"/>
    </font>
    <font>
      <sz val="10"/>
      <color theme="1"/>
      <name val="Calibri"/>
      <family val="2"/>
      <scheme val="minor"/>
    </font>
    <font>
      <sz val="12"/>
      <color rgb="FF000000"/>
      <name val="Calibri"/>
      <family val="2"/>
      <scheme val="minor"/>
    </font>
    <font>
      <sz val="10"/>
      <color rgb="FF000000"/>
      <name val="Arial"/>
      <family val="2"/>
    </font>
    <font>
      <sz val="11"/>
      <color rgb="FF000000"/>
      <name val="Inconsolata"/>
    </font>
    <font>
      <sz val="12"/>
      <color theme="0"/>
      <name val="Times New Roman"/>
      <family val="1"/>
    </font>
    <font>
      <sz val="12"/>
      <color rgb="FF000000"/>
      <name val="Times New Roman"/>
      <family val="1"/>
    </font>
    <font>
      <sz val="12"/>
      <color theme="1"/>
      <name val="Calibri Light"/>
      <family val="2"/>
      <scheme val="major"/>
    </font>
    <font>
      <sz val="12"/>
      <color rgb="FF000000"/>
      <name val="Calibri Light"/>
      <family val="2"/>
      <scheme val="major"/>
    </font>
    <font>
      <sz val="16"/>
      <color theme="0"/>
      <name val="Calibri"/>
      <family val="2"/>
      <scheme val="minor"/>
    </font>
    <font>
      <sz val="14"/>
      <color theme="0"/>
      <name val="Calibri"/>
      <family val="2"/>
      <scheme val="minor"/>
    </font>
    <font>
      <b/>
      <sz val="14"/>
      <color theme="0"/>
      <name val="Calibri"/>
      <family val="2"/>
      <scheme val="minor"/>
    </font>
    <font>
      <sz val="10"/>
      <color theme="1"/>
      <name val="Verdana"/>
      <family val="2"/>
    </font>
    <font>
      <sz val="10"/>
      <color rgb="FF000000"/>
      <name val="Verdana"/>
      <family val="2"/>
    </font>
    <font>
      <sz val="10"/>
      <color theme="0"/>
      <name val="Verdana"/>
      <family val="2"/>
    </font>
    <font>
      <sz val="10"/>
      <color theme="0"/>
      <name val="Arial"/>
      <family val="2"/>
    </font>
    <font>
      <sz val="11"/>
      <color indexed="8"/>
      <name val="Calibri"/>
      <family val="2"/>
      <scheme val="minor"/>
    </font>
    <font>
      <sz val="10"/>
      <color rgb="FF000000"/>
      <name val="Calibri"/>
      <family val="2"/>
      <scheme val="minor"/>
    </font>
    <font>
      <sz val="12"/>
      <color theme="0"/>
      <name val="Calibri"/>
      <family val="2"/>
    </font>
    <font>
      <sz val="12"/>
      <color theme="1"/>
      <name val="Calibri"/>
      <family val="2"/>
    </font>
    <font>
      <sz val="12"/>
      <color theme="1"/>
      <name val="Times New Roman"/>
      <family val="1"/>
    </font>
    <font>
      <sz val="11"/>
      <color rgb="FF000000"/>
      <name val="Times New Roman"/>
      <family val="1"/>
    </font>
    <font>
      <sz val="11"/>
      <color indexed="8"/>
      <name val="Times New Roman"/>
      <family val="1"/>
    </font>
    <font>
      <sz val="11"/>
      <color theme="1"/>
      <name val="Times New Roman"/>
      <family val="1"/>
    </font>
  </fonts>
  <fills count="49">
    <fill>
      <patternFill patternType="none"/>
    </fill>
    <fill>
      <patternFill patternType="gray125"/>
    </fill>
    <fill>
      <patternFill patternType="solid">
        <fgColor rgb="FF00FF00"/>
        <bgColor rgb="FF00FF00"/>
      </patternFill>
    </fill>
    <fill>
      <patternFill patternType="solid">
        <fgColor rgb="FFFF0000"/>
        <bgColor rgb="FFFF0000"/>
      </patternFill>
    </fill>
    <fill>
      <patternFill patternType="solid">
        <fgColor theme="0"/>
        <bgColor theme="0"/>
      </patternFill>
    </fill>
    <fill>
      <patternFill patternType="solid">
        <fgColor theme="0"/>
        <bgColor indexed="64"/>
      </patternFill>
    </fill>
    <fill>
      <patternFill patternType="solid">
        <fgColor theme="0"/>
        <bgColor rgb="FFFF9900"/>
      </patternFill>
    </fill>
    <fill>
      <patternFill patternType="solid">
        <fgColor theme="0"/>
        <bgColor rgb="FFFFFF00"/>
      </patternFill>
    </fill>
    <fill>
      <patternFill patternType="solid">
        <fgColor theme="0"/>
        <bgColor rgb="FFFFFFFF"/>
      </patternFill>
    </fill>
    <fill>
      <patternFill patternType="solid">
        <fgColor rgb="FF0070C0"/>
        <bgColor rgb="FF00FF00"/>
      </patternFill>
    </fill>
    <fill>
      <patternFill patternType="solid">
        <fgColor rgb="FF0070C0"/>
        <bgColor rgb="FFFF0000"/>
      </patternFill>
    </fill>
    <fill>
      <patternFill patternType="solid">
        <fgColor rgb="FF0070C0"/>
        <bgColor rgb="FFFFFF00"/>
      </patternFill>
    </fill>
    <fill>
      <patternFill patternType="solid">
        <fgColor rgb="FF0070C0"/>
        <bgColor rgb="FFFF9900"/>
      </patternFill>
    </fill>
    <fill>
      <patternFill patternType="solid">
        <fgColor theme="0" tint="-4.9989318521683403E-2"/>
        <bgColor indexed="64"/>
      </patternFill>
    </fill>
    <fill>
      <patternFill patternType="solid">
        <fgColor theme="0" tint="-4.9989318521683403E-2"/>
        <bgColor rgb="FFFF0000"/>
      </patternFill>
    </fill>
    <fill>
      <patternFill patternType="solid">
        <fgColor theme="0" tint="-4.9989318521683403E-2"/>
        <bgColor rgb="FFFFFF00"/>
      </patternFill>
    </fill>
    <fill>
      <patternFill patternType="solid">
        <fgColor theme="0" tint="-4.9989318521683403E-2"/>
        <bgColor rgb="FFFF9900"/>
      </patternFill>
    </fill>
    <fill>
      <patternFill patternType="solid">
        <fgColor rgb="FF0070C0"/>
        <bgColor indexed="64"/>
      </patternFill>
    </fill>
    <fill>
      <patternFill patternType="solid">
        <fgColor rgb="FF6AA84F"/>
        <bgColor rgb="FF6AA84F"/>
      </patternFill>
    </fill>
    <fill>
      <patternFill patternType="solid">
        <fgColor rgb="FFB7B7B7"/>
        <bgColor rgb="FFB7B7B7"/>
      </patternFill>
    </fill>
    <fill>
      <patternFill patternType="solid">
        <fgColor theme="5" tint="0.79998168889431442"/>
        <bgColor indexed="64"/>
      </patternFill>
    </fill>
    <fill>
      <patternFill patternType="solid">
        <fgColor theme="5" tint="0.79998168889431442"/>
        <bgColor rgb="FF00FF00"/>
      </patternFill>
    </fill>
    <fill>
      <patternFill patternType="solid">
        <fgColor theme="5" tint="0.79998168889431442"/>
        <bgColor rgb="FFFF0000"/>
      </patternFill>
    </fill>
    <fill>
      <patternFill patternType="solid">
        <fgColor theme="1"/>
        <bgColor indexed="64"/>
      </patternFill>
    </fill>
    <fill>
      <patternFill patternType="solid">
        <fgColor rgb="FFB7E1CD"/>
        <bgColor rgb="FFB7E1CD"/>
      </patternFill>
    </fill>
    <fill>
      <patternFill patternType="solid">
        <fgColor rgb="FFFFFFFF"/>
        <bgColor rgb="FFFFFFFF"/>
      </patternFill>
    </fill>
    <fill>
      <patternFill patternType="solid">
        <fgColor theme="9" tint="-0.499984740745262"/>
        <bgColor indexed="64"/>
      </patternFill>
    </fill>
    <fill>
      <patternFill patternType="solid">
        <fgColor theme="8" tint="-0.249977111117893"/>
        <bgColor indexed="64"/>
      </patternFill>
    </fill>
    <fill>
      <patternFill patternType="solid">
        <fgColor theme="0" tint="-0.499984740745262"/>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0" tint="-0.14999847407452621"/>
        <bgColor indexed="64"/>
      </patternFill>
    </fill>
    <fill>
      <patternFill patternType="solid">
        <fgColor theme="5" tint="-0.499984740745262"/>
        <bgColor rgb="FF00FF00"/>
      </patternFill>
    </fill>
    <fill>
      <patternFill patternType="solid">
        <fgColor theme="5" tint="-0.499984740745262"/>
        <bgColor rgb="FF00FFFF"/>
      </patternFill>
    </fill>
    <fill>
      <patternFill patternType="solid">
        <fgColor theme="5" tint="-0.499984740745262"/>
        <bgColor rgb="FFFF9900"/>
      </patternFill>
    </fill>
    <fill>
      <patternFill patternType="solid">
        <fgColor theme="5" tint="-0.499984740745262"/>
        <bgColor rgb="FFFFFF00"/>
      </patternFill>
    </fill>
    <fill>
      <patternFill patternType="solid">
        <fgColor theme="5" tint="-0.499984740745262"/>
        <bgColor rgb="FFFF0000"/>
      </patternFill>
    </fill>
    <fill>
      <patternFill patternType="solid">
        <fgColor rgb="FFFFFF00"/>
        <bgColor indexed="64"/>
      </patternFill>
    </fill>
    <fill>
      <patternFill patternType="solid">
        <fgColor theme="5" tint="-0.249977111117893"/>
        <bgColor rgb="FF00FF00"/>
      </patternFill>
    </fill>
    <fill>
      <patternFill patternType="solid">
        <fgColor theme="5" tint="-0.249977111117893"/>
        <bgColor rgb="FF00FFFF"/>
      </patternFill>
    </fill>
    <fill>
      <patternFill patternType="solid">
        <fgColor theme="5" tint="-0.249977111117893"/>
        <bgColor rgb="FFFF9900"/>
      </patternFill>
    </fill>
    <fill>
      <patternFill patternType="solid">
        <fgColor theme="5" tint="-0.249977111117893"/>
        <bgColor rgb="FFFF00FF"/>
      </patternFill>
    </fill>
    <fill>
      <patternFill patternType="solid">
        <fgColor theme="5" tint="-0.249977111117893"/>
        <bgColor rgb="FFFFFF00"/>
      </patternFill>
    </fill>
    <fill>
      <patternFill patternType="solid">
        <fgColor theme="5" tint="-0.249977111117893"/>
        <bgColor rgb="FFFF0000"/>
      </patternFill>
    </fill>
    <fill>
      <patternFill patternType="solid">
        <fgColor theme="5" tint="-0.249977111117893"/>
        <bgColor theme="8"/>
      </patternFill>
    </fill>
    <fill>
      <patternFill patternType="solid">
        <fgColor rgb="FFFFFF00"/>
        <bgColor rgb="FFB7E1CD"/>
      </patternFill>
    </fill>
    <fill>
      <patternFill patternType="solid">
        <fgColor rgb="FFFFFF00"/>
        <bgColor rgb="FFFFFFFF"/>
      </patternFill>
    </fill>
    <fill>
      <patternFill patternType="solid">
        <fgColor rgb="FF00B050"/>
        <bgColor rgb="FF00FF00"/>
      </patternFill>
    </fill>
    <fill>
      <patternFill patternType="solid">
        <fgColor theme="0" tint="-4.9989318521683403E-2"/>
        <bgColor rgb="FFFFFFFF"/>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right style="thin">
        <color rgb="FF000000"/>
      </right>
      <top/>
      <bottom/>
      <diagonal/>
    </border>
    <border>
      <left style="thin">
        <color indexed="64"/>
      </left>
      <right/>
      <top/>
      <bottom/>
      <diagonal/>
    </border>
    <border>
      <left/>
      <right style="thin">
        <color indexed="64"/>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6">
    <xf numFmtId="0" fontId="0" fillId="0" borderId="0"/>
    <xf numFmtId="0" fontId="7" fillId="0" borderId="0"/>
    <xf numFmtId="0" fontId="17" fillId="0" borderId="0"/>
    <xf numFmtId="0" fontId="21" fillId="0" borderId="0"/>
    <xf numFmtId="0" fontId="34" fillId="0" borderId="0"/>
    <xf numFmtId="43" fontId="35" fillId="0" borderId="0" applyFont="0" applyFill="0" applyBorder="0" applyAlignment="0" applyProtection="0"/>
  </cellStyleXfs>
  <cellXfs count="172">
    <xf numFmtId="0" fontId="0" fillId="0" borderId="0" xfId="0"/>
    <xf numFmtId="0" fontId="1" fillId="0" borderId="0" xfId="0" applyFont="1"/>
    <xf numFmtId="0" fontId="3" fillId="5" borderId="2" xfId="0" applyFont="1" applyFill="1" applyBorder="1"/>
    <xf numFmtId="0" fontId="4" fillId="5" borderId="2" xfId="0" applyFont="1" applyFill="1" applyBorder="1"/>
    <xf numFmtId="0" fontId="4" fillId="6" borderId="2" xfId="0" applyFont="1" applyFill="1" applyBorder="1"/>
    <xf numFmtId="164" fontId="4" fillId="5" borderId="2" xfId="0" applyNumberFormat="1" applyFont="1" applyFill="1" applyBorder="1"/>
    <xf numFmtId="0" fontId="4" fillId="7" borderId="2" xfId="0" applyFont="1" applyFill="1" applyBorder="1"/>
    <xf numFmtId="0" fontId="4" fillId="4" borderId="2" xfId="0" applyFont="1" applyFill="1" applyBorder="1"/>
    <xf numFmtId="164" fontId="4" fillId="7" borderId="2" xfId="0" applyNumberFormat="1" applyFont="1" applyFill="1" applyBorder="1"/>
    <xf numFmtId="0" fontId="3" fillId="8" borderId="2" xfId="0" applyFont="1" applyFill="1" applyBorder="1"/>
    <xf numFmtId="0" fontId="5" fillId="9" borderId="0" xfId="0" applyFont="1" applyFill="1" applyAlignment="1">
      <alignment horizontal="left" vertical="top" wrapText="1"/>
    </xf>
    <xf numFmtId="0" fontId="5" fillId="10" borderId="0" xfId="0" applyFont="1" applyFill="1" applyAlignment="1">
      <alignment vertical="top" wrapText="1"/>
    </xf>
    <xf numFmtId="0" fontId="5" fillId="11" borderId="0" xfId="0" applyFont="1" applyFill="1" applyAlignment="1">
      <alignment vertical="top" wrapText="1"/>
    </xf>
    <xf numFmtId="0" fontId="5" fillId="11" borderId="3" xfId="0" applyFont="1" applyFill="1" applyBorder="1" applyAlignment="1">
      <alignment vertical="top" wrapText="1"/>
    </xf>
    <xf numFmtId="0" fontId="5" fillId="12" borderId="3" xfId="0" applyFont="1" applyFill="1" applyBorder="1" applyAlignment="1">
      <alignment vertical="top" wrapText="1"/>
    </xf>
    <xf numFmtId="0" fontId="6" fillId="0" borderId="0" xfId="0" applyFont="1"/>
    <xf numFmtId="0" fontId="0" fillId="0" borderId="0" xfId="0" applyAlignment="1">
      <alignment wrapText="1"/>
    </xf>
    <xf numFmtId="0" fontId="8" fillId="18" borderId="1" xfId="1" applyFont="1" applyFill="1" applyBorder="1"/>
    <xf numFmtId="0" fontId="9" fillId="19" borderId="0" xfId="1" applyFont="1" applyFill="1"/>
    <xf numFmtId="0" fontId="9" fillId="19" borderId="1" xfId="1" applyFont="1" applyFill="1" applyBorder="1"/>
    <xf numFmtId="0" fontId="8" fillId="0" borderId="0" xfId="1" applyFont="1"/>
    <xf numFmtId="0" fontId="7" fillId="0" borderId="0" xfId="1"/>
    <xf numFmtId="0" fontId="8" fillId="2" borderId="1" xfId="1" applyFont="1" applyFill="1" applyBorder="1" applyAlignment="1">
      <alignment horizontal="right"/>
    </xf>
    <xf numFmtId="0" fontId="8" fillId="3" borderId="1" xfId="1" applyFont="1" applyFill="1" applyBorder="1"/>
    <xf numFmtId="0" fontId="9" fillId="19" borderId="0" xfId="1" applyFont="1" applyFill="1" applyAlignment="1">
      <alignment horizontal="right"/>
    </xf>
    <xf numFmtId="0" fontId="10" fillId="0" borderId="0" xfId="1" applyFont="1"/>
    <xf numFmtId="0" fontId="11" fillId="0" borderId="0" xfId="1" applyFont="1"/>
    <xf numFmtId="0" fontId="12" fillId="0" borderId="0" xfId="1" applyFont="1"/>
    <xf numFmtId="0" fontId="13" fillId="0" borderId="0" xfId="1" applyFont="1"/>
    <xf numFmtId="0" fontId="14" fillId="0" borderId="0" xfId="1" applyFont="1"/>
    <xf numFmtId="0" fontId="15" fillId="0" borderId="0" xfId="1" applyFont="1" applyAlignment="1">
      <alignment horizontal="right"/>
    </xf>
    <xf numFmtId="0" fontId="13" fillId="2" borderId="0" xfId="1" applyFont="1" applyFill="1"/>
    <xf numFmtId="0" fontId="16" fillId="0" borderId="0" xfId="1" applyFont="1"/>
    <xf numFmtId="0" fontId="15" fillId="2" borderId="0" xfId="1" applyFont="1" applyFill="1"/>
    <xf numFmtId="0" fontId="15" fillId="3" borderId="0" xfId="1" applyFont="1" applyFill="1" applyAlignment="1">
      <alignment horizontal="right"/>
    </xf>
    <xf numFmtId="0" fontId="3" fillId="0" borderId="0" xfId="0" applyFont="1"/>
    <xf numFmtId="0" fontId="3" fillId="0" borderId="0" xfId="1" applyFont="1"/>
    <xf numFmtId="0" fontId="5" fillId="23" borderId="2" xfId="1" applyFont="1" applyFill="1" applyBorder="1"/>
    <xf numFmtId="0" fontId="3" fillId="20" borderId="2" xfId="1" applyFont="1" applyFill="1" applyBorder="1"/>
    <xf numFmtId="0" fontId="4" fillId="20" borderId="2" xfId="1" applyFont="1" applyFill="1" applyBorder="1" applyAlignment="1">
      <alignment horizontal="right"/>
    </xf>
    <xf numFmtId="0" fontId="3" fillId="20" borderId="2" xfId="0" applyFont="1" applyFill="1" applyBorder="1"/>
    <xf numFmtId="0" fontId="3" fillId="21" borderId="2" xfId="1" applyFont="1" applyFill="1" applyBorder="1"/>
    <xf numFmtId="0" fontId="4" fillId="21" borderId="2" xfId="1" applyFont="1" applyFill="1" applyBorder="1"/>
    <xf numFmtId="0" fontId="4" fillId="22" borderId="2" xfId="1" applyFont="1" applyFill="1" applyBorder="1" applyAlignment="1">
      <alignment horizontal="right"/>
    </xf>
    <xf numFmtId="0" fontId="5" fillId="17" borderId="0" xfId="0" applyFont="1" applyFill="1" applyAlignment="1">
      <alignment horizontal="center" vertical="center" wrapText="1"/>
    </xf>
    <xf numFmtId="0" fontId="18" fillId="15" borderId="2" xfId="2" applyFont="1" applyFill="1" applyBorder="1" applyAlignment="1">
      <alignment horizontal="left" vertical="center"/>
    </xf>
    <xf numFmtId="0" fontId="19" fillId="13" borderId="2" xfId="2" applyFont="1" applyFill="1" applyBorder="1" applyAlignment="1">
      <alignment horizontal="left" vertical="center"/>
    </xf>
    <xf numFmtId="0" fontId="18" fillId="13" borderId="2" xfId="0" applyFont="1" applyFill="1" applyBorder="1" applyAlignment="1">
      <alignment wrapText="1"/>
    </xf>
    <xf numFmtId="0" fontId="20" fillId="15" borderId="2" xfId="2" applyFont="1" applyFill="1" applyBorder="1" applyAlignment="1">
      <alignment horizontal="left" vertical="center"/>
    </xf>
    <xf numFmtId="0" fontId="18" fillId="16" borderId="2" xfId="2" applyFont="1" applyFill="1" applyBorder="1" applyAlignment="1">
      <alignment horizontal="left" vertical="center"/>
    </xf>
    <xf numFmtId="0" fontId="19" fillId="16" borderId="2" xfId="2" applyFont="1" applyFill="1" applyBorder="1" applyAlignment="1">
      <alignment horizontal="left" vertical="center"/>
    </xf>
    <xf numFmtId="0" fontId="18" fillId="16" borderId="2" xfId="0" applyFont="1" applyFill="1" applyBorder="1" applyAlignment="1">
      <alignment wrapText="1"/>
    </xf>
    <xf numFmtId="0" fontId="18" fillId="14" borderId="2" xfId="2" applyFont="1" applyFill="1" applyBorder="1" applyAlignment="1">
      <alignment horizontal="left" vertical="center"/>
    </xf>
    <xf numFmtId="0" fontId="7" fillId="13" borderId="0" xfId="0" applyFont="1" applyFill="1"/>
    <xf numFmtId="0" fontId="21" fillId="0" borderId="0" xfId="3"/>
    <xf numFmtId="0" fontId="8" fillId="0" borderId="0" xfId="3" applyFont="1"/>
    <xf numFmtId="49" fontId="8" fillId="0" borderId="0" xfId="3" applyNumberFormat="1" applyFont="1"/>
    <xf numFmtId="0" fontId="8" fillId="24" borderId="0" xfId="3" applyFont="1" applyFill="1"/>
    <xf numFmtId="1" fontId="8" fillId="0" borderId="0" xfId="3" applyNumberFormat="1" applyFont="1"/>
    <xf numFmtId="2" fontId="8" fillId="0" borderId="0" xfId="3" applyNumberFormat="1" applyFont="1"/>
    <xf numFmtId="0" fontId="22" fillId="25" borderId="0" xfId="3" applyFont="1" applyFill="1"/>
    <xf numFmtId="49" fontId="8" fillId="24" borderId="0" xfId="3" applyNumberFormat="1" applyFont="1" applyFill="1"/>
    <xf numFmtId="1" fontId="8" fillId="24" borderId="0" xfId="3" applyNumberFormat="1" applyFont="1" applyFill="1"/>
    <xf numFmtId="3" fontId="8" fillId="0" borderId="0" xfId="3" applyNumberFormat="1" applyFont="1"/>
    <xf numFmtId="0" fontId="23" fillId="26" borderId="2" xfId="0" applyFont="1" applyFill="1" applyBorder="1" applyAlignment="1">
      <alignment horizontal="center" vertical="center"/>
    </xf>
    <xf numFmtId="0" fontId="24" fillId="0" borderId="0" xfId="0" applyFont="1"/>
    <xf numFmtId="0" fontId="24" fillId="0" borderId="2" xfId="0" applyFont="1" applyBorder="1"/>
    <xf numFmtId="0" fontId="25" fillId="0" borderId="2" xfId="3" applyFont="1" applyBorder="1" applyAlignment="1">
      <alignment vertical="top"/>
    </xf>
    <xf numFmtId="0" fontId="26" fillId="0" borderId="2" xfId="3" applyFont="1" applyBorder="1" applyAlignment="1">
      <alignment vertical="top"/>
    </xf>
    <xf numFmtId="1" fontId="25" fillId="0" borderId="2" xfId="3" applyNumberFormat="1" applyFont="1" applyBorder="1" applyAlignment="1">
      <alignment vertical="top"/>
    </xf>
    <xf numFmtId="1" fontId="25" fillId="0" borderId="2" xfId="3" applyNumberFormat="1" applyFont="1" applyBorder="1" applyAlignment="1">
      <alignment horizontal="left" vertical="top"/>
    </xf>
    <xf numFmtId="0" fontId="26" fillId="0" borderId="2" xfId="0" applyFont="1" applyBorder="1"/>
    <xf numFmtId="0" fontId="7" fillId="0" borderId="2" xfId="0" applyFont="1" applyBorder="1"/>
    <xf numFmtId="0" fontId="0" fillId="0" borderId="2" xfId="0" applyBorder="1"/>
    <xf numFmtId="0" fontId="28" fillId="28" borderId="2" xfId="0" applyFont="1" applyFill="1" applyBorder="1" applyAlignment="1">
      <alignment horizontal="center" vertical="center"/>
    </xf>
    <xf numFmtId="0" fontId="7" fillId="31" borderId="2" xfId="0" applyFont="1" applyFill="1" applyBorder="1"/>
    <xf numFmtId="0" fontId="0" fillId="31" borderId="2" xfId="0" applyFill="1" applyBorder="1"/>
    <xf numFmtId="0" fontId="29" fillId="30" borderId="2" xfId="0" applyFont="1" applyFill="1" applyBorder="1" applyAlignment="1">
      <alignment horizontal="center" vertical="center"/>
    </xf>
    <xf numFmtId="0" fontId="8" fillId="0" borderId="0" xfId="3" applyFont="1" applyAlignment="1">
      <alignment wrapText="1"/>
    </xf>
    <xf numFmtId="0" fontId="31" fillId="0" borderId="0" xfId="3" applyFont="1"/>
    <xf numFmtId="0" fontId="32" fillId="32" borderId="0" xfId="3" applyFont="1" applyFill="1" applyAlignment="1">
      <alignment vertical="top" wrapText="1"/>
    </xf>
    <xf numFmtId="0" fontId="32" fillId="32" borderId="1" xfId="3" applyFont="1" applyFill="1" applyBorder="1" applyAlignment="1">
      <alignment vertical="top" wrapText="1"/>
    </xf>
    <xf numFmtId="0" fontId="32" fillId="33" borderId="4" xfId="3" applyFont="1" applyFill="1" applyBorder="1" applyAlignment="1">
      <alignment vertical="top" wrapText="1"/>
    </xf>
    <xf numFmtId="0" fontId="32" fillId="33" borderId="0" xfId="3" applyFont="1" applyFill="1" applyAlignment="1">
      <alignment vertical="top" wrapText="1"/>
    </xf>
    <xf numFmtId="0" fontId="32" fillId="33" borderId="1" xfId="3" applyFont="1" applyFill="1" applyBorder="1" applyAlignment="1">
      <alignment vertical="top" wrapText="1"/>
    </xf>
    <xf numFmtId="1" fontId="32" fillId="33" borderId="1" xfId="3" applyNumberFormat="1" applyFont="1" applyFill="1" applyBorder="1" applyAlignment="1">
      <alignment vertical="top" wrapText="1"/>
    </xf>
    <xf numFmtId="1" fontId="32" fillId="34" borderId="1" xfId="3" applyNumberFormat="1" applyFont="1" applyFill="1" applyBorder="1" applyAlignment="1">
      <alignment vertical="top" wrapText="1"/>
    </xf>
    <xf numFmtId="0" fontId="32" fillId="35" borderId="0" xfId="3" applyFont="1" applyFill="1" applyAlignment="1">
      <alignment vertical="top" wrapText="1"/>
    </xf>
    <xf numFmtId="0" fontId="32" fillId="36" borderId="1" xfId="3" applyFont="1" applyFill="1" applyBorder="1" applyAlignment="1">
      <alignment vertical="top" wrapText="1"/>
    </xf>
    <xf numFmtId="0" fontId="33" fillId="0" borderId="0" xfId="3" applyFont="1"/>
    <xf numFmtId="0" fontId="30" fillId="0" borderId="0" xfId="3" applyFont="1"/>
    <xf numFmtId="49" fontId="30" fillId="0" borderId="0" xfId="3" applyNumberFormat="1" applyFont="1"/>
    <xf numFmtId="3" fontId="30" fillId="0" borderId="0" xfId="3" applyNumberFormat="1" applyFont="1"/>
    <xf numFmtId="2" fontId="30" fillId="0" borderId="0" xfId="3" applyNumberFormat="1" applyFont="1"/>
    <xf numFmtId="1" fontId="30" fillId="0" borderId="0" xfId="3" applyNumberFormat="1" applyFont="1"/>
    <xf numFmtId="0" fontId="30" fillId="37" borderId="0" xfId="3" applyFont="1" applyFill="1"/>
    <xf numFmtId="3" fontId="30" fillId="37" borderId="0" xfId="3" applyNumberFormat="1" applyFont="1" applyFill="1"/>
    <xf numFmtId="0" fontId="31" fillId="37" borderId="0" xfId="3" applyFont="1" applyFill="1"/>
    <xf numFmtId="1" fontId="30" fillId="37" borderId="0" xfId="3" applyNumberFormat="1" applyFont="1" applyFill="1"/>
    <xf numFmtId="0" fontId="21" fillId="37" borderId="0" xfId="3" applyFill="1"/>
    <xf numFmtId="0" fontId="18" fillId="37" borderId="2" xfId="0" applyFont="1" applyFill="1" applyBorder="1" applyAlignment="1">
      <alignment wrapText="1"/>
    </xf>
    <xf numFmtId="0" fontId="34" fillId="0" borderId="0" xfId="4"/>
    <xf numFmtId="0" fontId="33" fillId="0" borderId="0" xfId="3" applyFont="1" applyAlignment="1">
      <alignment vertical="center"/>
    </xf>
    <xf numFmtId="0" fontId="34" fillId="0" borderId="0" xfId="4" applyAlignment="1">
      <alignment wrapText="1"/>
    </xf>
    <xf numFmtId="0" fontId="19" fillId="0" borderId="2" xfId="0" applyFont="1" applyBorder="1" applyAlignment="1">
      <alignment wrapText="1"/>
    </xf>
    <xf numFmtId="1" fontId="19" fillId="0" borderId="2" xfId="0" applyNumberFormat="1" applyFont="1" applyBorder="1" applyAlignment="1">
      <alignment wrapText="1"/>
    </xf>
    <xf numFmtId="1" fontId="8" fillId="24" borderId="2" xfId="0" applyNumberFormat="1" applyFont="1" applyFill="1" applyBorder="1" applyAlignment="1">
      <alignment horizontal="left" wrapText="1"/>
    </xf>
    <xf numFmtId="2" fontId="19" fillId="0" borderId="2" xfId="0" applyNumberFormat="1" applyFont="1" applyBorder="1" applyAlignment="1">
      <alignment wrapText="1"/>
    </xf>
    <xf numFmtId="0" fontId="22" fillId="25" borderId="2" xfId="0" applyFont="1" applyFill="1" applyBorder="1" applyAlignment="1">
      <alignment wrapText="1"/>
    </xf>
    <xf numFmtId="0" fontId="34" fillId="0" borderId="2" xfId="4" applyBorder="1" applyAlignment="1">
      <alignment wrapText="1"/>
    </xf>
    <xf numFmtId="49" fontId="19" fillId="0" borderId="2" xfId="0" applyNumberFormat="1" applyFont="1" applyBorder="1" applyAlignment="1">
      <alignment wrapText="1"/>
    </xf>
    <xf numFmtId="165" fontId="19" fillId="0" borderId="2" xfId="5" applyNumberFormat="1" applyFont="1" applyBorder="1" applyAlignment="1">
      <alignment wrapText="1"/>
    </xf>
    <xf numFmtId="3" fontId="19" fillId="0" borderId="2" xfId="0" applyNumberFormat="1" applyFont="1" applyBorder="1" applyAlignment="1">
      <alignment wrapText="1"/>
    </xf>
    <xf numFmtId="0" fontId="36" fillId="38" borderId="3" xfId="0" applyFont="1" applyFill="1" applyBorder="1" applyAlignment="1">
      <alignment vertical="center" wrapText="1"/>
    </xf>
    <xf numFmtId="1" fontId="36" fillId="39" borderId="3" xfId="0" applyNumberFormat="1" applyFont="1" applyFill="1" applyBorder="1" applyAlignment="1">
      <alignment vertical="center" wrapText="1"/>
    </xf>
    <xf numFmtId="165" fontId="36" fillId="39" borderId="3" xfId="5" applyNumberFormat="1" applyFont="1" applyFill="1" applyBorder="1" applyAlignment="1">
      <alignment vertical="center" wrapText="1"/>
    </xf>
    <xf numFmtId="1" fontId="36" fillId="40" borderId="3" xfId="0" applyNumberFormat="1" applyFont="1" applyFill="1" applyBorder="1" applyAlignment="1">
      <alignment vertical="center" wrapText="1"/>
    </xf>
    <xf numFmtId="1" fontId="36" fillId="41" borderId="3" xfId="0" applyNumberFormat="1" applyFont="1" applyFill="1" applyBorder="1" applyAlignment="1">
      <alignment horizontal="left" vertical="center" wrapText="1"/>
    </xf>
    <xf numFmtId="0" fontId="36" fillId="38" borderId="0" xfId="0" applyFont="1" applyFill="1" applyAlignment="1">
      <alignment vertical="center" wrapText="1"/>
    </xf>
    <xf numFmtId="0" fontId="36" fillId="39" borderId="0" xfId="0" applyFont="1" applyFill="1" applyAlignment="1">
      <alignment vertical="center" wrapText="1"/>
    </xf>
    <xf numFmtId="0" fontId="36" fillId="42" borderId="0" xfId="0" applyFont="1" applyFill="1" applyAlignment="1">
      <alignment vertical="center" wrapText="1"/>
    </xf>
    <xf numFmtId="0" fontId="36" fillId="43" borderId="3" xfId="0" applyFont="1" applyFill="1" applyBorder="1" applyAlignment="1">
      <alignment vertical="center" wrapText="1"/>
    </xf>
    <xf numFmtId="0" fontId="36" fillId="43" borderId="0" xfId="0" applyFont="1" applyFill="1" applyAlignment="1">
      <alignment vertical="center" wrapText="1"/>
    </xf>
    <xf numFmtId="0" fontId="36" fillId="44" borderId="3" xfId="0" applyFont="1" applyFill="1" applyBorder="1" applyAlignment="1">
      <alignment vertical="center" wrapText="1"/>
    </xf>
    <xf numFmtId="0" fontId="36" fillId="38" borderId="3" xfId="0" applyFont="1" applyFill="1" applyBorder="1" applyAlignment="1">
      <alignment horizontal="left" vertical="center" wrapText="1"/>
    </xf>
    <xf numFmtId="4" fontId="19" fillId="0" borderId="2" xfId="0" applyNumberFormat="1" applyFont="1" applyBorder="1" applyAlignment="1">
      <alignment horizontal="left" vertical="center" wrapText="1"/>
    </xf>
    <xf numFmtId="0" fontId="19" fillId="0" borderId="2" xfId="0" applyFont="1" applyBorder="1" applyAlignment="1">
      <alignment horizontal="left" vertical="center" wrapText="1"/>
    </xf>
    <xf numFmtId="3" fontId="19" fillId="0" borderId="2" xfId="0" applyNumberFormat="1" applyFont="1" applyBorder="1" applyAlignment="1">
      <alignment horizontal="left" vertical="center" wrapText="1"/>
    </xf>
    <xf numFmtId="0" fontId="34" fillId="0" borderId="0" xfId="4" applyAlignment="1">
      <alignment horizontal="left" vertical="center" wrapText="1"/>
    </xf>
    <xf numFmtId="166" fontId="19" fillId="37" borderId="2" xfId="0" applyNumberFormat="1" applyFont="1" applyFill="1" applyBorder="1" applyAlignment="1">
      <alignment wrapText="1"/>
    </xf>
    <xf numFmtId="0" fontId="19" fillId="37" borderId="2" xfId="0" applyFont="1" applyFill="1" applyBorder="1" applyAlignment="1">
      <alignment wrapText="1"/>
    </xf>
    <xf numFmtId="0" fontId="19" fillId="37" borderId="2" xfId="0" applyFont="1" applyFill="1" applyBorder="1" applyAlignment="1">
      <alignment horizontal="left" vertical="center" wrapText="1"/>
    </xf>
    <xf numFmtId="1" fontId="19" fillId="37" borderId="2" xfId="0" applyNumberFormat="1" applyFont="1" applyFill="1" applyBorder="1" applyAlignment="1">
      <alignment wrapText="1"/>
    </xf>
    <xf numFmtId="1" fontId="8" fillId="45" borderId="2" xfId="0" applyNumberFormat="1" applyFont="1" applyFill="1" applyBorder="1" applyAlignment="1">
      <alignment horizontal="left" wrapText="1"/>
    </xf>
    <xf numFmtId="3" fontId="19" fillId="37" borderId="2" xfId="0" applyNumberFormat="1" applyFont="1" applyFill="1" applyBorder="1" applyAlignment="1">
      <alignment wrapText="1"/>
    </xf>
    <xf numFmtId="0" fontId="22" fillId="46" borderId="2" xfId="0" applyFont="1" applyFill="1" applyBorder="1" applyAlignment="1">
      <alignment wrapText="1"/>
    </xf>
    <xf numFmtId="0" fontId="34" fillId="37" borderId="2" xfId="4" applyFill="1" applyBorder="1" applyAlignment="1">
      <alignment wrapText="1"/>
    </xf>
    <xf numFmtId="0" fontId="34" fillId="37" borderId="0" xfId="4" applyFill="1"/>
    <xf numFmtId="0" fontId="37" fillId="47" borderId="3" xfId="0" applyFont="1" applyFill="1" applyBorder="1" applyAlignment="1">
      <alignment horizontal="left" vertical="center" wrapText="1"/>
    </xf>
    <xf numFmtId="1" fontId="19" fillId="0" borderId="2" xfId="0" applyNumberFormat="1" applyFont="1" applyBorder="1" applyAlignment="1">
      <alignment horizontal="left" vertical="center" wrapText="1"/>
    </xf>
    <xf numFmtId="2" fontId="19" fillId="0" borderId="2" xfId="0" applyNumberFormat="1" applyFont="1" applyBorder="1" applyAlignment="1">
      <alignment horizontal="left" vertical="center" wrapText="1"/>
    </xf>
    <xf numFmtId="0" fontId="22" fillId="25" borderId="2" xfId="0" applyFont="1" applyFill="1" applyBorder="1" applyAlignment="1">
      <alignment horizontal="left" vertical="center" wrapText="1"/>
    </xf>
    <xf numFmtId="0" fontId="34" fillId="0" borderId="2" xfId="4" applyBorder="1" applyAlignment="1">
      <alignment horizontal="left" vertical="center" wrapText="1"/>
    </xf>
    <xf numFmtId="0" fontId="34" fillId="0" borderId="0" xfId="4" applyAlignment="1">
      <alignment horizontal="left" vertical="center"/>
    </xf>
    <xf numFmtId="49" fontId="19" fillId="0" borderId="2" xfId="0" applyNumberFormat="1" applyFont="1" applyBorder="1" applyAlignment="1">
      <alignment horizontal="left" vertical="center" wrapText="1"/>
    </xf>
    <xf numFmtId="165" fontId="19" fillId="0" borderId="2" xfId="5" applyNumberFormat="1" applyFont="1" applyBorder="1" applyAlignment="1">
      <alignment horizontal="left" vertical="center" wrapText="1"/>
    </xf>
    <xf numFmtId="0" fontId="41" fillId="0" borderId="0" xfId="4" applyFont="1" applyProtection="1">
      <protection locked="0"/>
    </xf>
    <xf numFmtId="0" fontId="40" fillId="0" borderId="0" xfId="4" applyFont="1" applyProtection="1">
      <protection locked="0"/>
    </xf>
    <xf numFmtId="0" fontId="23" fillId="0" borderId="0" xfId="3" applyFont="1" applyAlignment="1" applyProtection="1">
      <alignment wrapText="1"/>
      <protection locked="0"/>
    </xf>
    <xf numFmtId="0" fontId="40" fillId="0" borderId="0" xfId="4" applyFont="1" applyAlignment="1" applyProtection="1">
      <alignment horizontal="left" vertical="center"/>
      <protection locked="0"/>
    </xf>
    <xf numFmtId="0" fontId="23" fillId="38" borderId="3" xfId="0" applyFont="1" applyFill="1" applyBorder="1" applyAlignment="1">
      <alignment horizontal="center" vertical="center" wrapText="1"/>
    </xf>
    <xf numFmtId="0" fontId="38" fillId="47" borderId="3" xfId="0" applyFont="1" applyFill="1" applyBorder="1" applyAlignment="1">
      <alignment horizontal="center" vertical="center" wrapText="1"/>
    </xf>
    <xf numFmtId="0" fontId="38" fillId="38" borderId="3" xfId="0" applyFont="1" applyFill="1" applyBorder="1" applyAlignment="1">
      <alignment horizontal="center" vertical="center" wrapText="1"/>
    </xf>
    <xf numFmtId="0" fontId="41" fillId="13" borderId="2" xfId="0" applyFont="1" applyFill="1" applyBorder="1" applyAlignment="1">
      <alignment horizontal="left" vertical="center" wrapText="1"/>
    </xf>
    <xf numFmtId="4" fontId="41" fillId="13" borderId="2" xfId="0" applyNumberFormat="1" applyFont="1" applyFill="1" applyBorder="1" applyAlignment="1">
      <alignment horizontal="left" vertical="center" wrapText="1"/>
    </xf>
    <xf numFmtId="1" fontId="41" fillId="13" borderId="2" xfId="0" applyNumberFormat="1" applyFont="1" applyFill="1" applyBorder="1" applyAlignment="1">
      <alignment horizontal="left" vertical="center" wrapText="1"/>
    </xf>
    <xf numFmtId="3" fontId="41" fillId="13" borderId="2" xfId="0" applyNumberFormat="1" applyFont="1" applyFill="1" applyBorder="1" applyAlignment="1">
      <alignment horizontal="left" vertical="center" wrapText="1"/>
    </xf>
    <xf numFmtId="2" fontId="41" fillId="13" borderId="2" xfId="0" applyNumberFormat="1" applyFont="1" applyFill="1" applyBorder="1" applyAlignment="1">
      <alignment horizontal="left" vertical="center" wrapText="1"/>
    </xf>
    <xf numFmtId="0" fontId="39" fillId="48" borderId="2" xfId="0" applyFont="1" applyFill="1" applyBorder="1" applyAlignment="1">
      <alignment horizontal="left" vertical="center" wrapText="1"/>
    </xf>
    <xf numFmtId="0" fontId="40" fillId="13" borderId="2" xfId="4" applyFont="1" applyFill="1" applyBorder="1" applyAlignment="1">
      <alignment horizontal="left" vertical="center" wrapText="1"/>
    </xf>
    <xf numFmtId="49" fontId="41" fillId="13" borderId="2" xfId="0" applyNumberFormat="1" applyFont="1" applyFill="1" applyBorder="1" applyAlignment="1">
      <alignment horizontal="left" vertical="center" wrapText="1"/>
    </xf>
    <xf numFmtId="0" fontId="41" fillId="0" borderId="2" xfId="0" applyFont="1" applyBorder="1" applyAlignment="1">
      <alignment horizontal="left" vertical="center" wrapText="1"/>
    </xf>
    <xf numFmtId="1" fontId="41" fillId="0" borderId="2" xfId="0" applyNumberFormat="1" applyFont="1" applyBorder="1" applyAlignment="1">
      <alignment horizontal="left" vertical="center" wrapText="1"/>
    </xf>
    <xf numFmtId="3" fontId="40" fillId="13" borderId="2" xfId="4" applyNumberFormat="1" applyFont="1" applyFill="1" applyBorder="1" applyAlignment="1">
      <alignment horizontal="left" vertical="center"/>
    </xf>
    <xf numFmtId="0" fontId="27" fillId="27" borderId="2" xfId="0" applyFont="1" applyFill="1" applyBorder="1" applyAlignment="1">
      <alignment horizontal="center" vertical="center"/>
    </xf>
    <xf numFmtId="0" fontId="27" fillId="29" borderId="5" xfId="0" applyFont="1" applyFill="1" applyBorder="1" applyAlignment="1">
      <alignment horizontal="center" vertical="center"/>
    </xf>
    <xf numFmtId="0" fontId="27" fillId="29" borderId="0" xfId="0" applyFont="1" applyFill="1" applyAlignment="1">
      <alignment horizontal="center" vertical="center"/>
    </xf>
    <xf numFmtId="0" fontId="27" fillId="29" borderId="6" xfId="0" applyFont="1" applyFill="1" applyBorder="1" applyAlignment="1">
      <alignment horizontal="center" vertical="center"/>
    </xf>
    <xf numFmtId="0" fontId="38" fillId="47" borderId="7" xfId="0" applyFont="1" applyFill="1" applyBorder="1" applyAlignment="1" applyProtection="1">
      <alignment horizontal="center" vertical="center" wrapText="1"/>
      <protection locked="0"/>
    </xf>
    <xf numFmtId="0" fontId="38" fillId="47" borderId="8" xfId="0" applyFont="1" applyFill="1" applyBorder="1" applyAlignment="1" applyProtection="1">
      <alignment horizontal="center" vertical="center" wrapText="1"/>
      <protection locked="0"/>
    </xf>
    <xf numFmtId="0" fontId="23" fillId="38" borderId="7" xfId="0" applyFont="1" applyFill="1" applyBorder="1" applyAlignment="1" applyProtection="1">
      <alignment horizontal="center" vertical="center" wrapText="1"/>
      <protection locked="0"/>
    </xf>
    <xf numFmtId="0" fontId="23" fillId="38" borderId="9" xfId="0" applyFont="1" applyFill="1" applyBorder="1" applyAlignment="1" applyProtection="1">
      <alignment horizontal="center" vertical="center" wrapText="1"/>
      <protection locked="0"/>
    </xf>
  </cellXfs>
  <cellStyles count="6">
    <cellStyle name="Comma" xfId="5" builtinId="3"/>
    <cellStyle name="Normal" xfId="0" builtinId="0"/>
    <cellStyle name="Normal 2" xfId="1" xr:uid="{CF2756BA-F834-4D01-9A43-80F99BCA2C25}"/>
    <cellStyle name="Normal 3" xfId="2" xr:uid="{89244E2B-4AF2-4DEE-950D-E8B838189424}"/>
    <cellStyle name="Normal 4" xfId="3" xr:uid="{D77DBCBD-FC1F-441D-BF5B-FDE9DDEECB9D}"/>
    <cellStyle name="Normal 5" xfId="4" xr:uid="{91BA7BF2-AAF0-4C87-8769-B06A2BE4B9BA}"/>
  </cellStyles>
  <dxfs count="43">
    <dxf>
      <font>
        <color rgb="FF9C0006"/>
      </font>
      <fill>
        <patternFill>
          <bgColor rgb="FFFFC7CE"/>
        </patternFill>
      </fill>
    </dxf>
    <dxf>
      <fill>
        <patternFill patternType="solid">
          <fgColor rgb="FFFFFF00"/>
          <bgColor rgb="FFFFFF00"/>
        </patternFill>
      </fill>
    </dxf>
    <dxf>
      <font>
        <color rgb="FF9C0006"/>
      </font>
      <fill>
        <patternFill>
          <bgColor rgb="FFFFC7CE"/>
        </patternFill>
      </fill>
    </dxf>
    <dxf>
      <fill>
        <patternFill patternType="solid">
          <fgColor rgb="FFFFFF00"/>
          <bgColor rgb="FFFFFF00"/>
        </patternFill>
      </fill>
    </dxf>
    <dxf>
      <fill>
        <patternFill patternType="solid">
          <fgColor rgb="FFFFFF00"/>
          <bgColor rgb="FFFFFF00"/>
        </patternFill>
      </fill>
    </dxf>
    <dxf>
      <fill>
        <patternFill patternType="solid">
          <fgColor rgb="FFFF0000"/>
          <bgColor rgb="FFFF0000"/>
        </patternFill>
      </fill>
    </dxf>
    <dxf>
      <fill>
        <patternFill patternType="solid">
          <fgColor rgb="FFFFFF00"/>
          <bgColor rgb="FFFFFF00"/>
        </patternFill>
      </fill>
    </dxf>
    <dxf>
      <font>
        <color rgb="FF9C0006"/>
      </font>
      <fill>
        <patternFill>
          <bgColor rgb="FFFFC7CE"/>
        </patternFill>
      </fill>
    </dxf>
    <dxf>
      <fill>
        <patternFill patternType="solid">
          <fgColor rgb="FFFFFF00"/>
          <bgColor rgb="FFFFFF00"/>
        </patternFill>
      </fill>
    </dxf>
    <dxf>
      <font>
        <color rgb="FF9C0006"/>
      </font>
      <fill>
        <patternFill>
          <bgColor rgb="FFFFC7CE"/>
        </patternFill>
      </fill>
    </dxf>
    <dxf>
      <fill>
        <patternFill patternType="solid">
          <fgColor rgb="FFFFFF00"/>
          <bgColor rgb="FFFFFF00"/>
        </patternFill>
      </fill>
    </dxf>
    <dxf>
      <fill>
        <patternFill patternType="solid">
          <fgColor rgb="FFFF0000"/>
          <bgColor rgb="FFFF0000"/>
        </patternFill>
      </fill>
    </dxf>
    <dxf>
      <fill>
        <patternFill patternType="solid">
          <fgColor rgb="FFFFFF00"/>
          <bgColor rgb="FFFFFF00"/>
        </patternFill>
      </fill>
    </dxf>
    <dxf>
      <fill>
        <patternFill patternType="solid">
          <fgColor rgb="FFB7E1CD"/>
          <bgColor rgb="FFB7E1CD"/>
        </patternFill>
      </fill>
    </dxf>
    <dxf>
      <fill>
        <patternFill patternType="solid">
          <fgColor rgb="FFF4C7C3"/>
          <bgColor rgb="FFF4C7C3"/>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0000"/>
          <bgColor rgb="FFFF0000"/>
        </patternFill>
      </fill>
    </dxf>
    <dxf>
      <font>
        <color rgb="FF9C0006"/>
      </font>
      <fill>
        <patternFill>
          <bgColor rgb="FFFFC7CE"/>
        </patternFill>
      </fill>
    </dxf>
    <dxf>
      <fill>
        <patternFill patternType="solid">
          <fgColor rgb="FFB7E1CD"/>
          <bgColor rgb="FFB7E1CD"/>
        </patternFill>
      </fill>
    </dxf>
    <dxf>
      <fill>
        <patternFill patternType="solid">
          <fgColor rgb="FFF4C7C3"/>
          <bgColor rgb="FFF4C7C3"/>
        </patternFill>
      </fill>
    </dxf>
    <dxf>
      <fill>
        <patternFill patternType="solid">
          <fgColor rgb="FFFFFF00"/>
          <bgColor rgb="FFFFFF00"/>
        </patternFill>
      </fill>
    </dxf>
    <dxf>
      <fill>
        <patternFill patternType="solid">
          <fgColor rgb="FFB7E1CD"/>
          <bgColor rgb="FFB7E1CD"/>
        </patternFill>
      </fill>
    </dxf>
    <dxf>
      <fill>
        <patternFill patternType="solid">
          <fgColor rgb="FFF4C7C3"/>
          <bgColor rgb="FFF4C7C3"/>
        </patternFill>
      </fill>
    </dxf>
    <dxf>
      <fill>
        <patternFill patternType="solid">
          <fgColor rgb="FFFFFF00"/>
          <bgColor rgb="FFFFFF00"/>
        </patternFill>
      </fill>
    </dxf>
    <dxf>
      <fill>
        <patternFill patternType="solid">
          <fgColor rgb="FFF4C7C3"/>
          <bgColor rgb="FFF4C7C3"/>
        </patternFill>
      </fill>
    </dxf>
    <dxf>
      <fill>
        <patternFill patternType="solid">
          <fgColor rgb="FFB7E1CD"/>
          <bgColor rgb="FFB7E1CD"/>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0000"/>
          <bgColor rgb="FFFF0000"/>
        </patternFill>
      </fill>
    </dxf>
    <dxf>
      <fill>
        <patternFill patternType="solid">
          <fgColor rgb="FFB7E1CD"/>
          <bgColor rgb="FFB7E1CD"/>
        </patternFill>
      </fill>
    </dxf>
    <dxf>
      <fill>
        <patternFill patternType="solid">
          <fgColor rgb="FFF4C7C3"/>
          <bgColor rgb="FFF4C7C3"/>
        </patternFill>
      </fill>
    </dxf>
    <dxf>
      <fill>
        <patternFill patternType="solid">
          <fgColor rgb="FFFFFF00"/>
          <bgColor rgb="FFFFFF00"/>
        </patternFill>
      </fill>
    </dxf>
    <dxf>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D9BB5-D9D3-4569-8A2B-EDA4285F2D19}">
  <dimension ref="A1:AR357"/>
  <sheetViews>
    <sheetView topLeftCell="X1" zoomScale="115" zoomScaleNormal="115" workbookViewId="0">
      <pane ySplit="1" topLeftCell="A292" activePane="bottomLeft" state="frozen"/>
      <selection pane="bottomLeft" activeCell="AR305" sqref="V305:AR305"/>
    </sheetView>
  </sheetViews>
  <sheetFormatPr defaultColWidth="8.88671875" defaultRowHeight="14.4" x14ac:dyDescent="0.3"/>
  <cols>
    <col min="1" max="1" width="49.21875" style="103" customWidth="1"/>
    <col min="2" max="2" width="15" style="128" customWidth="1"/>
    <col min="3" max="3" width="14" style="103" customWidth="1"/>
    <col min="4" max="4" width="16.77734375" style="103" customWidth="1"/>
    <col min="5" max="5" width="18.109375" style="103" customWidth="1"/>
    <col min="6" max="6" width="16.33203125" style="103" customWidth="1"/>
    <col min="7" max="9" width="24.5546875" style="103" customWidth="1"/>
    <col min="10" max="10" width="19.88671875" style="103" customWidth="1"/>
    <col min="11" max="37" width="24.5546875" style="103" customWidth="1"/>
    <col min="38" max="38" width="14" style="103" customWidth="1"/>
    <col min="39" max="39" width="18.33203125" style="103" customWidth="1"/>
    <col min="40" max="44" width="24.5546875" style="103" customWidth="1"/>
    <col min="45" max="16384" width="8.88671875" style="101"/>
  </cols>
  <sheetData>
    <row r="1" spans="1:44" s="102" customFormat="1" ht="31.2" customHeight="1" x14ac:dyDescent="0.3">
      <c r="A1" s="113" t="s">
        <v>5</v>
      </c>
      <c r="B1" s="124" t="s">
        <v>6</v>
      </c>
      <c r="C1" s="114" t="s">
        <v>7</v>
      </c>
      <c r="D1" s="115" t="s">
        <v>8</v>
      </c>
      <c r="E1" s="116" t="s">
        <v>9</v>
      </c>
      <c r="F1" s="116" t="s">
        <v>661</v>
      </c>
      <c r="G1" s="114" t="s">
        <v>517</v>
      </c>
      <c r="H1" s="114" t="s">
        <v>10</v>
      </c>
      <c r="I1" s="117" t="s">
        <v>11</v>
      </c>
      <c r="J1" s="113" t="s">
        <v>13</v>
      </c>
      <c r="K1" s="113" t="s">
        <v>662</v>
      </c>
      <c r="L1" s="113" t="s">
        <v>14</v>
      </c>
      <c r="M1" s="113" t="s">
        <v>15</v>
      </c>
      <c r="N1" s="113" t="s">
        <v>663</v>
      </c>
      <c r="O1" s="113" t="s">
        <v>664</v>
      </c>
      <c r="P1" s="113" t="s">
        <v>665</v>
      </c>
      <c r="Q1" s="113" t="s">
        <v>666</v>
      </c>
      <c r="R1" s="113" t="s">
        <v>667</v>
      </c>
      <c r="S1" s="113" t="s">
        <v>17</v>
      </c>
      <c r="T1" s="118" t="s">
        <v>668</v>
      </c>
      <c r="U1" s="118" t="s">
        <v>669</v>
      </c>
      <c r="V1" s="118" t="s">
        <v>18</v>
      </c>
      <c r="W1" s="113" t="s">
        <v>19</v>
      </c>
      <c r="X1" s="113" t="s">
        <v>20</v>
      </c>
      <c r="Y1" s="113" t="s">
        <v>21</v>
      </c>
      <c r="Z1" s="113" t="s">
        <v>22</v>
      </c>
      <c r="AA1" s="118" t="s">
        <v>23</v>
      </c>
      <c r="AB1" s="119" t="s">
        <v>24</v>
      </c>
      <c r="AC1" s="119" t="s">
        <v>25</v>
      </c>
      <c r="AD1" s="120" t="s">
        <v>26</v>
      </c>
      <c r="AE1" s="121" t="s">
        <v>27</v>
      </c>
      <c r="AF1" s="122" t="s">
        <v>28</v>
      </c>
      <c r="AG1" s="123" t="s">
        <v>29</v>
      </c>
      <c r="AH1" s="113" t="s">
        <v>30</v>
      </c>
      <c r="AI1" s="113" t="s">
        <v>31</v>
      </c>
      <c r="AJ1" s="113" t="s">
        <v>32</v>
      </c>
      <c r="AK1" s="113" t="s">
        <v>33</v>
      </c>
      <c r="AL1" s="113" t="s">
        <v>34</v>
      </c>
      <c r="AM1" s="113" t="s">
        <v>35</v>
      </c>
      <c r="AN1" s="113" t="s">
        <v>36</v>
      </c>
      <c r="AO1" s="118" t="s">
        <v>37</v>
      </c>
      <c r="AP1" s="118" t="s">
        <v>671</v>
      </c>
      <c r="AQ1" s="118" t="s">
        <v>672</v>
      </c>
      <c r="AR1" s="118" t="s">
        <v>16</v>
      </c>
    </row>
    <row r="2" spans="1:44" ht="30.6" customHeight="1" x14ac:dyDescent="0.45">
      <c r="A2" s="104" t="s">
        <v>674</v>
      </c>
      <c r="B2" s="125" t="s">
        <v>675</v>
      </c>
      <c r="C2" s="105">
        <v>2018</v>
      </c>
      <c r="D2" s="105" t="s">
        <v>501</v>
      </c>
      <c r="E2" s="105" t="s">
        <v>78</v>
      </c>
      <c r="F2" s="105" t="s">
        <v>551</v>
      </c>
      <c r="G2" s="105" t="s">
        <v>519</v>
      </c>
      <c r="H2" s="105" t="s">
        <v>599</v>
      </c>
      <c r="I2" s="106" t="s">
        <v>101</v>
      </c>
      <c r="J2" s="104" t="s">
        <v>676</v>
      </c>
      <c r="K2" s="104" t="s">
        <v>81</v>
      </c>
      <c r="L2" s="107" t="s">
        <v>74</v>
      </c>
      <c r="M2" s="107">
        <v>7000000</v>
      </c>
      <c r="N2" s="104">
        <v>7000000</v>
      </c>
      <c r="O2" s="104">
        <v>9968910</v>
      </c>
      <c r="P2" s="104">
        <v>7000000</v>
      </c>
      <c r="Q2" s="104">
        <v>7000000</v>
      </c>
      <c r="R2" s="104">
        <v>9968910</v>
      </c>
      <c r="S2" s="104">
        <v>7000000</v>
      </c>
      <c r="T2" s="104">
        <v>7000000</v>
      </c>
      <c r="U2" s="112">
        <v>9968910</v>
      </c>
      <c r="V2" s="107" t="s">
        <v>81</v>
      </c>
      <c r="W2" s="104" t="s">
        <v>78</v>
      </c>
      <c r="X2" s="104" t="s">
        <v>81</v>
      </c>
      <c r="Y2" s="104" t="s">
        <v>78</v>
      </c>
      <c r="Z2" s="104" t="s">
        <v>81</v>
      </c>
      <c r="AA2" s="104">
        <v>0</v>
      </c>
      <c r="AB2" s="108" t="s">
        <v>78</v>
      </c>
      <c r="AC2" s="104">
        <v>0</v>
      </c>
      <c r="AD2" s="105" t="s">
        <v>78</v>
      </c>
      <c r="AE2" s="104">
        <v>0</v>
      </c>
      <c r="AF2" s="104" t="s">
        <v>78</v>
      </c>
      <c r="AG2" s="104">
        <v>0</v>
      </c>
      <c r="AH2" s="109" t="s">
        <v>81</v>
      </c>
      <c r="AI2" s="109" t="s">
        <v>78</v>
      </c>
      <c r="AJ2" s="109" t="s">
        <v>75</v>
      </c>
      <c r="AK2" s="109" t="s">
        <v>78</v>
      </c>
      <c r="AL2" s="109" t="s">
        <v>78</v>
      </c>
      <c r="AM2" s="109" t="s">
        <v>81</v>
      </c>
      <c r="AN2" s="109" t="s">
        <v>81</v>
      </c>
      <c r="AO2" s="109" t="s">
        <v>78</v>
      </c>
      <c r="AP2" s="109" t="s">
        <v>81</v>
      </c>
      <c r="AQ2" s="109">
        <v>1</v>
      </c>
      <c r="AR2" s="109" t="s">
        <v>74</v>
      </c>
    </row>
    <row r="3" spans="1:44" ht="30.6" customHeight="1" x14ac:dyDescent="0.45">
      <c r="A3" s="104" t="s">
        <v>677</v>
      </c>
      <c r="B3" s="125" t="s">
        <v>678</v>
      </c>
      <c r="C3" s="105">
        <v>2018</v>
      </c>
      <c r="D3" s="105" t="s">
        <v>353</v>
      </c>
      <c r="E3" s="105" t="s">
        <v>78</v>
      </c>
      <c r="F3" s="105" t="s">
        <v>78</v>
      </c>
      <c r="G3" s="105" t="s">
        <v>519</v>
      </c>
      <c r="H3" s="105" t="s">
        <v>587</v>
      </c>
      <c r="I3" s="106" t="s">
        <v>256</v>
      </c>
      <c r="J3" s="104" t="s">
        <v>679</v>
      </c>
      <c r="K3" s="104" t="s">
        <v>75</v>
      </c>
      <c r="L3" s="107" t="s">
        <v>104</v>
      </c>
      <c r="M3" s="107">
        <v>1500000</v>
      </c>
      <c r="N3" s="104">
        <v>1263157.894736842</v>
      </c>
      <c r="O3" s="104">
        <v>1798901.0526315786</v>
      </c>
      <c r="P3" s="104">
        <v>850885.83</v>
      </c>
      <c r="Q3" s="104">
        <v>850885.83</v>
      </c>
      <c r="R3" s="104">
        <v>1211772.0370778998</v>
      </c>
      <c r="S3" s="104">
        <v>0</v>
      </c>
      <c r="T3" s="104">
        <v>0</v>
      </c>
      <c r="U3" s="112">
        <v>0</v>
      </c>
      <c r="V3" s="107" t="s">
        <v>81</v>
      </c>
      <c r="W3" s="104" t="s">
        <v>78</v>
      </c>
      <c r="X3" s="104" t="s">
        <v>81</v>
      </c>
      <c r="Y3" s="104" t="s">
        <v>78</v>
      </c>
      <c r="Z3" s="104" t="s">
        <v>81</v>
      </c>
      <c r="AA3" s="104">
        <v>0</v>
      </c>
      <c r="AB3" s="108" t="s">
        <v>78</v>
      </c>
      <c r="AC3" s="104">
        <v>0</v>
      </c>
      <c r="AD3" s="105" t="s">
        <v>78</v>
      </c>
      <c r="AE3" s="104">
        <v>0</v>
      </c>
      <c r="AF3" s="104" t="s">
        <v>78</v>
      </c>
      <c r="AG3" s="104">
        <v>0</v>
      </c>
      <c r="AH3" s="109" t="s">
        <v>81</v>
      </c>
      <c r="AI3" s="109" t="s">
        <v>78</v>
      </c>
      <c r="AJ3" s="109" t="s">
        <v>81</v>
      </c>
      <c r="AK3" s="109" t="s">
        <v>78</v>
      </c>
      <c r="AL3" s="109" t="s">
        <v>78</v>
      </c>
      <c r="AM3" s="109" t="s">
        <v>81</v>
      </c>
      <c r="AN3" s="109" t="s">
        <v>81</v>
      </c>
      <c r="AO3" s="109" t="s">
        <v>78</v>
      </c>
      <c r="AP3" s="109" t="s">
        <v>81</v>
      </c>
      <c r="AQ3" s="109">
        <v>1</v>
      </c>
      <c r="AR3" s="109" t="s">
        <v>104</v>
      </c>
    </row>
    <row r="4" spans="1:44" ht="30.6" customHeight="1" x14ac:dyDescent="0.45">
      <c r="A4" s="104" t="s">
        <v>680</v>
      </c>
      <c r="B4" s="125" t="s">
        <v>681</v>
      </c>
      <c r="C4" s="105">
        <v>2018</v>
      </c>
      <c r="D4" s="105" t="s">
        <v>314</v>
      </c>
      <c r="E4" s="105" t="s">
        <v>78</v>
      </c>
      <c r="F4" s="105" t="s">
        <v>557</v>
      </c>
      <c r="G4" s="105" t="s">
        <v>522</v>
      </c>
      <c r="H4" s="105" t="s">
        <v>115</v>
      </c>
      <c r="I4" s="106" t="s">
        <v>115</v>
      </c>
      <c r="J4" s="104" t="s">
        <v>676</v>
      </c>
      <c r="K4" s="104" t="s">
        <v>81</v>
      </c>
      <c r="L4" s="107" t="s">
        <v>74</v>
      </c>
      <c r="M4" s="107">
        <v>20050000</v>
      </c>
      <c r="N4" s="104">
        <v>20050000</v>
      </c>
      <c r="O4" s="104">
        <v>28553806.499999996</v>
      </c>
      <c r="P4" s="104">
        <v>20050000</v>
      </c>
      <c r="Q4" s="104">
        <v>20050000</v>
      </c>
      <c r="R4" s="104">
        <v>28553806.499999996</v>
      </c>
      <c r="S4" s="104">
        <v>20050000</v>
      </c>
      <c r="T4" s="104">
        <v>20050000</v>
      </c>
      <c r="U4" s="112">
        <v>28553806.499999996</v>
      </c>
      <c r="V4" s="107" t="s">
        <v>75</v>
      </c>
      <c r="W4" s="104" t="s">
        <v>682</v>
      </c>
      <c r="X4" s="104" t="s">
        <v>75</v>
      </c>
      <c r="Y4" s="104" t="s">
        <v>683</v>
      </c>
      <c r="Z4" s="104" t="s">
        <v>75</v>
      </c>
      <c r="AA4" s="104">
        <v>999</v>
      </c>
      <c r="AB4" s="108" t="s">
        <v>684</v>
      </c>
      <c r="AC4" s="104">
        <v>0</v>
      </c>
      <c r="AD4" s="105" t="s">
        <v>78</v>
      </c>
      <c r="AE4" s="104">
        <v>0</v>
      </c>
      <c r="AF4" s="104" t="s">
        <v>78</v>
      </c>
      <c r="AG4" s="104">
        <v>1</v>
      </c>
      <c r="AH4" s="109" t="s">
        <v>75</v>
      </c>
      <c r="AI4" s="109" t="s">
        <v>685</v>
      </c>
      <c r="AJ4" s="109" t="s">
        <v>75</v>
      </c>
      <c r="AK4" s="109" t="s">
        <v>228</v>
      </c>
      <c r="AL4" s="109" t="s">
        <v>686</v>
      </c>
      <c r="AM4" s="109" t="s">
        <v>75</v>
      </c>
      <c r="AN4" s="109" t="s">
        <v>81</v>
      </c>
      <c r="AO4" s="109" t="s">
        <v>78</v>
      </c>
      <c r="AP4" s="109" t="s">
        <v>75</v>
      </c>
      <c r="AQ4" s="109">
        <v>1</v>
      </c>
      <c r="AR4" s="109" t="s">
        <v>74</v>
      </c>
    </row>
    <row r="5" spans="1:44" ht="30.6" customHeight="1" x14ac:dyDescent="0.45">
      <c r="A5" s="104" t="s">
        <v>687</v>
      </c>
      <c r="B5" s="125" t="s">
        <v>688</v>
      </c>
      <c r="C5" s="105">
        <v>2018</v>
      </c>
      <c r="D5" s="105" t="s">
        <v>172</v>
      </c>
      <c r="E5" s="105" t="s">
        <v>78</v>
      </c>
      <c r="F5" s="105" t="s">
        <v>537</v>
      </c>
      <c r="G5" s="105" t="s">
        <v>521</v>
      </c>
      <c r="H5" s="105" t="s">
        <v>593</v>
      </c>
      <c r="I5" s="106" t="s">
        <v>101</v>
      </c>
      <c r="J5" s="104" t="s">
        <v>689</v>
      </c>
      <c r="K5" s="104" t="s">
        <v>81</v>
      </c>
      <c r="L5" s="107" t="s">
        <v>74</v>
      </c>
      <c r="M5" s="107">
        <v>967360.92</v>
      </c>
      <c r="N5" s="104">
        <v>967360.92</v>
      </c>
      <c r="O5" s="104">
        <v>1377647.7069995999</v>
      </c>
      <c r="P5" s="104">
        <v>967360.92</v>
      </c>
      <c r="Q5" s="104">
        <v>967360.92</v>
      </c>
      <c r="R5" s="104">
        <v>1377647.7069995999</v>
      </c>
      <c r="S5" s="104">
        <v>967360.92</v>
      </c>
      <c r="T5" s="104">
        <v>967360.92</v>
      </c>
      <c r="U5" s="112">
        <v>1377647.7069995999</v>
      </c>
      <c r="V5" s="107" t="s">
        <v>81</v>
      </c>
      <c r="W5" s="104" t="s">
        <v>78</v>
      </c>
      <c r="X5" s="104" t="s">
        <v>81</v>
      </c>
      <c r="Y5" s="104" t="s">
        <v>78</v>
      </c>
      <c r="Z5" s="104" t="s">
        <v>81</v>
      </c>
      <c r="AA5" s="104">
        <v>0</v>
      </c>
      <c r="AB5" s="108" t="s">
        <v>78</v>
      </c>
      <c r="AC5" s="104">
        <v>0</v>
      </c>
      <c r="AD5" s="105" t="s">
        <v>78</v>
      </c>
      <c r="AE5" s="104">
        <v>0</v>
      </c>
      <c r="AF5" s="104" t="s">
        <v>78</v>
      </c>
      <c r="AG5" s="104">
        <v>0</v>
      </c>
      <c r="AH5" s="109" t="s">
        <v>81</v>
      </c>
      <c r="AI5" s="109" t="s">
        <v>78</v>
      </c>
      <c r="AJ5" s="109" t="s">
        <v>81</v>
      </c>
      <c r="AK5" s="109" t="s">
        <v>78</v>
      </c>
      <c r="AL5" s="109" t="s">
        <v>78</v>
      </c>
      <c r="AM5" s="109" t="s">
        <v>81</v>
      </c>
      <c r="AN5" s="109" t="s">
        <v>81</v>
      </c>
      <c r="AO5" s="109" t="s">
        <v>78</v>
      </c>
      <c r="AP5" s="109" t="s">
        <v>81</v>
      </c>
      <c r="AQ5" s="109">
        <v>1</v>
      </c>
      <c r="AR5" s="109" t="s">
        <v>74</v>
      </c>
    </row>
    <row r="6" spans="1:44" ht="30.6" customHeight="1" x14ac:dyDescent="0.45">
      <c r="A6" s="104" t="s">
        <v>690</v>
      </c>
      <c r="B6" s="125" t="s">
        <v>691</v>
      </c>
      <c r="C6" s="105">
        <v>2018</v>
      </c>
      <c r="D6" s="105" t="s">
        <v>172</v>
      </c>
      <c r="E6" s="105" t="s">
        <v>78</v>
      </c>
      <c r="F6" s="105" t="s">
        <v>537</v>
      </c>
      <c r="G6" s="105" t="s">
        <v>521</v>
      </c>
      <c r="H6" s="105" t="s">
        <v>228</v>
      </c>
      <c r="I6" s="106" t="s">
        <v>466</v>
      </c>
      <c r="J6" s="104" t="s">
        <v>689</v>
      </c>
      <c r="K6" s="104" t="s">
        <v>81</v>
      </c>
      <c r="L6" s="107" t="s">
        <v>74</v>
      </c>
      <c r="M6" s="107">
        <v>1199000</v>
      </c>
      <c r="N6" s="104">
        <v>1199000</v>
      </c>
      <c r="O6" s="104">
        <v>1707531.8699999999</v>
      </c>
      <c r="P6" s="104">
        <v>1199000</v>
      </c>
      <c r="Q6" s="104">
        <v>1199000</v>
      </c>
      <c r="R6" s="104">
        <v>1707531.8699999999</v>
      </c>
      <c r="S6" s="104">
        <v>1199000</v>
      </c>
      <c r="T6" s="104">
        <v>1199000</v>
      </c>
      <c r="U6" s="112">
        <v>1707531.8699999999</v>
      </c>
      <c r="V6" s="107" t="s">
        <v>81</v>
      </c>
      <c r="W6" s="104" t="s">
        <v>78</v>
      </c>
      <c r="X6" s="104" t="s">
        <v>81</v>
      </c>
      <c r="Y6" s="104" t="s">
        <v>78</v>
      </c>
      <c r="Z6" s="104" t="s">
        <v>81</v>
      </c>
      <c r="AA6" s="104">
        <v>0</v>
      </c>
      <c r="AB6" s="108" t="s">
        <v>78</v>
      </c>
      <c r="AC6" s="104">
        <v>0</v>
      </c>
      <c r="AD6" s="105" t="s">
        <v>78</v>
      </c>
      <c r="AE6" s="104">
        <v>0</v>
      </c>
      <c r="AF6" s="104" t="s">
        <v>78</v>
      </c>
      <c r="AG6" s="104">
        <v>0</v>
      </c>
      <c r="AH6" s="109" t="s">
        <v>81</v>
      </c>
      <c r="AI6" s="109" t="s">
        <v>78</v>
      </c>
      <c r="AJ6" s="109" t="s">
        <v>81</v>
      </c>
      <c r="AK6" s="109" t="s">
        <v>78</v>
      </c>
      <c r="AL6" s="109" t="s">
        <v>78</v>
      </c>
      <c r="AM6" s="109" t="s">
        <v>81</v>
      </c>
      <c r="AN6" s="109" t="s">
        <v>81</v>
      </c>
      <c r="AO6" s="109" t="s">
        <v>78</v>
      </c>
      <c r="AP6" s="109" t="s">
        <v>81</v>
      </c>
      <c r="AQ6" s="109">
        <v>1</v>
      </c>
      <c r="AR6" s="109" t="s">
        <v>74</v>
      </c>
    </row>
    <row r="7" spans="1:44" ht="30.6" customHeight="1" x14ac:dyDescent="0.45">
      <c r="A7" s="104" t="s">
        <v>692</v>
      </c>
      <c r="B7" s="125" t="s">
        <v>693</v>
      </c>
      <c r="C7" s="105">
        <v>2018</v>
      </c>
      <c r="D7" s="105" t="s">
        <v>172</v>
      </c>
      <c r="E7" s="105" t="s">
        <v>78</v>
      </c>
      <c r="F7" s="105" t="s">
        <v>537</v>
      </c>
      <c r="G7" s="105" t="s">
        <v>521</v>
      </c>
      <c r="H7" s="105" t="s">
        <v>596</v>
      </c>
      <c r="I7" s="106" t="s">
        <v>101</v>
      </c>
      <c r="J7" s="104" t="s">
        <v>689</v>
      </c>
      <c r="K7" s="104" t="s">
        <v>81</v>
      </c>
      <c r="L7" s="107" t="s">
        <v>104</v>
      </c>
      <c r="M7" s="107">
        <v>74619100</v>
      </c>
      <c r="N7" s="104">
        <v>62837136.842105262</v>
      </c>
      <c r="O7" s="104">
        <v>89488251.690947354</v>
      </c>
      <c r="P7" s="104">
        <v>51460711.939999998</v>
      </c>
      <c r="Q7" s="104">
        <v>51460711.939999998</v>
      </c>
      <c r="R7" s="104">
        <v>73286743.695112199</v>
      </c>
      <c r="S7" s="104">
        <v>51460711.939999998</v>
      </c>
      <c r="T7" s="104">
        <v>51460711.939999998</v>
      </c>
      <c r="U7" s="112">
        <v>73286743.695112199</v>
      </c>
      <c r="V7" s="107" t="s">
        <v>81</v>
      </c>
      <c r="W7" s="104" t="s">
        <v>78</v>
      </c>
      <c r="X7" s="104" t="s">
        <v>81</v>
      </c>
      <c r="Y7" s="104" t="s">
        <v>78</v>
      </c>
      <c r="Z7" s="104" t="s">
        <v>81</v>
      </c>
      <c r="AA7" s="104">
        <v>0</v>
      </c>
      <c r="AB7" s="108" t="s">
        <v>78</v>
      </c>
      <c r="AC7" s="104">
        <v>0</v>
      </c>
      <c r="AD7" s="105" t="s">
        <v>78</v>
      </c>
      <c r="AE7" s="104">
        <v>0</v>
      </c>
      <c r="AF7" s="104" t="s">
        <v>78</v>
      </c>
      <c r="AG7" s="104">
        <v>0</v>
      </c>
      <c r="AH7" s="109" t="s">
        <v>81</v>
      </c>
      <c r="AI7" s="109" t="s">
        <v>78</v>
      </c>
      <c r="AJ7" s="109" t="s">
        <v>81</v>
      </c>
      <c r="AK7" s="109" t="s">
        <v>78</v>
      </c>
      <c r="AL7" s="109" t="s">
        <v>78</v>
      </c>
      <c r="AM7" s="109" t="s">
        <v>81</v>
      </c>
      <c r="AN7" s="109" t="s">
        <v>81</v>
      </c>
      <c r="AO7" s="109" t="s">
        <v>78</v>
      </c>
      <c r="AP7" s="109" t="s">
        <v>81</v>
      </c>
      <c r="AQ7" s="109">
        <v>1</v>
      </c>
      <c r="AR7" s="109" t="s">
        <v>104</v>
      </c>
    </row>
    <row r="8" spans="1:44" ht="30.6" customHeight="1" x14ac:dyDescent="0.45">
      <c r="A8" s="104" t="s">
        <v>694</v>
      </c>
      <c r="B8" s="125" t="s">
        <v>695</v>
      </c>
      <c r="C8" s="105">
        <v>2018</v>
      </c>
      <c r="D8" s="105" t="s">
        <v>172</v>
      </c>
      <c r="E8" s="105" t="s">
        <v>78</v>
      </c>
      <c r="F8" s="105" t="s">
        <v>537</v>
      </c>
      <c r="G8" s="105" t="s">
        <v>521</v>
      </c>
      <c r="H8" s="105" t="s">
        <v>597</v>
      </c>
      <c r="I8" s="106" t="s">
        <v>101</v>
      </c>
      <c r="J8" s="104" t="s">
        <v>689</v>
      </c>
      <c r="K8" s="104" t="s">
        <v>81</v>
      </c>
      <c r="L8" s="107" t="s">
        <v>104</v>
      </c>
      <c r="M8" s="107">
        <v>100000000</v>
      </c>
      <c r="N8" s="104">
        <v>84210526.315789476</v>
      </c>
      <c r="O8" s="104">
        <v>119926736.84210525</v>
      </c>
      <c r="P8" s="104">
        <v>82020997.379999995</v>
      </c>
      <c r="Q8" s="104">
        <v>82020997.379999995</v>
      </c>
      <c r="R8" s="104">
        <v>116808562.99877939</v>
      </c>
      <c r="S8" s="104">
        <v>82020997.379999995</v>
      </c>
      <c r="T8" s="104">
        <v>82020997.379999995</v>
      </c>
      <c r="U8" s="112">
        <v>116808562.99877939</v>
      </c>
      <c r="V8" s="107" t="s">
        <v>81</v>
      </c>
      <c r="W8" s="104" t="s">
        <v>78</v>
      </c>
      <c r="X8" s="104" t="s">
        <v>81</v>
      </c>
      <c r="Y8" s="104" t="s">
        <v>78</v>
      </c>
      <c r="Z8" s="104" t="s">
        <v>81</v>
      </c>
      <c r="AA8" s="104">
        <v>0</v>
      </c>
      <c r="AB8" s="108" t="s">
        <v>78</v>
      </c>
      <c r="AC8" s="104">
        <v>0</v>
      </c>
      <c r="AD8" s="105" t="s">
        <v>78</v>
      </c>
      <c r="AE8" s="104">
        <v>0</v>
      </c>
      <c r="AF8" s="104" t="s">
        <v>78</v>
      </c>
      <c r="AG8" s="104">
        <v>0</v>
      </c>
      <c r="AH8" s="109" t="s">
        <v>81</v>
      </c>
      <c r="AI8" s="109" t="s">
        <v>78</v>
      </c>
      <c r="AJ8" s="109" t="s">
        <v>81</v>
      </c>
      <c r="AK8" s="109" t="s">
        <v>78</v>
      </c>
      <c r="AL8" s="109" t="s">
        <v>78</v>
      </c>
      <c r="AM8" s="109" t="s">
        <v>81</v>
      </c>
      <c r="AN8" s="109" t="s">
        <v>81</v>
      </c>
      <c r="AO8" s="109" t="s">
        <v>78</v>
      </c>
      <c r="AP8" s="109" t="s">
        <v>81</v>
      </c>
      <c r="AQ8" s="109">
        <v>1</v>
      </c>
      <c r="AR8" s="109" t="s">
        <v>104</v>
      </c>
    </row>
    <row r="9" spans="1:44" ht="30.6" customHeight="1" x14ac:dyDescent="0.45">
      <c r="A9" s="104" t="s">
        <v>696</v>
      </c>
      <c r="B9" s="125" t="s">
        <v>697</v>
      </c>
      <c r="C9" s="105">
        <v>2018</v>
      </c>
      <c r="D9" s="105" t="s">
        <v>484</v>
      </c>
      <c r="E9" s="105" t="s">
        <v>78</v>
      </c>
      <c r="F9" s="105" t="s">
        <v>525</v>
      </c>
      <c r="G9" s="105" t="s">
        <v>520</v>
      </c>
      <c r="H9" s="105" t="s">
        <v>115</v>
      </c>
      <c r="I9" s="106" t="s">
        <v>115</v>
      </c>
      <c r="J9" s="104" t="s">
        <v>689</v>
      </c>
      <c r="K9" s="104" t="s">
        <v>81</v>
      </c>
      <c r="L9" s="107" t="s">
        <v>74</v>
      </c>
      <c r="M9" s="107">
        <v>10300000</v>
      </c>
      <c r="N9" s="104">
        <v>10300000</v>
      </c>
      <c r="O9" s="104">
        <v>14668538.999999998</v>
      </c>
      <c r="P9" s="104">
        <v>10300000</v>
      </c>
      <c r="Q9" s="104">
        <v>10300000</v>
      </c>
      <c r="R9" s="104">
        <v>14668538.999999998</v>
      </c>
      <c r="S9" s="104">
        <v>10300000</v>
      </c>
      <c r="T9" s="104">
        <v>10300000</v>
      </c>
      <c r="U9" s="112">
        <v>14668538.999999998</v>
      </c>
      <c r="V9" s="107" t="s">
        <v>81</v>
      </c>
      <c r="W9" s="104" t="s">
        <v>78</v>
      </c>
      <c r="X9" s="104" t="s">
        <v>81</v>
      </c>
      <c r="Y9" s="104" t="s">
        <v>78</v>
      </c>
      <c r="Z9" s="104" t="s">
        <v>81</v>
      </c>
      <c r="AA9" s="104">
        <v>0</v>
      </c>
      <c r="AB9" s="108" t="s">
        <v>78</v>
      </c>
      <c r="AC9" s="104">
        <v>0</v>
      </c>
      <c r="AD9" s="105" t="s">
        <v>78</v>
      </c>
      <c r="AE9" s="104">
        <v>0</v>
      </c>
      <c r="AF9" s="104" t="s">
        <v>78</v>
      </c>
      <c r="AG9" s="104">
        <v>0</v>
      </c>
      <c r="AH9" s="109" t="s">
        <v>81</v>
      </c>
      <c r="AI9" s="109" t="s">
        <v>78</v>
      </c>
      <c r="AJ9" s="109" t="s">
        <v>81</v>
      </c>
      <c r="AK9" s="109" t="s">
        <v>78</v>
      </c>
      <c r="AL9" s="109" t="s">
        <v>78</v>
      </c>
      <c r="AM9" s="109" t="s">
        <v>81</v>
      </c>
      <c r="AN9" s="109" t="s">
        <v>81</v>
      </c>
      <c r="AO9" s="109" t="s">
        <v>78</v>
      </c>
      <c r="AP9" s="109" t="s">
        <v>81</v>
      </c>
      <c r="AQ9" s="109">
        <v>1</v>
      </c>
      <c r="AR9" s="109" t="s">
        <v>74</v>
      </c>
    </row>
    <row r="10" spans="1:44" ht="30.6" customHeight="1" x14ac:dyDescent="0.45">
      <c r="A10" s="104" t="s">
        <v>698</v>
      </c>
      <c r="B10" s="125" t="s">
        <v>699</v>
      </c>
      <c r="C10" s="105">
        <v>2018</v>
      </c>
      <c r="D10" s="105" t="s">
        <v>208</v>
      </c>
      <c r="E10" s="105" t="s">
        <v>78</v>
      </c>
      <c r="F10" s="105" t="s">
        <v>531</v>
      </c>
      <c r="G10" s="105" t="s">
        <v>521</v>
      </c>
      <c r="H10" s="105" t="s">
        <v>115</v>
      </c>
      <c r="I10" s="106" t="s">
        <v>115</v>
      </c>
      <c r="J10" s="104" t="s">
        <v>689</v>
      </c>
      <c r="K10" s="104" t="s">
        <v>81</v>
      </c>
      <c r="L10" s="107" t="s">
        <v>126</v>
      </c>
      <c r="M10" s="107">
        <v>1000000</v>
      </c>
      <c r="N10" s="104">
        <v>702183.08721816132</v>
      </c>
      <c r="O10" s="104">
        <v>1000000</v>
      </c>
      <c r="P10" s="104">
        <v>723227.91</v>
      </c>
      <c r="Q10" s="104">
        <v>723227.91</v>
      </c>
      <c r="R10" s="104">
        <v>1029970.5634682999</v>
      </c>
      <c r="S10" s="104">
        <v>723227.91</v>
      </c>
      <c r="T10" s="104">
        <v>723227.91</v>
      </c>
      <c r="U10" s="112">
        <v>1029970.5634682999</v>
      </c>
      <c r="V10" s="107" t="s">
        <v>75</v>
      </c>
      <c r="W10" s="104" t="s">
        <v>700</v>
      </c>
      <c r="X10" s="104" t="s">
        <v>75</v>
      </c>
      <c r="Y10" s="104" t="s">
        <v>701</v>
      </c>
      <c r="Z10" s="104" t="s">
        <v>75</v>
      </c>
      <c r="AA10" s="104">
        <v>999</v>
      </c>
      <c r="AB10" s="108" t="s">
        <v>702</v>
      </c>
      <c r="AC10" s="104">
        <v>999</v>
      </c>
      <c r="AD10" s="105" t="s">
        <v>703</v>
      </c>
      <c r="AE10" s="104">
        <v>0</v>
      </c>
      <c r="AF10" s="104" t="s">
        <v>78</v>
      </c>
      <c r="AG10" s="104">
        <v>2</v>
      </c>
      <c r="AH10" s="109" t="s">
        <v>81</v>
      </c>
      <c r="AI10" s="109" t="s">
        <v>78</v>
      </c>
      <c r="AJ10" s="109" t="s">
        <v>75</v>
      </c>
      <c r="AK10" s="109" t="s">
        <v>228</v>
      </c>
      <c r="AL10" s="109" t="s">
        <v>704</v>
      </c>
      <c r="AM10" s="109" t="s">
        <v>81</v>
      </c>
      <c r="AN10" s="109" t="s">
        <v>81</v>
      </c>
      <c r="AO10" s="109" t="s">
        <v>78</v>
      </c>
      <c r="AP10" s="109" t="s">
        <v>75</v>
      </c>
      <c r="AQ10" s="109">
        <v>1</v>
      </c>
      <c r="AR10" s="109" t="s">
        <v>126</v>
      </c>
    </row>
    <row r="11" spans="1:44" ht="30.6" customHeight="1" x14ac:dyDescent="0.45">
      <c r="A11" s="104" t="s">
        <v>705</v>
      </c>
      <c r="B11" s="125" t="s">
        <v>706</v>
      </c>
      <c r="C11" s="105">
        <v>2018</v>
      </c>
      <c r="D11" s="105" t="s">
        <v>513</v>
      </c>
      <c r="E11" s="105" t="s">
        <v>78</v>
      </c>
      <c r="F11" s="105" t="s">
        <v>539</v>
      </c>
      <c r="G11" s="105" t="s">
        <v>520</v>
      </c>
      <c r="H11" s="105" t="s">
        <v>228</v>
      </c>
      <c r="I11" s="106" t="s">
        <v>228</v>
      </c>
      <c r="J11" s="104" t="s">
        <v>676</v>
      </c>
      <c r="K11" s="104" t="s">
        <v>81</v>
      </c>
      <c r="L11" s="107" t="s">
        <v>74</v>
      </c>
      <c r="M11" s="107">
        <v>5000000</v>
      </c>
      <c r="N11" s="104">
        <v>5000000</v>
      </c>
      <c r="O11" s="104">
        <v>7120649.9999999991</v>
      </c>
      <c r="P11" s="104">
        <v>5000000</v>
      </c>
      <c r="Q11" s="104">
        <v>5000000</v>
      </c>
      <c r="R11" s="104">
        <v>7120649.9999999991</v>
      </c>
      <c r="S11" s="104">
        <v>5000000</v>
      </c>
      <c r="T11" s="104">
        <v>5000000</v>
      </c>
      <c r="U11" s="112">
        <v>7120649.9999999991</v>
      </c>
      <c r="V11" s="107" t="s">
        <v>75</v>
      </c>
      <c r="W11" s="104" t="s">
        <v>707</v>
      </c>
      <c r="X11" s="104" t="s">
        <v>81</v>
      </c>
      <c r="Y11" s="104" t="s">
        <v>78</v>
      </c>
      <c r="Z11" s="104" t="s">
        <v>75</v>
      </c>
      <c r="AA11" s="104">
        <v>0</v>
      </c>
      <c r="AB11" s="108" t="s">
        <v>78</v>
      </c>
      <c r="AC11" s="104">
        <v>999</v>
      </c>
      <c r="AD11" s="105" t="s">
        <v>708</v>
      </c>
      <c r="AE11" s="104">
        <v>0</v>
      </c>
      <c r="AF11" s="104" t="s">
        <v>78</v>
      </c>
      <c r="AG11" s="104">
        <v>1</v>
      </c>
      <c r="AH11" s="109" t="s">
        <v>81</v>
      </c>
      <c r="AI11" s="109" t="s">
        <v>78</v>
      </c>
      <c r="AJ11" s="109" t="s">
        <v>75</v>
      </c>
      <c r="AK11" s="109" t="s">
        <v>228</v>
      </c>
      <c r="AL11" s="109" t="s">
        <v>78</v>
      </c>
      <c r="AM11" s="109" t="s">
        <v>81</v>
      </c>
      <c r="AN11" s="109" t="s">
        <v>81</v>
      </c>
      <c r="AO11" s="109" t="s">
        <v>78</v>
      </c>
      <c r="AP11" s="109" t="s">
        <v>81</v>
      </c>
      <c r="AQ11" s="109">
        <v>1</v>
      </c>
      <c r="AR11" s="109" t="s">
        <v>74</v>
      </c>
    </row>
    <row r="12" spans="1:44" ht="30.6" customHeight="1" x14ac:dyDescent="0.45">
      <c r="A12" s="104" t="s">
        <v>709</v>
      </c>
      <c r="B12" s="125" t="s">
        <v>710</v>
      </c>
      <c r="C12" s="105">
        <v>2018</v>
      </c>
      <c r="D12" s="105" t="s">
        <v>513</v>
      </c>
      <c r="E12" s="105" t="s">
        <v>78</v>
      </c>
      <c r="F12" s="105" t="s">
        <v>539</v>
      </c>
      <c r="G12" s="105" t="s">
        <v>520</v>
      </c>
      <c r="H12" s="105" t="s">
        <v>587</v>
      </c>
      <c r="I12" s="106" t="s">
        <v>256</v>
      </c>
      <c r="J12" s="104" t="s">
        <v>676</v>
      </c>
      <c r="K12" s="104" t="s">
        <v>81</v>
      </c>
      <c r="L12" s="107" t="s">
        <v>74</v>
      </c>
      <c r="M12" s="107">
        <v>37270000</v>
      </c>
      <c r="N12" s="104">
        <v>37270000</v>
      </c>
      <c r="O12" s="104">
        <v>53077325.099999994</v>
      </c>
      <c r="P12" s="104">
        <v>7140419.9500000002</v>
      </c>
      <c r="Q12" s="104">
        <v>7140419.9500000002</v>
      </c>
      <c r="R12" s="104">
        <v>10168886.263393499</v>
      </c>
      <c r="S12" s="104">
        <v>5500000</v>
      </c>
      <c r="T12" s="104">
        <v>5500000</v>
      </c>
      <c r="U12" s="112">
        <v>7832714.9999999991</v>
      </c>
      <c r="V12" s="107" t="s">
        <v>75</v>
      </c>
      <c r="W12" s="104" t="s">
        <v>711</v>
      </c>
      <c r="X12" s="104" t="s">
        <v>81</v>
      </c>
      <c r="Y12" s="104" t="s">
        <v>78</v>
      </c>
      <c r="Z12" s="104" t="s">
        <v>75</v>
      </c>
      <c r="AA12" s="104">
        <v>999</v>
      </c>
      <c r="AB12" s="108" t="s">
        <v>712</v>
      </c>
      <c r="AC12" s="104">
        <v>999</v>
      </c>
      <c r="AD12" s="105" t="s">
        <v>713</v>
      </c>
      <c r="AE12" s="104">
        <v>0</v>
      </c>
      <c r="AF12" s="104" t="s">
        <v>78</v>
      </c>
      <c r="AG12" s="104">
        <v>2</v>
      </c>
      <c r="AH12" s="109" t="s">
        <v>75</v>
      </c>
      <c r="AI12" s="109" t="s">
        <v>714</v>
      </c>
      <c r="AJ12" s="109" t="s">
        <v>75</v>
      </c>
      <c r="AK12" s="109" t="s">
        <v>256</v>
      </c>
      <c r="AL12" s="109" t="s">
        <v>78</v>
      </c>
      <c r="AM12" s="109" t="s">
        <v>81</v>
      </c>
      <c r="AN12" s="109" t="s">
        <v>81</v>
      </c>
      <c r="AO12" s="109" t="s">
        <v>78</v>
      </c>
      <c r="AP12" s="109" t="s">
        <v>81</v>
      </c>
      <c r="AQ12" s="109">
        <v>1</v>
      </c>
      <c r="AR12" s="109" t="s">
        <v>74</v>
      </c>
    </row>
    <row r="13" spans="1:44" ht="30.6" customHeight="1" x14ac:dyDescent="0.45">
      <c r="A13" s="104" t="s">
        <v>715</v>
      </c>
      <c r="B13" s="125" t="s">
        <v>716</v>
      </c>
      <c r="C13" s="105">
        <v>2018</v>
      </c>
      <c r="D13" s="105" t="s">
        <v>513</v>
      </c>
      <c r="E13" s="105" t="s">
        <v>78</v>
      </c>
      <c r="F13" s="105" t="s">
        <v>539</v>
      </c>
      <c r="G13" s="105" t="s">
        <v>520</v>
      </c>
      <c r="H13" s="105" t="s">
        <v>597</v>
      </c>
      <c r="I13" s="106" t="s">
        <v>101</v>
      </c>
      <c r="J13" s="104" t="s">
        <v>676</v>
      </c>
      <c r="K13" s="104" t="s">
        <v>81</v>
      </c>
      <c r="L13" s="107" t="s">
        <v>74</v>
      </c>
      <c r="M13" s="107">
        <v>5000000</v>
      </c>
      <c r="N13" s="104">
        <v>5000000</v>
      </c>
      <c r="O13" s="104">
        <v>7120649.9999999991</v>
      </c>
      <c r="P13" s="104">
        <v>5000000</v>
      </c>
      <c r="Q13" s="104">
        <v>5000000</v>
      </c>
      <c r="R13" s="104">
        <v>7120649.9999999991</v>
      </c>
      <c r="S13" s="104">
        <v>5000000</v>
      </c>
      <c r="T13" s="104">
        <v>5000000</v>
      </c>
      <c r="U13" s="112">
        <v>7120649.9999999991</v>
      </c>
      <c r="V13" s="107" t="s">
        <v>81</v>
      </c>
      <c r="W13" s="104" t="s">
        <v>78</v>
      </c>
      <c r="X13" s="104" t="s">
        <v>81</v>
      </c>
      <c r="Y13" s="104" t="s">
        <v>78</v>
      </c>
      <c r="Z13" s="104" t="s">
        <v>81</v>
      </c>
      <c r="AA13" s="104">
        <v>0</v>
      </c>
      <c r="AB13" s="108" t="s">
        <v>78</v>
      </c>
      <c r="AC13" s="104">
        <v>0</v>
      </c>
      <c r="AD13" s="105" t="s">
        <v>78</v>
      </c>
      <c r="AE13" s="104">
        <v>0</v>
      </c>
      <c r="AF13" s="104" t="s">
        <v>78</v>
      </c>
      <c r="AG13" s="104">
        <v>0</v>
      </c>
      <c r="AH13" s="109" t="s">
        <v>81</v>
      </c>
      <c r="AI13" s="109" t="s">
        <v>78</v>
      </c>
      <c r="AJ13" s="109" t="s">
        <v>81</v>
      </c>
      <c r="AK13" s="109" t="s">
        <v>78</v>
      </c>
      <c r="AL13" s="109" t="s">
        <v>78</v>
      </c>
      <c r="AM13" s="109" t="s">
        <v>81</v>
      </c>
      <c r="AN13" s="109" t="s">
        <v>81</v>
      </c>
      <c r="AO13" s="109" t="s">
        <v>78</v>
      </c>
      <c r="AP13" s="109" t="s">
        <v>81</v>
      </c>
      <c r="AQ13" s="109">
        <v>1</v>
      </c>
      <c r="AR13" s="109" t="s">
        <v>74</v>
      </c>
    </row>
    <row r="14" spans="1:44" ht="30.6" customHeight="1" x14ac:dyDescent="0.45">
      <c r="A14" s="104" t="s">
        <v>694</v>
      </c>
      <c r="B14" s="125" t="s">
        <v>717</v>
      </c>
      <c r="C14" s="105">
        <v>2018</v>
      </c>
      <c r="D14" s="105" t="s">
        <v>498</v>
      </c>
      <c r="E14" s="105" t="s">
        <v>78</v>
      </c>
      <c r="F14" s="105" t="s">
        <v>540</v>
      </c>
      <c r="G14" s="105" t="s">
        <v>520</v>
      </c>
      <c r="H14" s="105" t="s">
        <v>597</v>
      </c>
      <c r="I14" s="106" t="s">
        <v>101</v>
      </c>
      <c r="J14" s="104" t="s">
        <v>689</v>
      </c>
      <c r="K14" s="104" t="s">
        <v>81</v>
      </c>
      <c r="L14" s="107" t="s">
        <v>74</v>
      </c>
      <c r="M14" s="107">
        <v>10520000</v>
      </c>
      <c r="N14" s="104">
        <v>10520000</v>
      </c>
      <c r="O14" s="104">
        <v>14981847.6</v>
      </c>
      <c r="P14" s="104">
        <v>10504283.619999999</v>
      </c>
      <c r="Q14" s="104">
        <v>10504283.619999999</v>
      </c>
      <c r="R14" s="104">
        <v>14959465.431750597</v>
      </c>
      <c r="S14" s="104">
        <v>10504283.619999999</v>
      </c>
      <c r="T14" s="104">
        <v>10504283.619999999</v>
      </c>
      <c r="U14" s="112">
        <v>14959465.431750597</v>
      </c>
      <c r="V14" s="107" t="s">
        <v>81</v>
      </c>
      <c r="W14" s="104" t="s">
        <v>78</v>
      </c>
      <c r="X14" s="104" t="s">
        <v>81</v>
      </c>
      <c r="Y14" s="104" t="s">
        <v>78</v>
      </c>
      <c r="Z14" s="104" t="s">
        <v>81</v>
      </c>
      <c r="AA14" s="104">
        <v>0</v>
      </c>
      <c r="AB14" s="108" t="s">
        <v>78</v>
      </c>
      <c r="AC14" s="104">
        <v>0</v>
      </c>
      <c r="AD14" s="105" t="s">
        <v>78</v>
      </c>
      <c r="AE14" s="104">
        <v>0</v>
      </c>
      <c r="AF14" s="104" t="s">
        <v>78</v>
      </c>
      <c r="AG14" s="104">
        <v>0</v>
      </c>
      <c r="AH14" s="109" t="s">
        <v>81</v>
      </c>
      <c r="AI14" s="109" t="s">
        <v>78</v>
      </c>
      <c r="AJ14" s="109" t="s">
        <v>81</v>
      </c>
      <c r="AK14" s="109" t="s">
        <v>78</v>
      </c>
      <c r="AL14" s="109" t="s">
        <v>78</v>
      </c>
      <c r="AM14" s="109" t="s">
        <v>81</v>
      </c>
      <c r="AN14" s="109" t="s">
        <v>81</v>
      </c>
      <c r="AO14" s="109" t="s">
        <v>78</v>
      </c>
      <c r="AP14" s="109" t="s">
        <v>81</v>
      </c>
      <c r="AQ14" s="109">
        <v>1</v>
      </c>
      <c r="AR14" s="109" t="s">
        <v>74</v>
      </c>
    </row>
    <row r="15" spans="1:44" ht="30.6" customHeight="1" x14ac:dyDescent="0.45">
      <c r="A15" s="104" t="s">
        <v>718</v>
      </c>
      <c r="B15" s="125" t="s">
        <v>719</v>
      </c>
      <c r="C15" s="105">
        <v>2018</v>
      </c>
      <c r="D15" s="105" t="s">
        <v>498</v>
      </c>
      <c r="E15" s="105" t="s">
        <v>78</v>
      </c>
      <c r="F15" s="105" t="s">
        <v>540</v>
      </c>
      <c r="G15" s="105" t="s">
        <v>520</v>
      </c>
      <c r="H15" s="105" t="s">
        <v>596</v>
      </c>
      <c r="I15" s="106" t="s">
        <v>101</v>
      </c>
      <c r="J15" s="104" t="s">
        <v>676</v>
      </c>
      <c r="K15" s="104" t="s">
        <v>81</v>
      </c>
      <c r="L15" s="107" t="s">
        <v>74</v>
      </c>
      <c r="M15" s="107">
        <v>6000000</v>
      </c>
      <c r="N15" s="104">
        <v>6000000</v>
      </c>
      <c r="O15" s="104">
        <v>8544780</v>
      </c>
      <c r="P15" s="104">
        <v>6000000</v>
      </c>
      <c r="Q15" s="104">
        <v>6000000</v>
      </c>
      <c r="R15" s="104">
        <v>8544780</v>
      </c>
      <c r="S15" s="104">
        <v>6000000</v>
      </c>
      <c r="T15" s="104">
        <v>6000000</v>
      </c>
      <c r="U15" s="112">
        <v>8544780</v>
      </c>
      <c r="V15" s="107" t="s">
        <v>81</v>
      </c>
      <c r="W15" s="104" t="s">
        <v>78</v>
      </c>
      <c r="X15" s="104" t="s">
        <v>81</v>
      </c>
      <c r="Y15" s="104" t="s">
        <v>78</v>
      </c>
      <c r="Z15" s="104" t="s">
        <v>81</v>
      </c>
      <c r="AA15" s="104">
        <v>0</v>
      </c>
      <c r="AB15" s="108" t="s">
        <v>78</v>
      </c>
      <c r="AC15" s="104">
        <v>0</v>
      </c>
      <c r="AD15" s="105" t="s">
        <v>78</v>
      </c>
      <c r="AE15" s="104">
        <v>0</v>
      </c>
      <c r="AF15" s="104" t="s">
        <v>78</v>
      </c>
      <c r="AG15" s="104">
        <v>0</v>
      </c>
      <c r="AH15" s="109" t="s">
        <v>81</v>
      </c>
      <c r="AI15" s="109" t="s">
        <v>78</v>
      </c>
      <c r="AJ15" s="109" t="s">
        <v>81</v>
      </c>
      <c r="AK15" s="109" t="s">
        <v>78</v>
      </c>
      <c r="AL15" s="109" t="s">
        <v>78</v>
      </c>
      <c r="AM15" s="109" t="s">
        <v>81</v>
      </c>
      <c r="AN15" s="109" t="s">
        <v>81</v>
      </c>
      <c r="AO15" s="109" t="s">
        <v>78</v>
      </c>
      <c r="AP15" s="109" t="s">
        <v>81</v>
      </c>
      <c r="AQ15" s="109">
        <v>1</v>
      </c>
      <c r="AR15" s="109" t="s">
        <v>74</v>
      </c>
    </row>
    <row r="16" spans="1:44" ht="30.6" customHeight="1" x14ac:dyDescent="0.45">
      <c r="A16" s="104" t="s">
        <v>720</v>
      </c>
      <c r="B16" s="125" t="s">
        <v>721</v>
      </c>
      <c r="C16" s="105">
        <v>2018</v>
      </c>
      <c r="D16" s="105" t="s">
        <v>498</v>
      </c>
      <c r="E16" s="105" t="s">
        <v>78</v>
      </c>
      <c r="F16" s="105" t="s">
        <v>540</v>
      </c>
      <c r="G16" s="105" t="s">
        <v>520</v>
      </c>
      <c r="H16" s="105" t="s">
        <v>228</v>
      </c>
      <c r="I16" s="106" t="s">
        <v>228</v>
      </c>
      <c r="J16" s="104" t="s">
        <v>689</v>
      </c>
      <c r="K16" s="104" t="s">
        <v>81</v>
      </c>
      <c r="L16" s="107" t="s">
        <v>74</v>
      </c>
      <c r="M16" s="107">
        <v>990000</v>
      </c>
      <c r="N16" s="104">
        <v>990000</v>
      </c>
      <c r="O16" s="104">
        <v>1409888.7</v>
      </c>
      <c r="P16" s="104">
        <v>990000</v>
      </c>
      <c r="Q16" s="104">
        <v>990000</v>
      </c>
      <c r="R16" s="104">
        <v>1409888.7</v>
      </c>
      <c r="S16" s="104">
        <v>990000</v>
      </c>
      <c r="T16" s="104">
        <v>990000</v>
      </c>
      <c r="U16" s="112">
        <v>1409888.7</v>
      </c>
      <c r="V16" s="107" t="s">
        <v>81</v>
      </c>
      <c r="W16" s="104" t="s">
        <v>78</v>
      </c>
      <c r="X16" s="104" t="s">
        <v>81</v>
      </c>
      <c r="Y16" s="104" t="s">
        <v>78</v>
      </c>
      <c r="Z16" s="104" t="s">
        <v>81</v>
      </c>
      <c r="AA16" s="104">
        <v>0</v>
      </c>
      <c r="AB16" s="108" t="s">
        <v>78</v>
      </c>
      <c r="AC16" s="104">
        <v>0</v>
      </c>
      <c r="AD16" s="105" t="s">
        <v>78</v>
      </c>
      <c r="AE16" s="104">
        <v>0</v>
      </c>
      <c r="AF16" s="104" t="s">
        <v>78</v>
      </c>
      <c r="AG16" s="104">
        <v>0</v>
      </c>
      <c r="AH16" s="109" t="s">
        <v>81</v>
      </c>
      <c r="AI16" s="109" t="s">
        <v>78</v>
      </c>
      <c r="AJ16" s="109" t="s">
        <v>81</v>
      </c>
      <c r="AK16" s="109" t="s">
        <v>78</v>
      </c>
      <c r="AL16" s="109" t="s">
        <v>78</v>
      </c>
      <c r="AM16" s="109" t="s">
        <v>81</v>
      </c>
      <c r="AN16" s="109" t="s">
        <v>81</v>
      </c>
      <c r="AO16" s="109" t="s">
        <v>78</v>
      </c>
      <c r="AP16" s="109" t="s">
        <v>81</v>
      </c>
      <c r="AQ16" s="109">
        <v>1</v>
      </c>
      <c r="AR16" s="109" t="s">
        <v>74</v>
      </c>
    </row>
    <row r="17" spans="1:44" ht="30.6" customHeight="1" x14ac:dyDescent="0.45">
      <c r="A17" s="104" t="s">
        <v>722</v>
      </c>
      <c r="B17" s="125" t="s">
        <v>723</v>
      </c>
      <c r="C17" s="105">
        <v>2018</v>
      </c>
      <c r="D17" s="105" t="s">
        <v>371</v>
      </c>
      <c r="E17" s="105" t="s">
        <v>78</v>
      </c>
      <c r="F17" s="105" t="s">
        <v>542</v>
      </c>
      <c r="G17" s="105" t="s">
        <v>520</v>
      </c>
      <c r="H17" s="105" t="s">
        <v>228</v>
      </c>
      <c r="I17" s="106" t="s">
        <v>228</v>
      </c>
      <c r="J17" s="104" t="s">
        <v>676</v>
      </c>
      <c r="K17" s="104" t="s">
        <v>81</v>
      </c>
      <c r="L17" s="107" t="s">
        <v>74</v>
      </c>
      <c r="M17" s="107">
        <v>4560000</v>
      </c>
      <c r="N17" s="104">
        <v>4560000</v>
      </c>
      <c r="O17" s="104">
        <v>6494032.7999999998</v>
      </c>
      <c r="P17" s="104">
        <v>4215000</v>
      </c>
      <c r="Q17" s="104">
        <v>4215000</v>
      </c>
      <c r="R17" s="104">
        <v>6002707.9499999993</v>
      </c>
      <c r="S17" s="104">
        <v>4215000</v>
      </c>
      <c r="T17" s="104">
        <v>4215000</v>
      </c>
      <c r="U17" s="112">
        <v>6002707.9499999993</v>
      </c>
      <c r="V17" s="107" t="s">
        <v>75</v>
      </c>
      <c r="W17" s="104" t="s">
        <v>724</v>
      </c>
      <c r="X17" s="104" t="s">
        <v>75</v>
      </c>
      <c r="Y17" s="104" t="s">
        <v>725</v>
      </c>
      <c r="Z17" s="104" t="s">
        <v>75</v>
      </c>
      <c r="AA17" s="104">
        <v>999</v>
      </c>
      <c r="AB17" s="108" t="s">
        <v>726</v>
      </c>
      <c r="AC17" s="104">
        <v>0</v>
      </c>
      <c r="AD17" s="105" t="s">
        <v>78</v>
      </c>
      <c r="AE17" s="104">
        <v>0</v>
      </c>
      <c r="AF17" s="104" t="s">
        <v>78</v>
      </c>
      <c r="AG17" s="104">
        <v>2</v>
      </c>
      <c r="AH17" s="109" t="s">
        <v>81</v>
      </c>
      <c r="AI17" s="109" t="s">
        <v>78</v>
      </c>
      <c r="AJ17" s="109" t="s">
        <v>75</v>
      </c>
      <c r="AK17" s="109" t="s">
        <v>228</v>
      </c>
      <c r="AL17" s="109" t="s">
        <v>78</v>
      </c>
      <c r="AM17" s="109" t="s">
        <v>81</v>
      </c>
      <c r="AN17" s="109" t="s">
        <v>81</v>
      </c>
      <c r="AO17" s="109" t="s">
        <v>78</v>
      </c>
      <c r="AP17" s="109" t="s">
        <v>75</v>
      </c>
      <c r="AQ17" s="109">
        <v>1</v>
      </c>
      <c r="AR17" s="109" t="s">
        <v>74</v>
      </c>
    </row>
    <row r="18" spans="1:44" ht="30.6" customHeight="1" x14ac:dyDescent="0.45">
      <c r="A18" s="104" t="s">
        <v>727</v>
      </c>
      <c r="B18" s="125" t="s">
        <v>728</v>
      </c>
      <c r="C18" s="105">
        <v>2018</v>
      </c>
      <c r="D18" s="105" t="s">
        <v>371</v>
      </c>
      <c r="E18" s="105" t="s">
        <v>78</v>
      </c>
      <c r="F18" s="105" t="s">
        <v>542</v>
      </c>
      <c r="G18" s="105" t="s">
        <v>520</v>
      </c>
      <c r="H18" s="105" t="s">
        <v>228</v>
      </c>
      <c r="I18" s="106" t="s">
        <v>228</v>
      </c>
      <c r="J18" s="104" t="s">
        <v>689</v>
      </c>
      <c r="K18" s="104" t="s">
        <v>81</v>
      </c>
      <c r="L18" s="107" t="s">
        <v>126</v>
      </c>
      <c r="M18" s="107">
        <v>1000000</v>
      </c>
      <c r="N18" s="104">
        <v>702183.08721816132</v>
      </c>
      <c r="O18" s="104">
        <v>1000000</v>
      </c>
      <c r="P18" s="104">
        <v>723227.91</v>
      </c>
      <c r="Q18" s="104">
        <v>723227.91</v>
      </c>
      <c r="R18" s="104">
        <v>1029970.5634682999</v>
      </c>
      <c r="S18" s="104">
        <v>723227.91</v>
      </c>
      <c r="T18" s="104">
        <v>723227.91</v>
      </c>
      <c r="U18" s="112">
        <v>1029970.5634682999</v>
      </c>
      <c r="V18" s="107" t="s">
        <v>75</v>
      </c>
      <c r="W18" s="104" t="s">
        <v>729</v>
      </c>
      <c r="X18" s="104" t="s">
        <v>81</v>
      </c>
      <c r="Y18" s="104" t="s">
        <v>78</v>
      </c>
      <c r="Z18" s="104" t="s">
        <v>81</v>
      </c>
      <c r="AA18" s="104">
        <v>0</v>
      </c>
      <c r="AB18" s="108" t="s">
        <v>78</v>
      </c>
      <c r="AC18" s="104">
        <v>0</v>
      </c>
      <c r="AD18" s="105" t="s">
        <v>78</v>
      </c>
      <c r="AE18" s="104">
        <v>0</v>
      </c>
      <c r="AF18" s="104" t="s">
        <v>78</v>
      </c>
      <c r="AG18" s="104">
        <v>0</v>
      </c>
      <c r="AH18" s="109" t="s">
        <v>81</v>
      </c>
      <c r="AI18" s="109" t="s">
        <v>78</v>
      </c>
      <c r="AJ18" s="109" t="s">
        <v>81</v>
      </c>
      <c r="AK18" s="109" t="s">
        <v>78</v>
      </c>
      <c r="AL18" s="109" t="s">
        <v>78</v>
      </c>
      <c r="AM18" s="109" t="s">
        <v>81</v>
      </c>
      <c r="AN18" s="109" t="s">
        <v>81</v>
      </c>
      <c r="AO18" s="109" t="s">
        <v>78</v>
      </c>
      <c r="AP18" s="109" t="s">
        <v>81</v>
      </c>
      <c r="AQ18" s="109">
        <v>1</v>
      </c>
      <c r="AR18" s="109" t="s">
        <v>126</v>
      </c>
    </row>
    <row r="19" spans="1:44" ht="30.6" customHeight="1" x14ac:dyDescent="0.45">
      <c r="A19" s="104" t="s">
        <v>730</v>
      </c>
      <c r="B19" s="125" t="s">
        <v>731</v>
      </c>
      <c r="C19" s="105">
        <v>2018</v>
      </c>
      <c r="D19" s="105" t="s">
        <v>377</v>
      </c>
      <c r="E19" s="105" t="s">
        <v>78</v>
      </c>
      <c r="F19" s="105" t="s">
        <v>544</v>
      </c>
      <c r="G19" s="105" t="s">
        <v>520</v>
      </c>
      <c r="H19" s="105" t="s">
        <v>597</v>
      </c>
      <c r="I19" s="106" t="s">
        <v>101</v>
      </c>
      <c r="J19" s="104" t="s">
        <v>689</v>
      </c>
      <c r="K19" s="104" t="s">
        <v>81</v>
      </c>
      <c r="L19" s="107" t="s">
        <v>74</v>
      </c>
      <c r="M19" s="107">
        <v>7000000</v>
      </c>
      <c r="N19" s="104">
        <v>7000000</v>
      </c>
      <c r="O19" s="104">
        <v>9968910</v>
      </c>
      <c r="P19" s="104">
        <v>7000000</v>
      </c>
      <c r="Q19" s="104">
        <v>7000000</v>
      </c>
      <c r="R19" s="104">
        <v>9968910</v>
      </c>
      <c r="S19" s="104">
        <v>7000000</v>
      </c>
      <c r="T19" s="104">
        <v>7000000</v>
      </c>
      <c r="U19" s="112">
        <v>9968910</v>
      </c>
      <c r="V19" s="107" t="s">
        <v>81</v>
      </c>
      <c r="W19" s="104" t="s">
        <v>78</v>
      </c>
      <c r="X19" s="104" t="s">
        <v>81</v>
      </c>
      <c r="Y19" s="104" t="s">
        <v>78</v>
      </c>
      <c r="Z19" s="104" t="s">
        <v>81</v>
      </c>
      <c r="AA19" s="104">
        <v>0</v>
      </c>
      <c r="AB19" s="108" t="s">
        <v>78</v>
      </c>
      <c r="AC19" s="104">
        <v>0</v>
      </c>
      <c r="AD19" s="105" t="s">
        <v>78</v>
      </c>
      <c r="AE19" s="104">
        <v>0</v>
      </c>
      <c r="AF19" s="104" t="s">
        <v>78</v>
      </c>
      <c r="AG19" s="104">
        <v>0</v>
      </c>
      <c r="AH19" s="109" t="s">
        <v>81</v>
      </c>
      <c r="AI19" s="109" t="s">
        <v>78</v>
      </c>
      <c r="AJ19" s="109" t="s">
        <v>81</v>
      </c>
      <c r="AK19" s="109" t="s">
        <v>78</v>
      </c>
      <c r="AL19" s="109" t="s">
        <v>78</v>
      </c>
      <c r="AM19" s="109" t="s">
        <v>81</v>
      </c>
      <c r="AN19" s="109" t="s">
        <v>81</v>
      </c>
      <c r="AO19" s="109" t="s">
        <v>78</v>
      </c>
      <c r="AP19" s="109" t="s">
        <v>81</v>
      </c>
      <c r="AQ19" s="109">
        <v>1</v>
      </c>
      <c r="AR19" s="109" t="s">
        <v>74</v>
      </c>
    </row>
    <row r="20" spans="1:44" ht="30.6" customHeight="1" x14ac:dyDescent="0.45">
      <c r="A20" s="104" t="s">
        <v>732</v>
      </c>
      <c r="B20" s="125" t="s">
        <v>733</v>
      </c>
      <c r="C20" s="105">
        <v>2018</v>
      </c>
      <c r="D20" s="105" t="s">
        <v>502</v>
      </c>
      <c r="E20" s="105" t="s">
        <v>78</v>
      </c>
      <c r="F20" s="105" t="s">
        <v>548</v>
      </c>
      <c r="G20" s="105" t="s">
        <v>520</v>
      </c>
      <c r="H20" s="105" t="s">
        <v>573</v>
      </c>
      <c r="I20" s="106" t="s">
        <v>466</v>
      </c>
      <c r="J20" s="104" t="s">
        <v>676</v>
      </c>
      <c r="K20" s="104" t="s">
        <v>81</v>
      </c>
      <c r="L20" s="107" t="s">
        <v>74</v>
      </c>
      <c r="M20" s="107">
        <v>10500000</v>
      </c>
      <c r="N20" s="104">
        <v>10500000</v>
      </c>
      <c r="O20" s="104">
        <v>14953364.999999998</v>
      </c>
      <c r="P20" s="104">
        <v>10000000</v>
      </c>
      <c r="Q20" s="104">
        <v>10000000</v>
      </c>
      <c r="R20" s="104">
        <v>14241299.999999998</v>
      </c>
      <c r="S20" s="104">
        <v>10000000</v>
      </c>
      <c r="T20" s="104">
        <v>10000000</v>
      </c>
      <c r="U20" s="112">
        <v>14241299.999999998</v>
      </c>
      <c r="V20" s="107" t="s">
        <v>81</v>
      </c>
      <c r="W20" s="104" t="s">
        <v>78</v>
      </c>
      <c r="X20" s="104" t="s">
        <v>81</v>
      </c>
      <c r="Y20" s="104" t="s">
        <v>78</v>
      </c>
      <c r="Z20" s="104" t="s">
        <v>81</v>
      </c>
      <c r="AA20" s="104">
        <v>0</v>
      </c>
      <c r="AB20" s="108" t="s">
        <v>78</v>
      </c>
      <c r="AC20" s="104">
        <v>0</v>
      </c>
      <c r="AD20" s="105" t="s">
        <v>78</v>
      </c>
      <c r="AE20" s="104">
        <v>0</v>
      </c>
      <c r="AF20" s="104" t="s">
        <v>78</v>
      </c>
      <c r="AG20" s="104">
        <v>0</v>
      </c>
      <c r="AH20" s="109" t="s">
        <v>81</v>
      </c>
      <c r="AI20" s="109" t="s">
        <v>78</v>
      </c>
      <c r="AJ20" s="109" t="s">
        <v>81</v>
      </c>
      <c r="AK20" s="109" t="s">
        <v>78</v>
      </c>
      <c r="AL20" s="109" t="s">
        <v>78</v>
      </c>
      <c r="AM20" s="109" t="s">
        <v>81</v>
      </c>
      <c r="AN20" s="109" t="s">
        <v>81</v>
      </c>
      <c r="AO20" s="109" t="s">
        <v>78</v>
      </c>
      <c r="AP20" s="109" t="s">
        <v>81</v>
      </c>
      <c r="AQ20" s="109">
        <v>1</v>
      </c>
      <c r="AR20" s="109" t="s">
        <v>74</v>
      </c>
    </row>
    <row r="21" spans="1:44" ht="30.6" customHeight="1" x14ac:dyDescent="0.45">
      <c r="A21" s="104" t="s">
        <v>734</v>
      </c>
      <c r="B21" s="125" t="s">
        <v>735</v>
      </c>
      <c r="C21" s="105">
        <v>2018</v>
      </c>
      <c r="D21" s="105" t="s">
        <v>502</v>
      </c>
      <c r="E21" s="105" t="s">
        <v>78</v>
      </c>
      <c r="F21" s="105" t="s">
        <v>548</v>
      </c>
      <c r="G21" s="105" t="s">
        <v>520</v>
      </c>
      <c r="H21" s="105" t="s">
        <v>599</v>
      </c>
      <c r="I21" s="106" t="s">
        <v>101</v>
      </c>
      <c r="J21" s="104" t="s">
        <v>689</v>
      </c>
      <c r="K21" s="104" t="s">
        <v>81</v>
      </c>
      <c r="L21" s="107" t="s">
        <v>74</v>
      </c>
      <c r="M21" s="107">
        <v>11000000</v>
      </c>
      <c r="N21" s="104">
        <v>11000000</v>
      </c>
      <c r="O21" s="104">
        <v>15665429.999999998</v>
      </c>
      <c r="P21" s="104">
        <v>10000000</v>
      </c>
      <c r="Q21" s="104">
        <v>10000000</v>
      </c>
      <c r="R21" s="104">
        <v>14241299.999999998</v>
      </c>
      <c r="S21" s="104">
        <v>10000000</v>
      </c>
      <c r="T21" s="104">
        <v>10000000</v>
      </c>
      <c r="U21" s="112">
        <v>14241299.999999998</v>
      </c>
      <c r="V21" s="107" t="s">
        <v>81</v>
      </c>
      <c r="W21" s="104" t="s">
        <v>78</v>
      </c>
      <c r="X21" s="104" t="s">
        <v>81</v>
      </c>
      <c r="Y21" s="104" t="s">
        <v>78</v>
      </c>
      <c r="Z21" s="104" t="s">
        <v>81</v>
      </c>
      <c r="AA21" s="104">
        <v>0</v>
      </c>
      <c r="AB21" s="108" t="s">
        <v>78</v>
      </c>
      <c r="AC21" s="104">
        <v>0</v>
      </c>
      <c r="AD21" s="105" t="s">
        <v>78</v>
      </c>
      <c r="AE21" s="104">
        <v>0</v>
      </c>
      <c r="AF21" s="104" t="s">
        <v>78</v>
      </c>
      <c r="AG21" s="104">
        <v>0</v>
      </c>
      <c r="AH21" s="109" t="s">
        <v>81</v>
      </c>
      <c r="AI21" s="109" t="s">
        <v>78</v>
      </c>
      <c r="AJ21" s="109" t="s">
        <v>81</v>
      </c>
      <c r="AK21" s="109" t="s">
        <v>78</v>
      </c>
      <c r="AL21" s="109" t="s">
        <v>78</v>
      </c>
      <c r="AM21" s="109" t="s">
        <v>81</v>
      </c>
      <c r="AN21" s="109" t="s">
        <v>81</v>
      </c>
      <c r="AO21" s="109" t="s">
        <v>78</v>
      </c>
      <c r="AP21" s="109" t="s">
        <v>81</v>
      </c>
      <c r="AQ21" s="109">
        <v>1</v>
      </c>
      <c r="AR21" s="109" t="s">
        <v>74</v>
      </c>
    </row>
    <row r="22" spans="1:44" ht="30.6" customHeight="1" x14ac:dyDescent="0.45">
      <c r="A22" s="104" t="s">
        <v>736</v>
      </c>
      <c r="B22" s="125" t="s">
        <v>737</v>
      </c>
      <c r="C22" s="105">
        <v>2018</v>
      </c>
      <c r="D22" s="105" t="s">
        <v>502</v>
      </c>
      <c r="E22" s="105" t="s">
        <v>78</v>
      </c>
      <c r="F22" s="105" t="s">
        <v>548</v>
      </c>
      <c r="G22" s="105" t="s">
        <v>520</v>
      </c>
      <c r="H22" s="105" t="s">
        <v>597</v>
      </c>
      <c r="I22" s="106" t="s">
        <v>101</v>
      </c>
      <c r="J22" s="104" t="s">
        <v>689</v>
      </c>
      <c r="K22" s="104" t="s">
        <v>81</v>
      </c>
      <c r="L22" s="107" t="s">
        <v>74</v>
      </c>
      <c r="M22" s="107">
        <v>9000000</v>
      </c>
      <c r="N22" s="104">
        <v>9000000</v>
      </c>
      <c r="O22" s="104">
        <v>12817169.999999998</v>
      </c>
      <c r="P22" s="104">
        <v>9000000</v>
      </c>
      <c r="Q22" s="104">
        <v>9000000</v>
      </c>
      <c r="R22" s="104">
        <v>12817169.999999998</v>
      </c>
      <c r="S22" s="104">
        <v>9000000</v>
      </c>
      <c r="T22" s="104">
        <v>9000000</v>
      </c>
      <c r="U22" s="112">
        <v>12817169.999999998</v>
      </c>
      <c r="V22" s="107" t="s">
        <v>81</v>
      </c>
      <c r="W22" s="104" t="s">
        <v>78</v>
      </c>
      <c r="X22" s="104" t="s">
        <v>81</v>
      </c>
      <c r="Y22" s="104" t="s">
        <v>78</v>
      </c>
      <c r="Z22" s="104" t="s">
        <v>81</v>
      </c>
      <c r="AA22" s="104">
        <v>0</v>
      </c>
      <c r="AB22" s="108" t="s">
        <v>78</v>
      </c>
      <c r="AC22" s="104">
        <v>0</v>
      </c>
      <c r="AD22" s="105" t="s">
        <v>78</v>
      </c>
      <c r="AE22" s="104">
        <v>0</v>
      </c>
      <c r="AF22" s="104" t="s">
        <v>78</v>
      </c>
      <c r="AG22" s="104">
        <v>0</v>
      </c>
      <c r="AH22" s="109" t="s">
        <v>81</v>
      </c>
      <c r="AI22" s="109" t="s">
        <v>78</v>
      </c>
      <c r="AJ22" s="109" t="s">
        <v>81</v>
      </c>
      <c r="AK22" s="109" t="s">
        <v>78</v>
      </c>
      <c r="AL22" s="109" t="s">
        <v>78</v>
      </c>
      <c r="AM22" s="109" t="s">
        <v>81</v>
      </c>
      <c r="AN22" s="109" t="s">
        <v>81</v>
      </c>
      <c r="AO22" s="109" t="s">
        <v>78</v>
      </c>
      <c r="AP22" s="109" t="s">
        <v>81</v>
      </c>
      <c r="AQ22" s="109">
        <v>1</v>
      </c>
      <c r="AR22" s="109" t="s">
        <v>74</v>
      </c>
    </row>
    <row r="23" spans="1:44" ht="30.6" customHeight="1" x14ac:dyDescent="0.45">
      <c r="A23" s="104" t="s">
        <v>738</v>
      </c>
      <c r="B23" s="125" t="s">
        <v>739</v>
      </c>
      <c r="C23" s="105">
        <v>2018</v>
      </c>
      <c r="D23" s="105" t="s">
        <v>502</v>
      </c>
      <c r="E23" s="105" t="s">
        <v>78</v>
      </c>
      <c r="F23" s="105" t="s">
        <v>548</v>
      </c>
      <c r="G23" s="105" t="s">
        <v>520</v>
      </c>
      <c r="H23" s="105" t="s">
        <v>597</v>
      </c>
      <c r="I23" s="106" t="s">
        <v>101</v>
      </c>
      <c r="J23" s="104" t="s">
        <v>676</v>
      </c>
      <c r="K23" s="104" t="s">
        <v>81</v>
      </c>
      <c r="L23" s="107" t="s">
        <v>74</v>
      </c>
      <c r="M23" s="107">
        <v>23150600</v>
      </c>
      <c r="N23" s="104">
        <v>23150600</v>
      </c>
      <c r="O23" s="104">
        <v>32969463.977999996</v>
      </c>
      <c r="P23" s="104">
        <v>23150600</v>
      </c>
      <c r="Q23" s="104">
        <v>23150600</v>
      </c>
      <c r="R23" s="104">
        <v>32969463.977999996</v>
      </c>
      <c r="S23" s="104">
        <v>23150600</v>
      </c>
      <c r="T23" s="104">
        <v>23150600</v>
      </c>
      <c r="U23" s="112">
        <v>32969463.977999996</v>
      </c>
      <c r="V23" s="107" t="s">
        <v>81</v>
      </c>
      <c r="W23" s="104" t="s">
        <v>78</v>
      </c>
      <c r="X23" s="104" t="s">
        <v>81</v>
      </c>
      <c r="Y23" s="104" t="s">
        <v>78</v>
      </c>
      <c r="Z23" s="104" t="s">
        <v>81</v>
      </c>
      <c r="AA23" s="104">
        <v>0</v>
      </c>
      <c r="AB23" s="108" t="s">
        <v>78</v>
      </c>
      <c r="AC23" s="104">
        <v>0</v>
      </c>
      <c r="AD23" s="105" t="s">
        <v>78</v>
      </c>
      <c r="AE23" s="104">
        <v>0</v>
      </c>
      <c r="AF23" s="104" t="s">
        <v>78</v>
      </c>
      <c r="AG23" s="104">
        <v>0</v>
      </c>
      <c r="AH23" s="109" t="s">
        <v>81</v>
      </c>
      <c r="AI23" s="109" t="s">
        <v>78</v>
      </c>
      <c r="AJ23" s="109" t="s">
        <v>81</v>
      </c>
      <c r="AK23" s="109" t="s">
        <v>78</v>
      </c>
      <c r="AL23" s="109" t="s">
        <v>78</v>
      </c>
      <c r="AM23" s="109" t="s">
        <v>81</v>
      </c>
      <c r="AN23" s="109" t="s">
        <v>81</v>
      </c>
      <c r="AO23" s="109" t="s">
        <v>78</v>
      </c>
      <c r="AP23" s="109" t="s">
        <v>81</v>
      </c>
      <c r="AQ23" s="109">
        <v>1</v>
      </c>
      <c r="AR23" s="109" t="s">
        <v>74</v>
      </c>
    </row>
    <row r="24" spans="1:44" ht="30.6" customHeight="1" x14ac:dyDescent="0.45">
      <c r="A24" s="104" t="s">
        <v>740</v>
      </c>
      <c r="B24" s="125" t="s">
        <v>741</v>
      </c>
      <c r="C24" s="105">
        <v>2018</v>
      </c>
      <c r="D24" s="105" t="s">
        <v>273</v>
      </c>
      <c r="E24" s="105" t="s">
        <v>78</v>
      </c>
      <c r="F24" s="105" t="s">
        <v>549</v>
      </c>
      <c r="G24" s="105" t="s">
        <v>518</v>
      </c>
      <c r="H24" s="105" t="s">
        <v>115</v>
      </c>
      <c r="I24" s="106" t="s">
        <v>115</v>
      </c>
      <c r="J24" s="104" t="s">
        <v>676</v>
      </c>
      <c r="K24" s="104" t="s">
        <v>81</v>
      </c>
      <c r="L24" s="107" t="s">
        <v>74</v>
      </c>
      <c r="M24" s="107">
        <v>5645360</v>
      </c>
      <c r="N24" s="104">
        <v>5645360</v>
      </c>
      <c r="O24" s="104">
        <v>8039726.536799999</v>
      </c>
      <c r="P24" s="104">
        <v>3145360</v>
      </c>
      <c r="Q24" s="104">
        <v>3145360</v>
      </c>
      <c r="R24" s="104">
        <v>4479401.5367999999</v>
      </c>
      <c r="S24" s="104">
        <v>3145360</v>
      </c>
      <c r="T24" s="104">
        <v>3145360</v>
      </c>
      <c r="U24" s="112">
        <v>4479401.5367999999</v>
      </c>
      <c r="V24" s="107" t="s">
        <v>81</v>
      </c>
      <c r="W24" s="104" t="s">
        <v>78</v>
      </c>
      <c r="X24" s="104" t="s">
        <v>81</v>
      </c>
      <c r="Y24" s="104" t="s">
        <v>78</v>
      </c>
      <c r="Z24" s="104" t="s">
        <v>81</v>
      </c>
      <c r="AA24" s="104">
        <v>0</v>
      </c>
      <c r="AB24" s="108" t="s">
        <v>78</v>
      </c>
      <c r="AC24" s="104">
        <v>0</v>
      </c>
      <c r="AD24" s="105" t="s">
        <v>78</v>
      </c>
      <c r="AE24" s="104">
        <v>0</v>
      </c>
      <c r="AF24" s="104" t="s">
        <v>78</v>
      </c>
      <c r="AG24" s="104">
        <v>0</v>
      </c>
      <c r="AH24" s="109" t="s">
        <v>81</v>
      </c>
      <c r="AI24" s="109" t="s">
        <v>78</v>
      </c>
      <c r="AJ24" s="109" t="s">
        <v>81</v>
      </c>
      <c r="AK24" s="109" t="s">
        <v>78</v>
      </c>
      <c r="AL24" s="109" t="s">
        <v>78</v>
      </c>
      <c r="AM24" s="109" t="s">
        <v>81</v>
      </c>
      <c r="AN24" s="109" t="s">
        <v>81</v>
      </c>
      <c r="AO24" s="109" t="s">
        <v>78</v>
      </c>
      <c r="AP24" s="109" t="s">
        <v>81</v>
      </c>
      <c r="AQ24" s="109">
        <v>1</v>
      </c>
      <c r="AR24" s="109" t="s">
        <v>74</v>
      </c>
    </row>
    <row r="25" spans="1:44" ht="30.6" customHeight="1" x14ac:dyDescent="0.45">
      <c r="A25" s="104" t="s">
        <v>742</v>
      </c>
      <c r="B25" s="125" t="s">
        <v>743</v>
      </c>
      <c r="C25" s="105">
        <v>2018</v>
      </c>
      <c r="D25" s="105" t="s">
        <v>273</v>
      </c>
      <c r="E25" s="105" t="s">
        <v>78</v>
      </c>
      <c r="F25" s="105" t="s">
        <v>549</v>
      </c>
      <c r="G25" s="105" t="s">
        <v>518</v>
      </c>
      <c r="H25" s="105" t="s">
        <v>596</v>
      </c>
      <c r="I25" s="106" t="s">
        <v>101</v>
      </c>
      <c r="J25" s="104" t="s">
        <v>689</v>
      </c>
      <c r="K25" s="104" t="s">
        <v>81</v>
      </c>
      <c r="L25" s="107" t="s">
        <v>74</v>
      </c>
      <c r="M25" s="107">
        <v>6700640</v>
      </c>
      <c r="N25" s="104">
        <v>6700640</v>
      </c>
      <c r="O25" s="104">
        <v>9542582.4431999996</v>
      </c>
      <c r="P25" s="104">
        <v>6700640</v>
      </c>
      <c r="Q25" s="104">
        <v>6700640</v>
      </c>
      <c r="R25" s="104">
        <v>9542582.4431999996</v>
      </c>
      <c r="S25" s="104">
        <v>6700640</v>
      </c>
      <c r="T25" s="104">
        <v>6700640</v>
      </c>
      <c r="U25" s="112">
        <v>9542582.4431999996</v>
      </c>
      <c r="V25" s="107" t="s">
        <v>81</v>
      </c>
      <c r="W25" s="104" t="s">
        <v>78</v>
      </c>
      <c r="X25" s="104" t="s">
        <v>81</v>
      </c>
      <c r="Y25" s="104" t="s">
        <v>78</v>
      </c>
      <c r="Z25" s="104" t="s">
        <v>81</v>
      </c>
      <c r="AA25" s="104">
        <v>0</v>
      </c>
      <c r="AB25" s="108" t="s">
        <v>78</v>
      </c>
      <c r="AC25" s="104">
        <v>0</v>
      </c>
      <c r="AD25" s="105" t="s">
        <v>78</v>
      </c>
      <c r="AE25" s="104">
        <v>0</v>
      </c>
      <c r="AF25" s="104" t="s">
        <v>78</v>
      </c>
      <c r="AG25" s="104">
        <v>0</v>
      </c>
      <c r="AH25" s="109" t="s">
        <v>81</v>
      </c>
      <c r="AI25" s="109" t="s">
        <v>78</v>
      </c>
      <c r="AJ25" s="109" t="s">
        <v>81</v>
      </c>
      <c r="AK25" s="109" t="s">
        <v>78</v>
      </c>
      <c r="AL25" s="109" t="s">
        <v>78</v>
      </c>
      <c r="AM25" s="109" t="s">
        <v>81</v>
      </c>
      <c r="AN25" s="109" t="s">
        <v>81</v>
      </c>
      <c r="AO25" s="109" t="s">
        <v>78</v>
      </c>
      <c r="AP25" s="109" t="s">
        <v>81</v>
      </c>
      <c r="AQ25" s="109">
        <v>1</v>
      </c>
      <c r="AR25" s="109" t="s">
        <v>74</v>
      </c>
    </row>
    <row r="26" spans="1:44" ht="30.6" customHeight="1" x14ac:dyDescent="0.45">
      <c r="A26" s="104" t="s">
        <v>744</v>
      </c>
      <c r="B26" s="125" t="s">
        <v>745</v>
      </c>
      <c r="C26" s="105">
        <v>2018</v>
      </c>
      <c r="D26" s="105" t="s">
        <v>282</v>
      </c>
      <c r="E26" s="105" t="s">
        <v>78</v>
      </c>
      <c r="F26" s="105" t="s">
        <v>553</v>
      </c>
      <c r="G26" s="105" t="s">
        <v>520</v>
      </c>
      <c r="H26" s="105" t="s">
        <v>597</v>
      </c>
      <c r="I26" s="106" t="s">
        <v>101</v>
      </c>
      <c r="J26" s="104" t="s">
        <v>676</v>
      </c>
      <c r="K26" s="104" t="s">
        <v>81</v>
      </c>
      <c r="L26" s="107" t="s">
        <v>74</v>
      </c>
      <c r="M26" s="107">
        <v>20000000</v>
      </c>
      <c r="N26" s="104">
        <v>20000000</v>
      </c>
      <c r="O26" s="104">
        <v>28482599.999999996</v>
      </c>
      <c r="P26" s="104">
        <v>20000000</v>
      </c>
      <c r="Q26" s="104">
        <v>20000000</v>
      </c>
      <c r="R26" s="104">
        <v>28482599.999999996</v>
      </c>
      <c r="S26" s="104">
        <v>20000000</v>
      </c>
      <c r="T26" s="104">
        <v>20000000</v>
      </c>
      <c r="U26" s="112">
        <v>28482599.999999996</v>
      </c>
      <c r="V26" s="107" t="s">
        <v>75</v>
      </c>
      <c r="W26" s="104" t="s">
        <v>746</v>
      </c>
      <c r="X26" s="104" t="s">
        <v>81</v>
      </c>
      <c r="Y26" s="104" t="s">
        <v>78</v>
      </c>
      <c r="Z26" s="104" t="s">
        <v>75</v>
      </c>
      <c r="AA26" s="104">
        <v>0</v>
      </c>
      <c r="AB26" s="108" t="s">
        <v>78</v>
      </c>
      <c r="AC26" s="104">
        <v>999</v>
      </c>
      <c r="AD26" s="105" t="s">
        <v>747</v>
      </c>
      <c r="AE26" s="104">
        <v>0</v>
      </c>
      <c r="AF26" s="104" t="s">
        <v>78</v>
      </c>
      <c r="AG26" s="104">
        <v>1</v>
      </c>
      <c r="AH26" s="109" t="s">
        <v>81</v>
      </c>
      <c r="AI26" s="109" t="s">
        <v>78</v>
      </c>
      <c r="AJ26" s="109" t="s">
        <v>75</v>
      </c>
      <c r="AK26" s="109" t="s">
        <v>228</v>
      </c>
      <c r="AL26" s="109" t="s">
        <v>78</v>
      </c>
      <c r="AM26" s="109" t="s">
        <v>81</v>
      </c>
      <c r="AN26" s="109" t="s">
        <v>81</v>
      </c>
      <c r="AO26" s="109" t="s">
        <v>78</v>
      </c>
      <c r="AP26" s="109" t="s">
        <v>81</v>
      </c>
      <c r="AQ26" s="109">
        <v>1</v>
      </c>
      <c r="AR26" s="109" t="s">
        <v>74</v>
      </c>
    </row>
    <row r="27" spans="1:44" ht="30.6" customHeight="1" x14ac:dyDescent="0.45">
      <c r="A27" s="104" t="s">
        <v>748</v>
      </c>
      <c r="B27" s="125" t="s">
        <v>749</v>
      </c>
      <c r="C27" s="105">
        <v>2018</v>
      </c>
      <c r="D27" s="105" t="s">
        <v>184</v>
      </c>
      <c r="E27" s="105" t="s">
        <v>78</v>
      </c>
      <c r="F27" s="105" t="s">
        <v>554</v>
      </c>
      <c r="G27" s="105" t="s">
        <v>520</v>
      </c>
      <c r="H27" s="105" t="s">
        <v>597</v>
      </c>
      <c r="I27" s="106" t="s">
        <v>101</v>
      </c>
      <c r="J27" s="104" t="s">
        <v>689</v>
      </c>
      <c r="K27" s="104" t="s">
        <v>81</v>
      </c>
      <c r="L27" s="107" t="s">
        <v>74</v>
      </c>
      <c r="M27" s="107">
        <v>11166000</v>
      </c>
      <c r="N27" s="104">
        <v>11166000</v>
      </c>
      <c r="O27" s="104">
        <v>15901835.579999998</v>
      </c>
      <c r="P27" s="104">
        <v>10000000</v>
      </c>
      <c r="Q27" s="104">
        <v>10000000</v>
      </c>
      <c r="R27" s="104">
        <v>14241299.999999998</v>
      </c>
      <c r="S27" s="104">
        <v>10000000</v>
      </c>
      <c r="T27" s="104">
        <v>10000000</v>
      </c>
      <c r="U27" s="112">
        <v>14241299.999999998</v>
      </c>
      <c r="V27" s="107" t="s">
        <v>81</v>
      </c>
      <c r="W27" s="104" t="s">
        <v>78</v>
      </c>
      <c r="X27" s="104" t="s">
        <v>81</v>
      </c>
      <c r="Y27" s="104" t="s">
        <v>78</v>
      </c>
      <c r="Z27" s="104" t="s">
        <v>81</v>
      </c>
      <c r="AA27" s="104">
        <v>0</v>
      </c>
      <c r="AB27" s="108" t="s">
        <v>78</v>
      </c>
      <c r="AC27" s="104">
        <v>0</v>
      </c>
      <c r="AD27" s="105" t="s">
        <v>78</v>
      </c>
      <c r="AE27" s="104">
        <v>0</v>
      </c>
      <c r="AF27" s="104" t="s">
        <v>78</v>
      </c>
      <c r="AG27" s="104">
        <v>0</v>
      </c>
      <c r="AH27" s="109" t="s">
        <v>81</v>
      </c>
      <c r="AI27" s="109" t="s">
        <v>78</v>
      </c>
      <c r="AJ27" s="109" t="s">
        <v>81</v>
      </c>
      <c r="AK27" s="109" t="s">
        <v>78</v>
      </c>
      <c r="AL27" s="109" t="s">
        <v>78</v>
      </c>
      <c r="AM27" s="109" t="s">
        <v>81</v>
      </c>
      <c r="AN27" s="109" t="s">
        <v>81</v>
      </c>
      <c r="AO27" s="109" t="s">
        <v>78</v>
      </c>
      <c r="AP27" s="109" t="s">
        <v>81</v>
      </c>
      <c r="AQ27" s="109">
        <v>1</v>
      </c>
      <c r="AR27" s="109" t="s">
        <v>74</v>
      </c>
    </row>
    <row r="28" spans="1:44" ht="30.6" customHeight="1" x14ac:dyDescent="0.45">
      <c r="A28" s="104" t="s">
        <v>750</v>
      </c>
      <c r="B28" s="125" t="s">
        <v>751</v>
      </c>
      <c r="C28" s="105">
        <v>2018</v>
      </c>
      <c r="D28" s="105" t="s">
        <v>184</v>
      </c>
      <c r="E28" s="105" t="s">
        <v>78</v>
      </c>
      <c r="F28" s="105" t="s">
        <v>554</v>
      </c>
      <c r="G28" s="105" t="s">
        <v>520</v>
      </c>
      <c r="H28" s="105" t="s">
        <v>574</v>
      </c>
      <c r="I28" s="106" t="s">
        <v>72</v>
      </c>
      <c r="J28" s="104" t="s">
        <v>689</v>
      </c>
      <c r="K28" s="104" t="s">
        <v>81</v>
      </c>
      <c r="L28" s="107" t="s">
        <v>126</v>
      </c>
      <c r="M28" s="107">
        <v>72000000</v>
      </c>
      <c r="N28" s="104">
        <v>50557182.279707618</v>
      </c>
      <c r="O28" s="104">
        <v>72000000</v>
      </c>
      <c r="P28" s="104">
        <v>14464558.220000001</v>
      </c>
      <c r="Q28" s="104">
        <v>14464558.220000001</v>
      </c>
      <c r="R28" s="104">
        <v>20599411.297848601</v>
      </c>
      <c r="S28" s="104">
        <v>14464558.220000001</v>
      </c>
      <c r="T28" s="104">
        <v>14464558.220000001</v>
      </c>
      <c r="U28" s="112">
        <v>20599411.297848601</v>
      </c>
      <c r="V28" s="107" t="s">
        <v>81</v>
      </c>
      <c r="W28" s="104" t="s">
        <v>78</v>
      </c>
      <c r="X28" s="104" t="s">
        <v>81</v>
      </c>
      <c r="Y28" s="104" t="s">
        <v>78</v>
      </c>
      <c r="Z28" s="104" t="s">
        <v>81</v>
      </c>
      <c r="AA28" s="104">
        <v>0</v>
      </c>
      <c r="AB28" s="108" t="s">
        <v>78</v>
      </c>
      <c r="AC28" s="104">
        <v>0</v>
      </c>
      <c r="AD28" s="105" t="s">
        <v>78</v>
      </c>
      <c r="AE28" s="104">
        <v>0</v>
      </c>
      <c r="AF28" s="104" t="s">
        <v>78</v>
      </c>
      <c r="AG28" s="104">
        <v>0</v>
      </c>
      <c r="AH28" s="109" t="s">
        <v>81</v>
      </c>
      <c r="AI28" s="109" t="s">
        <v>78</v>
      </c>
      <c r="AJ28" s="109" t="s">
        <v>81</v>
      </c>
      <c r="AK28" s="109" t="s">
        <v>78</v>
      </c>
      <c r="AL28" s="109" t="s">
        <v>78</v>
      </c>
      <c r="AM28" s="109" t="s">
        <v>81</v>
      </c>
      <c r="AN28" s="109" t="s">
        <v>81</v>
      </c>
      <c r="AO28" s="109" t="s">
        <v>78</v>
      </c>
      <c r="AP28" s="109" t="s">
        <v>81</v>
      </c>
      <c r="AQ28" s="109">
        <v>1</v>
      </c>
      <c r="AR28" s="109" t="s">
        <v>126</v>
      </c>
    </row>
    <row r="29" spans="1:44" ht="30.6" customHeight="1" x14ac:dyDescent="0.45">
      <c r="A29" s="104" t="s">
        <v>752</v>
      </c>
      <c r="B29" s="125" t="s">
        <v>753</v>
      </c>
      <c r="C29" s="105">
        <v>2018</v>
      </c>
      <c r="D29" s="105" t="s">
        <v>184</v>
      </c>
      <c r="E29" s="105" t="s">
        <v>78</v>
      </c>
      <c r="F29" s="105" t="s">
        <v>554</v>
      </c>
      <c r="G29" s="105" t="s">
        <v>520</v>
      </c>
      <c r="H29" s="105" t="s">
        <v>584</v>
      </c>
      <c r="I29" s="106" t="s">
        <v>228</v>
      </c>
      <c r="J29" s="104" t="s">
        <v>689</v>
      </c>
      <c r="K29" s="104" t="s">
        <v>81</v>
      </c>
      <c r="L29" s="107" t="s">
        <v>126</v>
      </c>
      <c r="M29" s="107">
        <v>170000000</v>
      </c>
      <c r="N29" s="104">
        <v>119371124.82708742</v>
      </c>
      <c r="O29" s="104">
        <v>170000000</v>
      </c>
      <c r="P29" s="104">
        <v>54242093.310000002</v>
      </c>
      <c r="Q29" s="104">
        <v>54242093.310000002</v>
      </c>
      <c r="R29" s="104">
        <v>77247792.345570296</v>
      </c>
      <c r="S29" s="104">
        <v>54242093.310000002</v>
      </c>
      <c r="T29" s="104">
        <v>54242093.310000002</v>
      </c>
      <c r="U29" s="112">
        <v>77247792.345570296</v>
      </c>
      <c r="V29" s="107" t="s">
        <v>75</v>
      </c>
      <c r="W29" s="104" t="s">
        <v>754</v>
      </c>
      <c r="X29" s="104" t="s">
        <v>75</v>
      </c>
      <c r="Y29" s="104" t="s">
        <v>755</v>
      </c>
      <c r="Z29" s="104" t="s">
        <v>75</v>
      </c>
      <c r="AA29" s="104">
        <v>0</v>
      </c>
      <c r="AB29" s="108" t="s">
        <v>78</v>
      </c>
      <c r="AC29" s="104">
        <v>999</v>
      </c>
      <c r="AD29" s="105" t="s">
        <v>756</v>
      </c>
      <c r="AE29" s="104">
        <v>999</v>
      </c>
      <c r="AF29" s="104" t="s">
        <v>757</v>
      </c>
      <c r="AG29" s="104">
        <v>2</v>
      </c>
      <c r="AH29" s="109" t="s">
        <v>75</v>
      </c>
      <c r="AI29" s="109" t="s">
        <v>758</v>
      </c>
      <c r="AJ29" s="109" t="s">
        <v>75</v>
      </c>
      <c r="AK29" s="109" t="s">
        <v>228</v>
      </c>
      <c r="AL29" s="109" t="s">
        <v>78</v>
      </c>
      <c r="AM29" s="109" t="s">
        <v>81</v>
      </c>
      <c r="AN29" s="109" t="s">
        <v>81</v>
      </c>
      <c r="AO29" s="109" t="s">
        <v>78</v>
      </c>
      <c r="AP29" s="109" t="s">
        <v>75</v>
      </c>
      <c r="AQ29" s="109">
        <v>1</v>
      </c>
      <c r="AR29" s="109" t="s">
        <v>126</v>
      </c>
    </row>
    <row r="30" spans="1:44" ht="30.6" customHeight="1" x14ac:dyDescent="0.45">
      <c r="A30" s="104" t="s">
        <v>759</v>
      </c>
      <c r="B30" s="125" t="s">
        <v>760</v>
      </c>
      <c r="C30" s="105">
        <v>2018</v>
      </c>
      <c r="D30" s="105" t="s">
        <v>184</v>
      </c>
      <c r="E30" s="105" t="s">
        <v>78</v>
      </c>
      <c r="F30" s="105" t="s">
        <v>554</v>
      </c>
      <c r="G30" s="105" t="s">
        <v>520</v>
      </c>
      <c r="H30" s="105" t="s">
        <v>585</v>
      </c>
      <c r="I30" s="106" t="s">
        <v>228</v>
      </c>
      <c r="J30" s="104" t="s">
        <v>689</v>
      </c>
      <c r="K30" s="104" t="s">
        <v>81</v>
      </c>
      <c r="L30" s="107" t="s">
        <v>74</v>
      </c>
      <c r="M30" s="107">
        <v>11890000</v>
      </c>
      <c r="N30" s="104">
        <v>11890000</v>
      </c>
      <c r="O30" s="104">
        <v>16932905.699999999</v>
      </c>
      <c r="P30" s="104">
        <v>11890000</v>
      </c>
      <c r="Q30" s="104">
        <v>11890000</v>
      </c>
      <c r="R30" s="104">
        <v>16932905.699999999</v>
      </c>
      <c r="S30" s="104">
        <v>11890000</v>
      </c>
      <c r="T30" s="104">
        <v>11890000</v>
      </c>
      <c r="U30" s="112">
        <v>16932905.699999999</v>
      </c>
      <c r="V30" s="107" t="s">
        <v>81</v>
      </c>
      <c r="W30" s="104" t="s">
        <v>78</v>
      </c>
      <c r="X30" s="104" t="s">
        <v>81</v>
      </c>
      <c r="Y30" s="104" t="s">
        <v>78</v>
      </c>
      <c r="Z30" s="104" t="s">
        <v>81</v>
      </c>
      <c r="AA30" s="104">
        <v>0</v>
      </c>
      <c r="AB30" s="108" t="s">
        <v>78</v>
      </c>
      <c r="AC30" s="104">
        <v>0</v>
      </c>
      <c r="AD30" s="105" t="s">
        <v>78</v>
      </c>
      <c r="AE30" s="104">
        <v>0</v>
      </c>
      <c r="AF30" s="104" t="s">
        <v>78</v>
      </c>
      <c r="AG30" s="104">
        <v>0</v>
      </c>
      <c r="AH30" s="109" t="s">
        <v>81</v>
      </c>
      <c r="AI30" s="109" t="s">
        <v>78</v>
      </c>
      <c r="AJ30" s="109" t="s">
        <v>81</v>
      </c>
      <c r="AK30" s="109" t="s">
        <v>78</v>
      </c>
      <c r="AL30" s="109" t="s">
        <v>78</v>
      </c>
      <c r="AM30" s="109" t="s">
        <v>81</v>
      </c>
      <c r="AN30" s="109" t="s">
        <v>81</v>
      </c>
      <c r="AO30" s="109" t="s">
        <v>78</v>
      </c>
      <c r="AP30" s="109" t="s">
        <v>81</v>
      </c>
      <c r="AQ30" s="109">
        <v>1</v>
      </c>
      <c r="AR30" s="109" t="s">
        <v>74</v>
      </c>
    </row>
    <row r="31" spans="1:44" ht="30.6" customHeight="1" x14ac:dyDescent="0.45">
      <c r="A31" s="104" t="s">
        <v>761</v>
      </c>
      <c r="B31" s="125" t="s">
        <v>762</v>
      </c>
      <c r="C31" s="105">
        <v>2018</v>
      </c>
      <c r="D31" s="105" t="s">
        <v>508</v>
      </c>
      <c r="E31" s="105" t="s">
        <v>78</v>
      </c>
      <c r="F31" s="105" t="s">
        <v>558</v>
      </c>
      <c r="G31" s="105" t="s">
        <v>520</v>
      </c>
      <c r="H31" s="105" t="s">
        <v>587</v>
      </c>
      <c r="I31" s="106" t="s">
        <v>256</v>
      </c>
      <c r="J31" s="104" t="s">
        <v>689</v>
      </c>
      <c r="K31" s="104" t="s">
        <v>81</v>
      </c>
      <c r="L31" s="107" t="s">
        <v>74</v>
      </c>
      <c r="M31" s="107">
        <v>188050000</v>
      </c>
      <c r="N31" s="104">
        <v>188050000</v>
      </c>
      <c r="O31" s="104">
        <v>267807646.49999997</v>
      </c>
      <c r="P31" s="104">
        <v>10000000</v>
      </c>
      <c r="Q31" s="104">
        <v>10000000</v>
      </c>
      <c r="R31" s="104">
        <v>14241299.999999998</v>
      </c>
      <c r="S31" s="104">
        <v>10000000</v>
      </c>
      <c r="T31" s="104">
        <v>10000000</v>
      </c>
      <c r="U31" s="112">
        <v>14241299.999999998</v>
      </c>
      <c r="V31" s="107" t="s">
        <v>75</v>
      </c>
      <c r="W31" s="104" t="s">
        <v>763</v>
      </c>
      <c r="X31" s="104" t="s">
        <v>81</v>
      </c>
      <c r="Y31" s="104" t="s">
        <v>78</v>
      </c>
      <c r="Z31" s="104" t="s">
        <v>75</v>
      </c>
      <c r="AA31" s="104">
        <v>999</v>
      </c>
      <c r="AB31" s="108" t="s">
        <v>764</v>
      </c>
      <c r="AC31" s="104">
        <v>999</v>
      </c>
      <c r="AD31" s="105" t="s">
        <v>765</v>
      </c>
      <c r="AE31" s="104">
        <v>0</v>
      </c>
      <c r="AF31" s="104" t="s">
        <v>78</v>
      </c>
      <c r="AG31" s="104">
        <v>3</v>
      </c>
      <c r="AH31" s="109" t="s">
        <v>81</v>
      </c>
      <c r="AI31" s="109" t="s">
        <v>78</v>
      </c>
      <c r="AJ31" s="109" t="s">
        <v>81</v>
      </c>
      <c r="AK31" s="109" t="s">
        <v>78</v>
      </c>
      <c r="AL31" s="109" t="s">
        <v>78</v>
      </c>
      <c r="AM31" s="109" t="s">
        <v>81</v>
      </c>
      <c r="AN31" s="109" t="s">
        <v>81</v>
      </c>
      <c r="AO31" s="109" t="s">
        <v>78</v>
      </c>
      <c r="AP31" s="109" t="s">
        <v>81</v>
      </c>
      <c r="AQ31" s="109">
        <v>1</v>
      </c>
      <c r="AR31" s="109" t="s">
        <v>74</v>
      </c>
    </row>
    <row r="32" spans="1:44" ht="30.6" customHeight="1" x14ac:dyDescent="0.45">
      <c r="A32" s="104" t="s">
        <v>766</v>
      </c>
      <c r="B32" s="125" t="s">
        <v>767</v>
      </c>
      <c r="C32" s="105">
        <v>2018</v>
      </c>
      <c r="D32" s="105" t="s">
        <v>155</v>
      </c>
      <c r="E32" s="105" t="s">
        <v>78</v>
      </c>
      <c r="F32" s="105" t="s">
        <v>559</v>
      </c>
      <c r="G32" s="105" t="s">
        <v>520</v>
      </c>
      <c r="H32" s="105" t="s">
        <v>596</v>
      </c>
      <c r="I32" s="106" t="s">
        <v>101</v>
      </c>
      <c r="J32" s="104" t="s">
        <v>689</v>
      </c>
      <c r="K32" s="104" t="s">
        <v>81</v>
      </c>
      <c r="L32" s="107" t="s">
        <v>74</v>
      </c>
      <c r="M32" s="107">
        <v>100000000</v>
      </c>
      <c r="N32" s="104">
        <v>100000000</v>
      </c>
      <c r="O32" s="104">
        <v>142413000</v>
      </c>
      <c r="P32" s="104">
        <v>49212598.43</v>
      </c>
      <c r="Q32" s="104">
        <v>49212598.43</v>
      </c>
      <c r="R32" s="104">
        <v>70085137.802115887</v>
      </c>
      <c r="S32" s="104">
        <v>49212598.43</v>
      </c>
      <c r="T32" s="104">
        <v>49212598.43</v>
      </c>
      <c r="U32" s="112">
        <v>70085137.802115887</v>
      </c>
      <c r="V32" s="107" t="s">
        <v>75</v>
      </c>
      <c r="W32" s="104" t="s">
        <v>768</v>
      </c>
      <c r="X32" s="104" t="s">
        <v>81</v>
      </c>
      <c r="Y32" s="104" t="s">
        <v>78</v>
      </c>
      <c r="Z32" s="104" t="s">
        <v>75</v>
      </c>
      <c r="AA32" s="104">
        <v>999</v>
      </c>
      <c r="AB32" s="108" t="s">
        <v>769</v>
      </c>
      <c r="AC32" s="104">
        <v>999</v>
      </c>
      <c r="AD32" s="105" t="s">
        <v>770</v>
      </c>
      <c r="AE32" s="104">
        <v>0</v>
      </c>
      <c r="AF32" s="104" t="s">
        <v>78</v>
      </c>
      <c r="AG32" s="104">
        <v>3</v>
      </c>
      <c r="AH32" s="109" t="s">
        <v>75</v>
      </c>
      <c r="AI32" s="109" t="s">
        <v>771</v>
      </c>
      <c r="AJ32" s="109" t="s">
        <v>81</v>
      </c>
      <c r="AK32" s="109" t="s">
        <v>78</v>
      </c>
      <c r="AL32" s="109" t="s">
        <v>78</v>
      </c>
      <c r="AM32" s="109" t="s">
        <v>81</v>
      </c>
      <c r="AN32" s="109" t="s">
        <v>81</v>
      </c>
      <c r="AO32" s="109" t="s">
        <v>78</v>
      </c>
      <c r="AP32" s="109" t="s">
        <v>81</v>
      </c>
      <c r="AQ32" s="109">
        <v>1</v>
      </c>
      <c r="AR32" s="109" t="s">
        <v>74</v>
      </c>
    </row>
    <row r="33" spans="1:44" ht="30.6" customHeight="1" x14ac:dyDescent="0.45">
      <c r="A33" s="104" t="s">
        <v>772</v>
      </c>
      <c r="B33" s="125" t="s">
        <v>773</v>
      </c>
      <c r="C33" s="105">
        <v>2018</v>
      </c>
      <c r="D33" s="105" t="s">
        <v>433</v>
      </c>
      <c r="E33" s="105" t="s">
        <v>78</v>
      </c>
      <c r="F33" s="105" t="s">
        <v>564</v>
      </c>
      <c r="G33" s="105" t="s">
        <v>520</v>
      </c>
      <c r="H33" s="105" t="s">
        <v>228</v>
      </c>
      <c r="I33" s="106" t="s">
        <v>228</v>
      </c>
      <c r="J33" s="104" t="s">
        <v>676</v>
      </c>
      <c r="K33" s="104" t="s">
        <v>81</v>
      </c>
      <c r="L33" s="107" t="s">
        <v>74</v>
      </c>
      <c r="M33" s="107">
        <v>49440000</v>
      </c>
      <c r="N33" s="104">
        <v>49440000</v>
      </c>
      <c r="O33" s="104">
        <v>70408987.199999988</v>
      </c>
      <c r="P33" s="104">
        <v>20995000</v>
      </c>
      <c r="Q33" s="104">
        <v>20995000</v>
      </c>
      <c r="R33" s="104">
        <v>29899609.349999998</v>
      </c>
      <c r="S33" s="104">
        <v>20995000</v>
      </c>
      <c r="T33" s="104">
        <v>20995000</v>
      </c>
      <c r="U33" s="112">
        <v>29899609.349999998</v>
      </c>
      <c r="V33" s="107" t="s">
        <v>75</v>
      </c>
      <c r="W33" s="104" t="s">
        <v>774</v>
      </c>
      <c r="X33" s="104" t="s">
        <v>75</v>
      </c>
      <c r="Y33" s="104" t="s">
        <v>775</v>
      </c>
      <c r="Z33" s="104" t="s">
        <v>75</v>
      </c>
      <c r="AA33" s="104">
        <v>999</v>
      </c>
      <c r="AB33" s="108" t="s">
        <v>776</v>
      </c>
      <c r="AC33" s="104">
        <v>999</v>
      </c>
      <c r="AD33" s="105" t="s">
        <v>777</v>
      </c>
      <c r="AE33" s="104">
        <v>0</v>
      </c>
      <c r="AF33" s="104" t="s">
        <v>78</v>
      </c>
      <c r="AG33" s="104">
        <v>2</v>
      </c>
      <c r="AH33" s="109" t="s">
        <v>81</v>
      </c>
      <c r="AI33" s="109" t="s">
        <v>78</v>
      </c>
      <c r="AJ33" s="109" t="s">
        <v>75</v>
      </c>
      <c r="AK33" s="109" t="s">
        <v>228</v>
      </c>
      <c r="AL33" s="109" t="s">
        <v>78</v>
      </c>
      <c r="AM33" s="109" t="s">
        <v>81</v>
      </c>
      <c r="AN33" s="109" t="s">
        <v>81</v>
      </c>
      <c r="AO33" s="109" t="s">
        <v>78</v>
      </c>
      <c r="AP33" s="109" t="s">
        <v>75</v>
      </c>
      <c r="AQ33" s="109">
        <v>1</v>
      </c>
      <c r="AR33" s="109" t="s">
        <v>74</v>
      </c>
    </row>
    <row r="34" spans="1:44" ht="30.6" customHeight="1" x14ac:dyDescent="0.45">
      <c r="A34" s="104" t="s">
        <v>778</v>
      </c>
      <c r="B34" s="125" t="s">
        <v>779</v>
      </c>
      <c r="C34" s="105">
        <v>2018</v>
      </c>
      <c r="D34" s="105" t="s">
        <v>151</v>
      </c>
      <c r="E34" s="105" t="s">
        <v>78</v>
      </c>
      <c r="F34" s="105" t="s">
        <v>546</v>
      </c>
      <c r="G34" s="105" t="s">
        <v>518</v>
      </c>
      <c r="H34" s="105" t="s">
        <v>596</v>
      </c>
      <c r="I34" s="106" t="s">
        <v>101</v>
      </c>
      <c r="J34" s="104" t="s">
        <v>689</v>
      </c>
      <c r="K34" s="104" t="s">
        <v>81</v>
      </c>
      <c r="L34" s="107" t="s">
        <v>74</v>
      </c>
      <c r="M34" s="107">
        <v>410000</v>
      </c>
      <c r="N34" s="104">
        <v>410000</v>
      </c>
      <c r="O34" s="104">
        <v>583893.29999999993</v>
      </c>
      <c r="P34" s="104">
        <v>410000</v>
      </c>
      <c r="Q34" s="104">
        <v>410000</v>
      </c>
      <c r="R34" s="104">
        <v>583893.29999999993</v>
      </c>
      <c r="S34" s="104">
        <v>410000</v>
      </c>
      <c r="T34" s="104">
        <v>410000</v>
      </c>
      <c r="U34" s="112">
        <v>583893.29999999993</v>
      </c>
      <c r="V34" s="107" t="s">
        <v>81</v>
      </c>
      <c r="W34" s="104" t="s">
        <v>78</v>
      </c>
      <c r="X34" s="104" t="s">
        <v>81</v>
      </c>
      <c r="Y34" s="104" t="s">
        <v>78</v>
      </c>
      <c r="Z34" s="104" t="s">
        <v>81</v>
      </c>
      <c r="AA34" s="104">
        <v>0</v>
      </c>
      <c r="AB34" s="108" t="s">
        <v>78</v>
      </c>
      <c r="AC34" s="104">
        <v>0</v>
      </c>
      <c r="AD34" s="105" t="s">
        <v>78</v>
      </c>
      <c r="AE34" s="104">
        <v>0</v>
      </c>
      <c r="AF34" s="104" t="s">
        <v>78</v>
      </c>
      <c r="AG34" s="104">
        <v>0</v>
      </c>
      <c r="AH34" s="109" t="s">
        <v>81</v>
      </c>
      <c r="AI34" s="109" t="s">
        <v>78</v>
      </c>
      <c r="AJ34" s="109" t="s">
        <v>81</v>
      </c>
      <c r="AK34" s="109" t="s">
        <v>78</v>
      </c>
      <c r="AL34" s="109" t="s">
        <v>78</v>
      </c>
      <c r="AM34" s="109" t="s">
        <v>81</v>
      </c>
      <c r="AN34" s="109" t="s">
        <v>81</v>
      </c>
      <c r="AO34" s="109" t="s">
        <v>78</v>
      </c>
      <c r="AP34" s="109" t="s">
        <v>81</v>
      </c>
      <c r="AQ34" s="109">
        <v>1</v>
      </c>
      <c r="AR34" s="109" t="s">
        <v>74</v>
      </c>
    </row>
    <row r="35" spans="1:44" ht="30.6" customHeight="1" x14ac:dyDescent="0.45">
      <c r="A35" s="104" t="s">
        <v>780</v>
      </c>
      <c r="B35" s="125" t="s">
        <v>781</v>
      </c>
      <c r="C35" s="105">
        <v>2018</v>
      </c>
      <c r="D35" s="105" t="s">
        <v>113</v>
      </c>
      <c r="E35" s="105" t="s">
        <v>78</v>
      </c>
      <c r="F35" s="105" t="s">
        <v>565</v>
      </c>
      <c r="G35" s="105" t="s">
        <v>518</v>
      </c>
      <c r="H35" s="105" t="s">
        <v>466</v>
      </c>
      <c r="I35" s="106" t="s">
        <v>466</v>
      </c>
      <c r="J35" s="104" t="s">
        <v>689</v>
      </c>
      <c r="K35" s="104" t="s">
        <v>81</v>
      </c>
      <c r="L35" s="107" t="s">
        <v>104</v>
      </c>
      <c r="M35" s="107">
        <v>144000000</v>
      </c>
      <c r="N35" s="104">
        <v>121263157.89473684</v>
      </c>
      <c r="O35" s="104">
        <v>172694501.05263156</v>
      </c>
      <c r="P35" s="104">
        <v>59055118.109999999</v>
      </c>
      <c r="Q35" s="104">
        <v>59055118.109999999</v>
      </c>
      <c r="R35" s="104">
        <v>84102165.353994295</v>
      </c>
      <c r="S35" s="104">
        <v>59055118.109999999</v>
      </c>
      <c r="T35" s="104">
        <v>59055118.109999999</v>
      </c>
      <c r="U35" s="112">
        <v>84102165.353994295</v>
      </c>
      <c r="V35" s="107" t="s">
        <v>81</v>
      </c>
      <c r="W35" s="104" t="s">
        <v>78</v>
      </c>
      <c r="X35" s="104" t="s">
        <v>81</v>
      </c>
      <c r="Y35" s="104" t="s">
        <v>78</v>
      </c>
      <c r="Z35" s="104" t="s">
        <v>81</v>
      </c>
      <c r="AA35" s="104">
        <v>0</v>
      </c>
      <c r="AB35" s="108" t="s">
        <v>78</v>
      </c>
      <c r="AC35" s="104">
        <v>0</v>
      </c>
      <c r="AD35" s="105" t="s">
        <v>78</v>
      </c>
      <c r="AE35" s="104">
        <v>0</v>
      </c>
      <c r="AF35" s="104" t="s">
        <v>78</v>
      </c>
      <c r="AG35" s="104">
        <v>0</v>
      </c>
      <c r="AH35" s="109" t="s">
        <v>81</v>
      </c>
      <c r="AI35" s="109" t="s">
        <v>78</v>
      </c>
      <c r="AJ35" s="109" t="s">
        <v>81</v>
      </c>
      <c r="AK35" s="109" t="s">
        <v>78</v>
      </c>
      <c r="AL35" s="109" t="s">
        <v>78</v>
      </c>
      <c r="AM35" s="109" t="s">
        <v>81</v>
      </c>
      <c r="AN35" s="109" t="s">
        <v>81</v>
      </c>
      <c r="AO35" s="109" t="s">
        <v>78</v>
      </c>
      <c r="AP35" s="109" t="s">
        <v>81</v>
      </c>
      <c r="AQ35" s="109">
        <v>1</v>
      </c>
      <c r="AR35" s="109" t="s">
        <v>104</v>
      </c>
    </row>
    <row r="36" spans="1:44" ht="30.6" customHeight="1" x14ac:dyDescent="0.45">
      <c r="A36" s="104" t="s">
        <v>782</v>
      </c>
      <c r="B36" s="125" t="s">
        <v>783</v>
      </c>
      <c r="C36" s="105">
        <v>2018</v>
      </c>
      <c r="D36" s="105" t="s">
        <v>113</v>
      </c>
      <c r="E36" s="105" t="s">
        <v>78</v>
      </c>
      <c r="F36" s="105" t="s">
        <v>565</v>
      </c>
      <c r="G36" s="105" t="s">
        <v>518</v>
      </c>
      <c r="H36" s="105" t="s">
        <v>466</v>
      </c>
      <c r="I36" s="106" t="s">
        <v>466</v>
      </c>
      <c r="J36" s="104" t="s">
        <v>689</v>
      </c>
      <c r="K36" s="104" t="s">
        <v>81</v>
      </c>
      <c r="L36" s="107" t="s">
        <v>126</v>
      </c>
      <c r="M36" s="107">
        <v>1000000</v>
      </c>
      <c r="N36" s="104">
        <v>702183.08721816132</v>
      </c>
      <c r="O36" s="104">
        <v>1000000</v>
      </c>
      <c r="P36" s="104">
        <v>723227.91</v>
      </c>
      <c r="Q36" s="104">
        <v>723227.91</v>
      </c>
      <c r="R36" s="104">
        <v>1029970.5634682999</v>
      </c>
      <c r="S36" s="104">
        <v>723227.91</v>
      </c>
      <c r="T36" s="104">
        <v>723227.91</v>
      </c>
      <c r="U36" s="112">
        <v>1029970.5634682999</v>
      </c>
      <c r="V36" s="107" t="s">
        <v>81</v>
      </c>
      <c r="W36" s="104" t="s">
        <v>78</v>
      </c>
      <c r="X36" s="104" t="s">
        <v>81</v>
      </c>
      <c r="Y36" s="104" t="s">
        <v>78</v>
      </c>
      <c r="Z36" s="104" t="s">
        <v>81</v>
      </c>
      <c r="AA36" s="104">
        <v>0</v>
      </c>
      <c r="AB36" s="108" t="s">
        <v>78</v>
      </c>
      <c r="AC36" s="104">
        <v>0</v>
      </c>
      <c r="AD36" s="105" t="s">
        <v>78</v>
      </c>
      <c r="AE36" s="104">
        <v>0</v>
      </c>
      <c r="AF36" s="104" t="s">
        <v>78</v>
      </c>
      <c r="AG36" s="104">
        <v>0</v>
      </c>
      <c r="AH36" s="109" t="s">
        <v>81</v>
      </c>
      <c r="AI36" s="109" t="s">
        <v>78</v>
      </c>
      <c r="AJ36" s="109" t="s">
        <v>81</v>
      </c>
      <c r="AK36" s="109" t="s">
        <v>78</v>
      </c>
      <c r="AL36" s="109" t="s">
        <v>78</v>
      </c>
      <c r="AM36" s="109" t="s">
        <v>81</v>
      </c>
      <c r="AN36" s="109" t="s">
        <v>81</v>
      </c>
      <c r="AO36" s="109" t="s">
        <v>78</v>
      </c>
      <c r="AP36" s="109" t="s">
        <v>81</v>
      </c>
      <c r="AQ36" s="109">
        <v>1</v>
      </c>
      <c r="AR36" s="109" t="s">
        <v>126</v>
      </c>
    </row>
    <row r="37" spans="1:44" ht="30.6" customHeight="1" x14ac:dyDescent="0.45">
      <c r="A37" s="104" t="s">
        <v>784</v>
      </c>
      <c r="B37" s="125" t="s">
        <v>785</v>
      </c>
      <c r="C37" s="105">
        <v>2018</v>
      </c>
      <c r="D37" s="105" t="s">
        <v>254</v>
      </c>
      <c r="E37" s="105" t="s">
        <v>78</v>
      </c>
      <c r="F37" s="105" t="s">
        <v>555</v>
      </c>
      <c r="G37" s="105" t="s">
        <v>522</v>
      </c>
      <c r="H37" s="105" t="s">
        <v>587</v>
      </c>
      <c r="I37" s="106" t="s">
        <v>256</v>
      </c>
      <c r="J37" s="104" t="s">
        <v>689</v>
      </c>
      <c r="K37" s="104" t="s">
        <v>81</v>
      </c>
      <c r="L37" s="107" t="s">
        <v>104</v>
      </c>
      <c r="M37" s="107">
        <v>135717000</v>
      </c>
      <c r="N37" s="104">
        <v>114288000</v>
      </c>
      <c r="O37" s="104">
        <v>162760969.44</v>
      </c>
      <c r="P37" s="104">
        <v>94378280.840000004</v>
      </c>
      <c r="Q37" s="104">
        <v>94378280.840000004</v>
      </c>
      <c r="R37" s="104">
        <v>134406941.09266919</v>
      </c>
      <c r="S37" s="104">
        <v>93722112.859999999</v>
      </c>
      <c r="T37" s="104">
        <v>93722112.859999999</v>
      </c>
      <c r="U37" s="112">
        <v>133472472.58731179</v>
      </c>
      <c r="V37" s="107" t="s">
        <v>75</v>
      </c>
      <c r="W37" s="104" t="s">
        <v>78</v>
      </c>
      <c r="X37" s="104" t="s">
        <v>81</v>
      </c>
      <c r="Y37" s="104" t="s">
        <v>78</v>
      </c>
      <c r="Z37" s="104" t="s">
        <v>75</v>
      </c>
      <c r="AA37" s="104">
        <v>0</v>
      </c>
      <c r="AB37" s="108" t="s">
        <v>78</v>
      </c>
      <c r="AC37" s="104">
        <v>999</v>
      </c>
      <c r="AD37" s="105" t="s">
        <v>786</v>
      </c>
      <c r="AE37" s="104">
        <v>0</v>
      </c>
      <c r="AF37" s="104" t="s">
        <v>78</v>
      </c>
      <c r="AG37" s="104">
        <v>2</v>
      </c>
      <c r="AH37" s="109" t="s">
        <v>75</v>
      </c>
      <c r="AI37" s="109" t="s">
        <v>787</v>
      </c>
      <c r="AJ37" s="109" t="s">
        <v>81</v>
      </c>
      <c r="AK37" s="109" t="s">
        <v>78</v>
      </c>
      <c r="AL37" s="109" t="s">
        <v>78</v>
      </c>
      <c r="AM37" s="109" t="s">
        <v>81</v>
      </c>
      <c r="AN37" s="109" t="s">
        <v>81</v>
      </c>
      <c r="AO37" s="109" t="s">
        <v>78</v>
      </c>
      <c r="AP37" s="109" t="s">
        <v>81</v>
      </c>
      <c r="AQ37" s="109">
        <v>1</v>
      </c>
      <c r="AR37" s="109" t="s">
        <v>104</v>
      </c>
    </row>
    <row r="38" spans="1:44" ht="30.6" customHeight="1" x14ac:dyDescent="0.45">
      <c r="A38" s="104" t="s">
        <v>788</v>
      </c>
      <c r="B38" s="125" t="s">
        <v>789</v>
      </c>
      <c r="C38" s="105">
        <v>2018</v>
      </c>
      <c r="D38" s="105" t="s">
        <v>509</v>
      </c>
      <c r="E38" s="105" t="s">
        <v>78</v>
      </c>
      <c r="F38" s="105" t="s">
        <v>560</v>
      </c>
      <c r="G38" s="105" t="s">
        <v>522</v>
      </c>
      <c r="H38" s="105" t="s">
        <v>580</v>
      </c>
      <c r="I38" s="106" t="s">
        <v>115</v>
      </c>
      <c r="J38" s="104" t="s">
        <v>689</v>
      </c>
      <c r="K38" s="104" t="s">
        <v>81</v>
      </c>
      <c r="L38" s="107" t="s">
        <v>126</v>
      </c>
      <c r="M38" s="107">
        <v>1000000</v>
      </c>
      <c r="N38" s="104">
        <v>702183.08721816132</v>
      </c>
      <c r="O38" s="104">
        <v>1000000</v>
      </c>
      <c r="P38" s="104">
        <v>723227.91</v>
      </c>
      <c r="Q38" s="104">
        <v>723227.91</v>
      </c>
      <c r="R38" s="104">
        <v>1029970.5634682999</v>
      </c>
      <c r="S38" s="104">
        <v>723227.91</v>
      </c>
      <c r="T38" s="104">
        <v>723227.91</v>
      </c>
      <c r="U38" s="112">
        <v>1029970.5634682999</v>
      </c>
      <c r="V38" s="107" t="s">
        <v>75</v>
      </c>
      <c r="W38" s="104" t="s">
        <v>790</v>
      </c>
      <c r="X38" s="104" t="s">
        <v>75</v>
      </c>
      <c r="Y38" s="104" t="s">
        <v>791</v>
      </c>
      <c r="Z38" s="104" t="s">
        <v>75</v>
      </c>
      <c r="AA38" s="104">
        <v>0</v>
      </c>
      <c r="AB38" s="108" t="s">
        <v>78</v>
      </c>
      <c r="AC38" s="104">
        <v>999</v>
      </c>
      <c r="AD38" s="105" t="s">
        <v>792</v>
      </c>
      <c r="AE38" s="104">
        <v>999</v>
      </c>
      <c r="AF38" s="104" t="s">
        <v>793</v>
      </c>
      <c r="AG38" s="104">
        <v>3</v>
      </c>
      <c r="AH38" s="109" t="s">
        <v>75</v>
      </c>
      <c r="AI38" s="109" t="s">
        <v>794</v>
      </c>
      <c r="AJ38" s="109" t="s">
        <v>75</v>
      </c>
      <c r="AK38" s="109" t="s">
        <v>795</v>
      </c>
      <c r="AL38" s="109" t="s">
        <v>796</v>
      </c>
      <c r="AM38" s="109" t="s">
        <v>81</v>
      </c>
      <c r="AN38" s="109" t="s">
        <v>81</v>
      </c>
      <c r="AO38" s="109" t="s">
        <v>78</v>
      </c>
      <c r="AP38" s="109" t="s">
        <v>75</v>
      </c>
      <c r="AQ38" s="109">
        <v>1</v>
      </c>
      <c r="AR38" s="109" t="s">
        <v>126</v>
      </c>
    </row>
    <row r="39" spans="1:44" ht="30.6" customHeight="1" x14ac:dyDescent="0.45">
      <c r="A39" s="104" t="s">
        <v>797</v>
      </c>
      <c r="B39" s="125" t="s">
        <v>798</v>
      </c>
      <c r="C39" s="105">
        <v>2018</v>
      </c>
      <c r="D39" s="105" t="s">
        <v>314</v>
      </c>
      <c r="E39" s="105" t="s">
        <v>78</v>
      </c>
      <c r="F39" s="105" t="s">
        <v>557</v>
      </c>
      <c r="G39" s="105" t="s">
        <v>522</v>
      </c>
      <c r="H39" s="105" t="s">
        <v>585</v>
      </c>
      <c r="I39" s="106" t="s">
        <v>228</v>
      </c>
      <c r="J39" s="104" t="s">
        <v>676</v>
      </c>
      <c r="K39" s="104" t="s">
        <v>81</v>
      </c>
      <c r="L39" s="107" t="s">
        <v>74</v>
      </c>
      <c r="M39" s="107">
        <v>32743103</v>
      </c>
      <c r="N39" s="104">
        <v>32743103</v>
      </c>
      <c r="O39" s="104">
        <v>46630435.275389999</v>
      </c>
      <c r="P39" s="104">
        <v>28950000</v>
      </c>
      <c r="Q39" s="104">
        <v>28950000</v>
      </c>
      <c r="R39" s="104">
        <v>41228563.5</v>
      </c>
      <c r="S39" s="104">
        <v>28950000</v>
      </c>
      <c r="T39" s="104">
        <v>28950000</v>
      </c>
      <c r="U39" s="112">
        <v>41228563.5</v>
      </c>
      <c r="V39" s="107" t="s">
        <v>75</v>
      </c>
      <c r="W39" s="104" t="s">
        <v>799</v>
      </c>
      <c r="X39" s="104" t="s">
        <v>81</v>
      </c>
      <c r="Y39" s="104" t="s">
        <v>78</v>
      </c>
      <c r="Z39" s="104" t="s">
        <v>81</v>
      </c>
      <c r="AA39" s="104">
        <v>0</v>
      </c>
      <c r="AB39" s="108" t="s">
        <v>78</v>
      </c>
      <c r="AC39" s="104">
        <v>0</v>
      </c>
      <c r="AD39" s="105" t="s">
        <v>78</v>
      </c>
      <c r="AE39" s="104">
        <v>0</v>
      </c>
      <c r="AF39" s="104" t="s">
        <v>78</v>
      </c>
      <c r="AG39" s="104">
        <v>0</v>
      </c>
      <c r="AH39" s="109" t="s">
        <v>81</v>
      </c>
      <c r="AI39" s="109" t="s">
        <v>78</v>
      </c>
      <c r="AJ39" s="109" t="s">
        <v>81</v>
      </c>
      <c r="AK39" s="109" t="s">
        <v>78</v>
      </c>
      <c r="AL39" s="109" t="s">
        <v>78</v>
      </c>
      <c r="AM39" s="109" t="s">
        <v>81</v>
      </c>
      <c r="AN39" s="109" t="s">
        <v>81</v>
      </c>
      <c r="AO39" s="109" t="s">
        <v>78</v>
      </c>
      <c r="AP39" s="109" t="s">
        <v>81</v>
      </c>
      <c r="AQ39" s="109">
        <v>1</v>
      </c>
      <c r="AR39" s="109" t="s">
        <v>74</v>
      </c>
    </row>
    <row r="40" spans="1:44" ht="30.6" customHeight="1" x14ac:dyDescent="0.45">
      <c r="A40" s="104" t="s">
        <v>800</v>
      </c>
      <c r="B40" s="125" t="s">
        <v>801</v>
      </c>
      <c r="C40" s="105">
        <v>2018</v>
      </c>
      <c r="D40" s="105" t="s">
        <v>314</v>
      </c>
      <c r="E40" s="105" t="s">
        <v>78</v>
      </c>
      <c r="F40" s="105" t="s">
        <v>557</v>
      </c>
      <c r="G40" s="105" t="s">
        <v>522</v>
      </c>
      <c r="H40" s="105" t="s">
        <v>115</v>
      </c>
      <c r="I40" s="106" t="s">
        <v>115</v>
      </c>
      <c r="J40" s="104" t="s">
        <v>689</v>
      </c>
      <c r="K40" s="104" t="s">
        <v>81</v>
      </c>
      <c r="L40" s="107" t="s">
        <v>126</v>
      </c>
      <c r="M40" s="107">
        <v>1000000</v>
      </c>
      <c r="N40" s="104">
        <v>702183.08721816132</v>
      </c>
      <c r="O40" s="104">
        <v>1000000</v>
      </c>
      <c r="P40" s="104">
        <v>723227.91</v>
      </c>
      <c r="Q40" s="104">
        <v>723227.91</v>
      </c>
      <c r="R40" s="104">
        <v>1029970.5634682999</v>
      </c>
      <c r="S40" s="104">
        <v>723227.91</v>
      </c>
      <c r="T40" s="104">
        <v>723227.91</v>
      </c>
      <c r="U40" s="112">
        <v>1029970.5634682999</v>
      </c>
      <c r="V40" s="107" t="s">
        <v>75</v>
      </c>
      <c r="W40" s="104" t="s">
        <v>802</v>
      </c>
      <c r="X40" s="104" t="s">
        <v>81</v>
      </c>
      <c r="Y40" s="104" t="s">
        <v>78</v>
      </c>
      <c r="Z40" s="104" t="s">
        <v>75</v>
      </c>
      <c r="AA40" s="104">
        <v>0</v>
      </c>
      <c r="AB40" s="108" t="s">
        <v>78</v>
      </c>
      <c r="AC40" s="104">
        <v>999</v>
      </c>
      <c r="AD40" s="105" t="s">
        <v>803</v>
      </c>
      <c r="AE40" s="104">
        <v>999</v>
      </c>
      <c r="AF40" s="104" t="s">
        <v>804</v>
      </c>
      <c r="AG40" s="104">
        <v>2</v>
      </c>
      <c r="AH40" s="109" t="s">
        <v>81</v>
      </c>
      <c r="AI40" s="109" t="s">
        <v>78</v>
      </c>
      <c r="AJ40" s="109" t="s">
        <v>81</v>
      </c>
      <c r="AK40" s="109" t="s">
        <v>78</v>
      </c>
      <c r="AL40" s="109" t="s">
        <v>78</v>
      </c>
      <c r="AM40" s="109" t="s">
        <v>81</v>
      </c>
      <c r="AN40" s="109" t="s">
        <v>81</v>
      </c>
      <c r="AO40" s="109" t="s">
        <v>78</v>
      </c>
      <c r="AP40" s="109" t="s">
        <v>81</v>
      </c>
      <c r="AQ40" s="109">
        <v>1</v>
      </c>
      <c r="AR40" s="109" t="s">
        <v>126</v>
      </c>
    </row>
    <row r="41" spans="1:44" ht="30.6" customHeight="1" x14ac:dyDescent="0.45">
      <c r="A41" s="104" t="s">
        <v>805</v>
      </c>
      <c r="B41" s="125" t="s">
        <v>806</v>
      </c>
      <c r="C41" s="105">
        <v>2018</v>
      </c>
      <c r="D41" s="105" t="s">
        <v>297</v>
      </c>
      <c r="E41" s="105" t="s">
        <v>78</v>
      </c>
      <c r="F41" s="105" t="s">
        <v>566</v>
      </c>
      <c r="G41" s="105" t="s">
        <v>522</v>
      </c>
      <c r="H41" s="105" t="s">
        <v>228</v>
      </c>
      <c r="I41" s="106" t="s">
        <v>228</v>
      </c>
      <c r="J41" s="104" t="s">
        <v>676</v>
      </c>
      <c r="K41" s="104" t="s">
        <v>81</v>
      </c>
      <c r="L41" s="107" t="s">
        <v>74</v>
      </c>
      <c r="M41" s="107">
        <v>35000000</v>
      </c>
      <c r="N41" s="104">
        <v>35000000</v>
      </c>
      <c r="O41" s="104">
        <v>49844550</v>
      </c>
      <c r="P41" s="104">
        <v>23664558.219999999</v>
      </c>
      <c r="Q41" s="104">
        <v>23664558.219999999</v>
      </c>
      <c r="R41" s="104">
        <v>33701407.297848597</v>
      </c>
      <c r="S41" s="104">
        <v>9200000</v>
      </c>
      <c r="T41" s="104">
        <v>9200000</v>
      </c>
      <c r="U41" s="112">
        <v>13101995.999999998</v>
      </c>
      <c r="V41" s="107" t="s">
        <v>75</v>
      </c>
      <c r="W41" s="104" t="s">
        <v>807</v>
      </c>
      <c r="X41" s="104" t="s">
        <v>75</v>
      </c>
      <c r="Y41" s="104" t="s">
        <v>808</v>
      </c>
      <c r="Z41" s="104" t="s">
        <v>75</v>
      </c>
      <c r="AA41" s="104">
        <v>999</v>
      </c>
      <c r="AB41" s="108" t="s">
        <v>809</v>
      </c>
      <c r="AC41" s="104">
        <v>999</v>
      </c>
      <c r="AD41" s="105" t="s">
        <v>810</v>
      </c>
      <c r="AE41" s="104">
        <v>999</v>
      </c>
      <c r="AF41" s="104" t="s">
        <v>811</v>
      </c>
      <c r="AG41" s="104">
        <v>5</v>
      </c>
      <c r="AH41" s="109" t="s">
        <v>81</v>
      </c>
      <c r="AI41" s="109" t="s">
        <v>78</v>
      </c>
      <c r="AJ41" s="109" t="s">
        <v>81</v>
      </c>
      <c r="AK41" s="109" t="s">
        <v>78</v>
      </c>
      <c r="AL41" s="109" t="s">
        <v>78</v>
      </c>
      <c r="AM41" s="109" t="s">
        <v>81</v>
      </c>
      <c r="AN41" s="109" t="s">
        <v>81</v>
      </c>
      <c r="AO41" s="109" t="s">
        <v>78</v>
      </c>
      <c r="AP41" s="109" t="s">
        <v>75</v>
      </c>
      <c r="AQ41" s="109">
        <v>1</v>
      </c>
      <c r="AR41" s="109" t="s">
        <v>74</v>
      </c>
    </row>
    <row r="42" spans="1:44" ht="30.6" customHeight="1" x14ac:dyDescent="0.45">
      <c r="A42" s="104" t="s">
        <v>812</v>
      </c>
      <c r="B42" s="125" t="s">
        <v>813</v>
      </c>
      <c r="C42" s="105">
        <v>2018</v>
      </c>
      <c r="D42" s="105" t="s">
        <v>297</v>
      </c>
      <c r="E42" s="105" t="s">
        <v>78</v>
      </c>
      <c r="F42" s="105" t="s">
        <v>566</v>
      </c>
      <c r="G42" s="105" t="s">
        <v>522</v>
      </c>
      <c r="H42" s="105" t="s">
        <v>597</v>
      </c>
      <c r="I42" s="106" t="s">
        <v>101</v>
      </c>
      <c r="J42" s="104" t="s">
        <v>676</v>
      </c>
      <c r="K42" s="104" t="s">
        <v>81</v>
      </c>
      <c r="L42" s="107" t="s">
        <v>74</v>
      </c>
      <c r="M42" s="107">
        <v>40000000</v>
      </c>
      <c r="N42" s="104">
        <v>40000000</v>
      </c>
      <c r="O42" s="104">
        <v>56965199.999999993</v>
      </c>
      <c r="P42" s="104">
        <v>40000000</v>
      </c>
      <c r="Q42" s="104">
        <v>40000000</v>
      </c>
      <c r="R42" s="104">
        <v>56965199.999999993</v>
      </c>
      <c r="S42" s="104">
        <v>40000000</v>
      </c>
      <c r="T42" s="104">
        <v>40000000</v>
      </c>
      <c r="U42" s="112">
        <v>56965199.999999993</v>
      </c>
      <c r="V42" s="107" t="s">
        <v>81</v>
      </c>
      <c r="W42" s="104" t="s">
        <v>78</v>
      </c>
      <c r="X42" s="104" t="s">
        <v>81</v>
      </c>
      <c r="Y42" s="104" t="s">
        <v>78</v>
      </c>
      <c r="Z42" s="104" t="s">
        <v>81</v>
      </c>
      <c r="AA42" s="104">
        <v>0</v>
      </c>
      <c r="AB42" s="108" t="s">
        <v>78</v>
      </c>
      <c r="AC42" s="104">
        <v>0</v>
      </c>
      <c r="AD42" s="105" t="s">
        <v>78</v>
      </c>
      <c r="AE42" s="104">
        <v>0</v>
      </c>
      <c r="AF42" s="104" t="s">
        <v>78</v>
      </c>
      <c r="AG42" s="104">
        <v>0</v>
      </c>
      <c r="AH42" s="109" t="s">
        <v>81</v>
      </c>
      <c r="AI42" s="109" t="s">
        <v>78</v>
      </c>
      <c r="AJ42" s="109" t="s">
        <v>81</v>
      </c>
      <c r="AK42" s="109" t="s">
        <v>78</v>
      </c>
      <c r="AL42" s="109" t="s">
        <v>78</v>
      </c>
      <c r="AM42" s="109" t="s">
        <v>81</v>
      </c>
      <c r="AN42" s="109" t="s">
        <v>81</v>
      </c>
      <c r="AO42" s="109" t="s">
        <v>78</v>
      </c>
      <c r="AP42" s="109" t="s">
        <v>81</v>
      </c>
      <c r="AQ42" s="109">
        <v>1</v>
      </c>
      <c r="AR42" s="109" t="s">
        <v>74</v>
      </c>
    </row>
    <row r="43" spans="1:44" ht="30.6" customHeight="1" x14ac:dyDescent="0.45">
      <c r="A43" s="104" t="s">
        <v>814</v>
      </c>
      <c r="B43" s="125" t="s">
        <v>815</v>
      </c>
      <c r="C43" s="105">
        <v>2018</v>
      </c>
      <c r="D43" s="105" t="s">
        <v>514</v>
      </c>
      <c r="E43" s="105" t="s">
        <v>78</v>
      </c>
      <c r="F43" s="105" t="s">
        <v>567</v>
      </c>
      <c r="G43" s="105" t="s">
        <v>522</v>
      </c>
      <c r="H43" s="105" t="s">
        <v>587</v>
      </c>
      <c r="I43" s="106" t="s">
        <v>256</v>
      </c>
      <c r="J43" s="104" t="s">
        <v>676</v>
      </c>
      <c r="K43" s="104" t="s">
        <v>81</v>
      </c>
      <c r="L43" s="107" t="s">
        <v>74</v>
      </c>
      <c r="M43" s="107">
        <v>48900000</v>
      </c>
      <c r="N43" s="104">
        <v>48900000</v>
      </c>
      <c r="O43" s="104">
        <v>69639957</v>
      </c>
      <c r="P43" s="104">
        <v>44000000</v>
      </c>
      <c r="Q43" s="104">
        <v>44000000</v>
      </c>
      <c r="R43" s="104">
        <v>62661719.999999993</v>
      </c>
      <c r="S43" s="104">
        <v>44000000</v>
      </c>
      <c r="T43" s="104">
        <v>44000000</v>
      </c>
      <c r="U43" s="112">
        <v>62661719.999999993</v>
      </c>
      <c r="V43" s="107" t="s">
        <v>75</v>
      </c>
      <c r="W43" s="104" t="s">
        <v>816</v>
      </c>
      <c r="X43" s="104" t="s">
        <v>81</v>
      </c>
      <c r="Y43" s="104" t="s">
        <v>78</v>
      </c>
      <c r="Z43" s="104" t="s">
        <v>75</v>
      </c>
      <c r="AA43" s="104">
        <v>999</v>
      </c>
      <c r="AB43" s="108" t="s">
        <v>817</v>
      </c>
      <c r="AC43" s="104">
        <v>999</v>
      </c>
      <c r="AD43" s="105" t="s">
        <v>818</v>
      </c>
      <c r="AE43" s="104">
        <v>0</v>
      </c>
      <c r="AF43" s="104" t="s">
        <v>78</v>
      </c>
      <c r="AG43" s="104">
        <v>3</v>
      </c>
      <c r="AH43" s="109" t="s">
        <v>81</v>
      </c>
      <c r="AI43" s="109" t="s">
        <v>78</v>
      </c>
      <c r="AJ43" s="109" t="s">
        <v>75</v>
      </c>
      <c r="AK43" s="109" t="s">
        <v>256</v>
      </c>
      <c r="AL43" s="109" t="s">
        <v>796</v>
      </c>
      <c r="AM43" s="109" t="s">
        <v>81</v>
      </c>
      <c r="AN43" s="109" t="s">
        <v>81</v>
      </c>
      <c r="AO43" s="109" t="s">
        <v>78</v>
      </c>
      <c r="AP43" s="109" t="s">
        <v>81</v>
      </c>
      <c r="AQ43" s="109">
        <v>1</v>
      </c>
      <c r="AR43" s="109" t="s">
        <v>74</v>
      </c>
    </row>
    <row r="44" spans="1:44" ht="30.6" customHeight="1" x14ac:dyDescent="0.45">
      <c r="A44" s="104" t="s">
        <v>819</v>
      </c>
      <c r="B44" s="125" t="s">
        <v>820</v>
      </c>
      <c r="C44" s="105">
        <v>2018</v>
      </c>
      <c r="D44" s="105" t="s">
        <v>445</v>
      </c>
      <c r="E44" s="105" t="s">
        <v>78</v>
      </c>
      <c r="F44" s="105" t="s">
        <v>552</v>
      </c>
      <c r="G44" s="105" t="s">
        <v>519</v>
      </c>
      <c r="H44" s="105" t="s">
        <v>581</v>
      </c>
      <c r="I44" s="106" t="s">
        <v>228</v>
      </c>
      <c r="J44" s="104" t="s">
        <v>676</v>
      </c>
      <c r="K44" s="104" t="s">
        <v>81</v>
      </c>
      <c r="L44" s="107" t="s">
        <v>74</v>
      </c>
      <c r="M44" s="107">
        <v>5000000</v>
      </c>
      <c r="N44" s="104">
        <v>5000000</v>
      </c>
      <c r="O44" s="104">
        <v>7120649.9999999991</v>
      </c>
      <c r="P44" s="104">
        <v>4940000</v>
      </c>
      <c r="Q44" s="104">
        <v>4940000</v>
      </c>
      <c r="R44" s="104">
        <v>7035202.1999999993</v>
      </c>
      <c r="S44" s="104">
        <v>4940000</v>
      </c>
      <c r="T44" s="104">
        <v>4940000</v>
      </c>
      <c r="U44" s="112">
        <v>7035202.1999999993</v>
      </c>
      <c r="V44" s="107" t="s">
        <v>81</v>
      </c>
      <c r="W44" s="104" t="s">
        <v>78</v>
      </c>
      <c r="X44" s="104" t="s">
        <v>81</v>
      </c>
      <c r="Y44" s="104" t="s">
        <v>78</v>
      </c>
      <c r="Z44" s="104" t="s">
        <v>81</v>
      </c>
      <c r="AA44" s="104">
        <v>0</v>
      </c>
      <c r="AB44" s="108" t="s">
        <v>78</v>
      </c>
      <c r="AC44" s="104">
        <v>0</v>
      </c>
      <c r="AD44" s="105" t="s">
        <v>78</v>
      </c>
      <c r="AE44" s="104">
        <v>0</v>
      </c>
      <c r="AF44" s="104" t="s">
        <v>78</v>
      </c>
      <c r="AG44" s="104">
        <v>0</v>
      </c>
      <c r="AH44" s="109" t="s">
        <v>81</v>
      </c>
      <c r="AI44" s="109" t="s">
        <v>78</v>
      </c>
      <c r="AJ44" s="109" t="s">
        <v>81</v>
      </c>
      <c r="AK44" s="109" t="s">
        <v>78</v>
      </c>
      <c r="AL44" s="109" t="s">
        <v>78</v>
      </c>
      <c r="AM44" s="109" t="s">
        <v>81</v>
      </c>
      <c r="AN44" s="109" t="s">
        <v>81</v>
      </c>
      <c r="AO44" s="109" t="s">
        <v>78</v>
      </c>
      <c r="AP44" s="109" t="s">
        <v>81</v>
      </c>
      <c r="AQ44" s="109">
        <v>1</v>
      </c>
      <c r="AR44" s="109" t="s">
        <v>74</v>
      </c>
    </row>
    <row r="45" spans="1:44" ht="30.6" customHeight="1" x14ac:dyDescent="0.45">
      <c r="A45" s="104" t="s">
        <v>821</v>
      </c>
      <c r="B45" s="125" t="s">
        <v>822</v>
      </c>
      <c r="C45" s="105">
        <v>2018</v>
      </c>
      <c r="D45" s="105" t="s">
        <v>445</v>
      </c>
      <c r="E45" s="105" t="s">
        <v>78</v>
      </c>
      <c r="F45" s="105" t="s">
        <v>552</v>
      </c>
      <c r="G45" s="105" t="s">
        <v>519</v>
      </c>
      <c r="H45" s="105" t="s">
        <v>228</v>
      </c>
      <c r="I45" s="106" t="s">
        <v>228</v>
      </c>
      <c r="J45" s="104" t="s">
        <v>676</v>
      </c>
      <c r="K45" s="104" t="s">
        <v>81</v>
      </c>
      <c r="L45" s="107" t="s">
        <v>74</v>
      </c>
      <c r="M45" s="107">
        <v>13000000</v>
      </c>
      <c r="N45" s="104">
        <v>13000000</v>
      </c>
      <c r="O45" s="104">
        <v>18513690</v>
      </c>
      <c r="P45" s="104">
        <v>11000000</v>
      </c>
      <c r="Q45" s="104">
        <v>11000000</v>
      </c>
      <c r="R45" s="104">
        <v>15665429.999999998</v>
      </c>
      <c r="S45" s="104">
        <v>11000000</v>
      </c>
      <c r="T45" s="104">
        <v>11000000</v>
      </c>
      <c r="U45" s="112">
        <v>15665429.999999998</v>
      </c>
      <c r="V45" s="107" t="s">
        <v>75</v>
      </c>
      <c r="W45" s="104" t="s">
        <v>823</v>
      </c>
      <c r="X45" s="104" t="s">
        <v>81</v>
      </c>
      <c r="Y45" s="104" t="s">
        <v>78</v>
      </c>
      <c r="Z45" s="104" t="s">
        <v>75</v>
      </c>
      <c r="AA45" s="104">
        <v>999</v>
      </c>
      <c r="AB45" s="108" t="s">
        <v>824</v>
      </c>
      <c r="AC45" s="104">
        <v>999</v>
      </c>
      <c r="AD45" s="105" t="s">
        <v>825</v>
      </c>
      <c r="AE45" s="104">
        <v>0</v>
      </c>
      <c r="AF45" s="104" t="s">
        <v>78</v>
      </c>
      <c r="AG45" s="104">
        <v>2</v>
      </c>
      <c r="AH45" s="109" t="s">
        <v>75</v>
      </c>
      <c r="AI45" s="109" t="s">
        <v>826</v>
      </c>
      <c r="AJ45" s="109" t="s">
        <v>81</v>
      </c>
      <c r="AK45" s="109" t="s">
        <v>78</v>
      </c>
      <c r="AL45" s="109" t="s">
        <v>78</v>
      </c>
      <c r="AM45" s="109" t="s">
        <v>81</v>
      </c>
      <c r="AN45" s="109" t="s">
        <v>81</v>
      </c>
      <c r="AO45" s="109" t="s">
        <v>78</v>
      </c>
      <c r="AP45" s="109" t="s">
        <v>81</v>
      </c>
      <c r="AQ45" s="109">
        <v>1</v>
      </c>
      <c r="AR45" s="109" t="s">
        <v>74</v>
      </c>
    </row>
    <row r="46" spans="1:44" ht="30.6" customHeight="1" x14ac:dyDescent="0.45">
      <c r="A46" s="104" t="s">
        <v>827</v>
      </c>
      <c r="B46" s="125" t="s">
        <v>828</v>
      </c>
      <c r="C46" s="105">
        <v>2018</v>
      </c>
      <c r="D46" s="105" t="s">
        <v>493</v>
      </c>
      <c r="E46" s="105" t="s">
        <v>78</v>
      </c>
      <c r="F46" s="105" t="s">
        <v>533</v>
      </c>
      <c r="G46" s="105" t="s">
        <v>522</v>
      </c>
      <c r="H46" s="105" t="s">
        <v>466</v>
      </c>
      <c r="I46" s="106" t="s">
        <v>466</v>
      </c>
      <c r="J46" s="104" t="s">
        <v>689</v>
      </c>
      <c r="K46" s="104" t="s">
        <v>81</v>
      </c>
      <c r="L46" s="107" t="s">
        <v>126</v>
      </c>
      <c r="M46" s="107">
        <v>1000000</v>
      </c>
      <c r="N46" s="104">
        <v>702183.08721816132</v>
      </c>
      <c r="O46" s="104">
        <v>1000000</v>
      </c>
      <c r="P46" s="104">
        <v>723227.91</v>
      </c>
      <c r="Q46" s="104">
        <v>723227.91</v>
      </c>
      <c r="R46" s="104">
        <v>1029970.5634682999</v>
      </c>
      <c r="S46" s="104">
        <v>723227.91</v>
      </c>
      <c r="T46" s="104">
        <v>723227.91</v>
      </c>
      <c r="U46" s="112">
        <v>1029970.5634682999</v>
      </c>
      <c r="V46" s="107" t="s">
        <v>81</v>
      </c>
      <c r="W46" s="104" t="s">
        <v>78</v>
      </c>
      <c r="X46" s="104" t="s">
        <v>81</v>
      </c>
      <c r="Y46" s="104" t="s">
        <v>78</v>
      </c>
      <c r="Z46" s="104" t="s">
        <v>81</v>
      </c>
      <c r="AA46" s="104">
        <v>0</v>
      </c>
      <c r="AB46" s="108" t="s">
        <v>78</v>
      </c>
      <c r="AC46" s="104">
        <v>0</v>
      </c>
      <c r="AD46" s="105" t="s">
        <v>78</v>
      </c>
      <c r="AE46" s="110">
        <v>0</v>
      </c>
      <c r="AF46" s="104" t="s">
        <v>78</v>
      </c>
      <c r="AG46" s="104">
        <v>0</v>
      </c>
      <c r="AH46" s="109" t="s">
        <v>81</v>
      </c>
      <c r="AI46" s="109" t="s">
        <v>78</v>
      </c>
      <c r="AJ46" s="109" t="s">
        <v>81</v>
      </c>
      <c r="AK46" s="109" t="s">
        <v>78</v>
      </c>
      <c r="AL46" s="109" t="s">
        <v>78</v>
      </c>
      <c r="AM46" s="109" t="s">
        <v>81</v>
      </c>
      <c r="AN46" s="109" t="s">
        <v>81</v>
      </c>
      <c r="AO46" s="109" t="s">
        <v>78</v>
      </c>
      <c r="AP46" s="109" t="s">
        <v>81</v>
      </c>
      <c r="AQ46" s="109">
        <v>1</v>
      </c>
      <c r="AR46" s="109" t="s">
        <v>126</v>
      </c>
    </row>
    <row r="47" spans="1:44" ht="30.6" customHeight="1" x14ac:dyDescent="0.45">
      <c r="A47" s="104" t="s">
        <v>829</v>
      </c>
      <c r="B47" s="125" t="s">
        <v>830</v>
      </c>
      <c r="C47" s="105">
        <v>2018</v>
      </c>
      <c r="D47" s="105" t="s">
        <v>498</v>
      </c>
      <c r="E47" s="105" t="s">
        <v>78</v>
      </c>
      <c r="F47" s="105" t="s">
        <v>540</v>
      </c>
      <c r="G47" s="105" t="s">
        <v>520</v>
      </c>
      <c r="H47" s="105" t="s">
        <v>599</v>
      </c>
      <c r="I47" s="106" t="s">
        <v>101</v>
      </c>
      <c r="J47" s="104" t="s">
        <v>676</v>
      </c>
      <c r="K47" s="104" t="s">
        <v>81</v>
      </c>
      <c r="L47" s="107" t="s">
        <v>74</v>
      </c>
      <c r="M47" s="107">
        <v>1000000</v>
      </c>
      <c r="N47" s="104">
        <v>1000000</v>
      </c>
      <c r="O47" s="104">
        <v>1424130</v>
      </c>
      <c r="P47" s="104">
        <v>1000000</v>
      </c>
      <c r="Q47" s="104">
        <v>1000000</v>
      </c>
      <c r="R47" s="104">
        <v>1424130</v>
      </c>
      <c r="S47" s="104">
        <v>1000000</v>
      </c>
      <c r="T47" s="104">
        <v>1000000</v>
      </c>
      <c r="U47" s="112">
        <v>1424130</v>
      </c>
      <c r="V47" s="107" t="s">
        <v>81</v>
      </c>
      <c r="W47" s="104" t="s">
        <v>78</v>
      </c>
      <c r="X47" s="104" t="s">
        <v>81</v>
      </c>
      <c r="Y47" s="104" t="s">
        <v>78</v>
      </c>
      <c r="Z47" s="104" t="s">
        <v>81</v>
      </c>
      <c r="AA47" s="104">
        <v>0</v>
      </c>
      <c r="AB47" s="108" t="s">
        <v>78</v>
      </c>
      <c r="AC47" s="104">
        <v>0</v>
      </c>
      <c r="AD47" s="105" t="s">
        <v>78</v>
      </c>
      <c r="AE47" s="104">
        <v>0</v>
      </c>
      <c r="AF47" s="104" t="s">
        <v>78</v>
      </c>
      <c r="AG47" s="104">
        <v>0</v>
      </c>
      <c r="AH47" s="109" t="s">
        <v>81</v>
      </c>
      <c r="AI47" s="109" t="s">
        <v>78</v>
      </c>
      <c r="AJ47" s="109" t="s">
        <v>81</v>
      </c>
      <c r="AK47" s="109" t="s">
        <v>78</v>
      </c>
      <c r="AL47" s="109" t="s">
        <v>78</v>
      </c>
      <c r="AM47" s="109" t="s">
        <v>81</v>
      </c>
      <c r="AN47" s="109" t="s">
        <v>81</v>
      </c>
      <c r="AO47" s="109" t="s">
        <v>78</v>
      </c>
      <c r="AP47" s="109" t="s">
        <v>81</v>
      </c>
      <c r="AQ47" s="109">
        <v>1</v>
      </c>
      <c r="AR47" s="109" t="s">
        <v>74</v>
      </c>
    </row>
    <row r="48" spans="1:44" ht="30.6" customHeight="1" x14ac:dyDescent="0.45">
      <c r="A48" s="104" t="s">
        <v>831</v>
      </c>
      <c r="B48" s="125" t="s">
        <v>832</v>
      </c>
      <c r="C48" s="105">
        <v>2018</v>
      </c>
      <c r="D48" s="105" t="s">
        <v>145</v>
      </c>
      <c r="E48" s="105" t="s">
        <v>78</v>
      </c>
      <c r="F48" s="105" t="s">
        <v>543</v>
      </c>
      <c r="G48" s="105" t="s">
        <v>522</v>
      </c>
      <c r="H48" s="105" t="s">
        <v>596</v>
      </c>
      <c r="I48" s="106" t="s">
        <v>101</v>
      </c>
      <c r="J48" s="104" t="s">
        <v>689</v>
      </c>
      <c r="K48" s="104" t="s">
        <v>81</v>
      </c>
      <c r="L48" s="107" t="s">
        <v>74</v>
      </c>
      <c r="M48" s="107">
        <v>1200000</v>
      </c>
      <c r="N48" s="104">
        <v>1200000</v>
      </c>
      <c r="O48" s="104">
        <v>1708955.9999999998</v>
      </c>
      <c r="P48" s="104">
        <v>1200000</v>
      </c>
      <c r="Q48" s="104">
        <v>1200000</v>
      </c>
      <c r="R48" s="104">
        <v>1708955.9999999998</v>
      </c>
      <c r="S48" s="104">
        <v>1200000</v>
      </c>
      <c r="T48" s="104">
        <v>1200000</v>
      </c>
      <c r="U48" s="112">
        <v>1708955.9999999998</v>
      </c>
      <c r="V48" s="107" t="s">
        <v>81</v>
      </c>
      <c r="W48" s="104" t="s">
        <v>78</v>
      </c>
      <c r="X48" s="104" t="s">
        <v>81</v>
      </c>
      <c r="Y48" s="104" t="s">
        <v>78</v>
      </c>
      <c r="Z48" s="104" t="s">
        <v>81</v>
      </c>
      <c r="AA48" s="104">
        <v>0</v>
      </c>
      <c r="AB48" s="108" t="s">
        <v>78</v>
      </c>
      <c r="AC48" s="104">
        <v>0</v>
      </c>
      <c r="AD48" s="105" t="s">
        <v>78</v>
      </c>
      <c r="AE48" s="110">
        <v>0</v>
      </c>
      <c r="AF48" s="104" t="s">
        <v>78</v>
      </c>
      <c r="AG48" s="104">
        <v>0</v>
      </c>
      <c r="AH48" s="109" t="s">
        <v>81</v>
      </c>
      <c r="AI48" s="109" t="s">
        <v>78</v>
      </c>
      <c r="AJ48" s="109" t="s">
        <v>81</v>
      </c>
      <c r="AK48" s="109" t="s">
        <v>78</v>
      </c>
      <c r="AL48" s="109" t="s">
        <v>78</v>
      </c>
      <c r="AM48" s="109" t="s">
        <v>81</v>
      </c>
      <c r="AN48" s="109" t="s">
        <v>81</v>
      </c>
      <c r="AO48" s="109" t="s">
        <v>78</v>
      </c>
      <c r="AP48" s="109" t="s">
        <v>81</v>
      </c>
      <c r="AQ48" s="109">
        <v>1</v>
      </c>
      <c r="AR48" s="109" t="s">
        <v>74</v>
      </c>
    </row>
    <row r="49" spans="1:44" ht="30.6" customHeight="1" x14ac:dyDescent="0.45">
      <c r="A49" s="104" t="s">
        <v>833</v>
      </c>
      <c r="B49" s="125" t="s">
        <v>834</v>
      </c>
      <c r="C49" s="105">
        <v>2018</v>
      </c>
      <c r="D49" s="105" t="s">
        <v>377</v>
      </c>
      <c r="E49" s="105" t="s">
        <v>78</v>
      </c>
      <c r="F49" s="105" t="s">
        <v>544</v>
      </c>
      <c r="G49" s="105" t="s">
        <v>520</v>
      </c>
      <c r="H49" s="105" t="s">
        <v>596</v>
      </c>
      <c r="I49" s="106" t="s">
        <v>101</v>
      </c>
      <c r="J49" s="104" t="s">
        <v>676</v>
      </c>
      <c r="K49" s="104" t="s">
        <v>81</v>
      </c>
      <c r="L49" s="107" t="s">
        <v>74</v>
      </c>
      <c r="M49" s="107">
        <v>1000000</v>
      </c>
      <c r="N49" s="104">
        <v>1000000</v>
      </c>
      <c r="O49" s="104">
        <v>1424130</v>
      </c>
      <c r="P49" s="104">
        <v>1000000</v>
      </c>
      <c r="Q49" s="104">
        <v>1000000</v>
      </c>
      <c r="R49" s="104">
        <v>1424130</v>
      </c>
      <c r="S49" s="104">
        <v>1000000</v>
      </c>
      <c r="T49" s="104">
        <v>1000000</v>
      </c>
      <c r="U49" s="112">
        <v>1424130</v>
      </c>
      <c r="V49" s="107" t="s">
        <v>81</v>
      </c>
      <c r="W49" s="104" t="s">
        <v>78</v>
      </c>
      <c r="X49" s="104" t="s">
        <v>81</v>
      </c>
      <c r="Y49" s="104" t="s">
        <v>78</v>
      </c>
      <c r="Z49" s="104" t="s">
        <v>81</v>
      </c>
      <c r="AA49" s="104">
        <v>0</v>
      </c>
      <c r="AB49" s="108" t="s">
        <v>78</v>
      </c>
      <c r="AC49" s="104">
        <v>0</v>
      </c>
      <c r="AD49" s="105" t="s">
        <v>78</v>
      </c>
      <c r="AE49" s="104">
        <v>0</v>
      </c>
      <c r="AF49" s="104" t="s">
        <v>78</v>
      </c>
      <c r="AG49" s="104">
        <v>0</v>
      </c>
      <c r="AH49" s="109" t="s">
        <v>81</v>
      </c>
      <c r="AI49" s="109" t="s">
        <v>78</v>
      </c>
      <c r="AJ49" s="109" t="s">
        <v>81</v>
      </c>
      <c r="AK49" s="109" t="s">
        <v>78</v>
      </c>
      <c r="AL49" s="109" t="s">
        <v>78</v>
      </c>
      <c r="AM49" s="109" t="s">
        <v>81</v>
      </c>
      <c r="AN49" s="109" t="s">
        <v>81</v>
      </c>
      <c r="AO49" s="109" t="s">
        <v>78</v>
      </c>
      <c r="AP49" s="109" t="s">
        <v>81</v>
      </c>
      <c r="AQ49" s="109">
        <v>1</v>
      </c>
      <c r="AR49" s="109" t="s">
        <v>74</v>
      </c>
    </row>
    <row r="50" spans="1:44" ht="30.6" customHeight="1" x14ac:dyDescent="0.45">
      <c r="A50" s="104" t="s">
        <v>835</v>
      </c>
      <c r="B50" s="125" t="s">
        <v>836</v>
      </c>
      <c r="C50" s="105">
        <v>2018</v>
      </c>
      <c r="D50" s="105" t="s">
        <v>273</v>
      </c>
      <c r="E50" s="105" t="s">
        <v>78</v>
      </c>
      <c r="F50" s="105" t="s">
        <v>549</v>
      </c>
      <c r="G50" s="105" t="s">
        <v>518</v>
      </c>
      <c r="H50" s="105" t="s">
        <v>581</v>
      </c>
      <c r="I50" s="106" t="s">
        <v>228</v>
      </c>
      <c r="J50" s="104" t="s">
        <v>837</v>
      </c>
      <c r="K50" s="104" t="s">
        <v>81</v>
      </c>
      <c r="L50" s="107" t="s">
        <v>74</v>
      </c>
      <c r="M50" s="107">
        <v>15000000</v>
      </c>
      <c r="N50" s="104">
        <v>15000000</v>
      </c>
      <c r="O50" s="104">
        <v>21361950</v>
      </c>
      <c r="P50" s="104">
        <v>13000000</v>
      </c>
      <c r="Q50" s="104">
        <v>13000000</v>
      </c>
      <c r="R50" s="104">
        <v>18513690</v>
      </c>
      <c r="S50" s="104">
        <v>7000000</v>
      </c>
      <c r="T50" s="104">
        <v>7000000</v>
      </c>
      <c r="U50" s="112">
        <v>9968910</v>
      </c>
      <c r="V50" s="107" t="s">
        <v>75</v>
      </c>
      <c r="W50" s="104" t="s">
        <v>838</v>
      </c>
      <c r="X50" s="104" t="s">
        <v>81</v>
      </c>
      <c r="Y50" s="104" t="s">
        <v>78</v>
      </c>
      <c r="Z50" s="104" t="s">
        <v>75</v>
      </c>
      <c r="AA50" s="104">
        <v>0</v>
      </c>
      <c r="AB50" s="108" t="s">
        <v>78</v>
      </c>
      <c r="AC50" s="104">
        <v>999</v>
      </c>
      <c r="AD50" s="105" t="s">
        <v>839</v>
      </c>
      <c r="AE50" s="110">
        <v>999</v>
      </c>
      <c r="AF50" s="104" t="s">
        <v>840</v>
      </c>
      <c r="AG50" s="104">
        <v>3</v>
      </c>
      <c r="AH50" s="109" t="s">
        <v>81</v>
      </c>
      <c r="AI50" s="109" t="s">
        <v>78</v>
      </c>
      <c r="AJ50" s="109" t="s">
        <v>81</v>
      </c>
      <c r="AK50" s="109" t="s">
        <v>78</v>
      </c>
      <c r="AL50" s="109" t="s">
        <v>78</v>
      </c>
      <c r="AM50" s="109" t="s">
        <v>81</v>
      </c>
      <c r="AN50" s="109" t="s">
        <v>81</v>
      </c>
      <c r="AO50" s="109" t="s">
        <v>78</v>
      </c>
      <c r="AP50" s="109" t="s">
        <v>81</v>
      </c>
      <c r="AQ50" s="109">
        <v>1</v>
      </c>
      <c r="AR50" s="109" t="s">
        <v>74</v>
      </c>
    </row>
    <row r="51" spans="1:44" ht="30.6" customHeight="1" x14ac:dyDescent="0.45">
      <c r="A51" s="104" t="s">
        <v>841</v>
      </c>
      <c r="B51" s="125" t="s">
        <v>842</v>
      </c>
      <c r="C51" s="105">
        <v>2018</v>
      </c>
      <c r="D51" s="105" t="s">
        <v>445</v>
      </c>
      <c r="E51" s="105" t="s">
        <v>78</v>
      </c>
      <c r="F51" s="105" t="s">
        <v>552</v>
      </c>
      <c r="G51" s="105" t="s">
        <v>519</v>
      </c>
      <c r="H51" s="105" t="s">
        <v>228</v>
      </c>
      <c r="I51" s="106" t="s">
        <v>228</v>
      </c>
      <c r="J51" s="104" t="s">
        <v>676</v>
      </c>
      <c r="K51" s="104" t="s">
        <v>81</v>
      </c>
      <c r="L51" s="107" t="s">
        <v>74</v>
      </c>
      <c r="M51" s="107">
        <v>11000000</v>
      </c>
      <c r="N51" s="104">
        <v>11000000</v>
      </c>
      <c r="O51" s="104">
        <v>15665429.999999998</v>
      </c>
      <c r="P51" s="104">
        <v>10000000</v>
      </c>
      <c r="Q51" s="104">
        <v>10000000</v>
      </c>
      <c r="R51" s="104">
        <v>14241299.999999998</v>
      </c>
      <c r="S51" s="104">
        <v>10000000</v>
      </c>
      <c r="T51" s="104">
        <v>10000000</v>
      </c>
      <c r="U51" s="112">
        <v>14241299.999999998</v>
      </c>
      <c r="V51" s="107" t="s">
        <v>81</v>
      </c>
      <c r="W51" s="104" t="s">
        <v>78</v>
      </c>
      <c r="X51" s="104" t="s">
        <v>81</v>
      </c>
      <c r="Y51" s="104" t="s">
        <v>78</v>
      </c>
      <c r="Z51" s="104" t="s">
        <v>81</v>
      </c>
      <c r="AA51" s="104">
        <v>0</v>
      </c>
      <c r="AB51" s="108" t="s">
        <v>78</v>
      </c>
      <c r="AC51" s="104">
        <v>0</v>
      </c>
      <c r="AD51" s="105" t="s">
        <v>78</v>
      </c>
      <c r="AE51" s="104">
        <v>0</v>
      </c>
      <c r="AF51" s="104" t="s">
        <v>78</v>
      </c>
      <c r="AG51" s="104">
        <v>0</v>
      </c>
      <c r="AH51" s="109" t="s">
        <v>75</v>
      </c>
      <c r="AI51" s="109" t="s">
        <v>826</v>
      </c>
      <c r="AJ51" s="109" t="s">
        <v>81</v>
      </c>
      <c r="AK51" s="109" t="s">
        <v>78</v>
      </c>
      <c r="AL51" s="109" t="s">
        <v>78</v>
      </c>
      <c r="AM51" s="109" t="s">
        <v>81</v>
      </c>
      <c r="AN51" s="109" t="s">
        <v>81</v>
      </c>
      <c r="AO51" s="109" t="s">
        <v>78</v>
      </c>
      <c r="AP51" s="109" t="s">
        <v>81</v>
      </c>
      <c r="AQ51" s="109">
        <v>1</v>
      </c>
      <c r="AR51" s="109" t="s">
        <v>74</v>
      </c>
    </row>
    <row r="52" spans="1:44" ht="30.6" customHeight="1" x14ac:dyDescent="0.45">
      <c r="A52" s="104" t="s">
        <v>843</v>
      </c>
      <c r="B52" s="125" t="s">
        <v>844</v>
      </c>
      <c r="C52" s="105">
        <v>2018</v>
      </c>
      <c r="D52" s="105" t="s">
        <v>282</v>
      </c>
      <c r="E52" s="105" t="s">
        <v>78</v>
      </c>
      <c r="F52" s="105" t="s">
        <v>553</v>
      </c>
      <c r="G52" s="105" t="s">
        <v>520</v>
      </c>
      <c r="H52" s="105" t="s">
        <v>596</v>
      </c>
      <c r="I52" s="106" t="s">
        <v>101</v>
      </c>
      <c r="J52" s="104" t="s">
        <v>689</v>
      </c>
      <c r="K52" s="104" t="s">
        <v>81</v>
      </c>
      <c r="L52" s="107" t="s">
        <v>74</v>
      </c>
      <c r="M52" s="107">
        <v>1000000</v>
      </c>
      <c r="N52" s="104">
        <v>1000000</v>
      </c>
      <c r="O52" s="104">
        <v>1424130</v>
      </c>
      <c r="P52" s="104">
        <v>1000000</v>
      </c>
      <c r="Q52" s="104">
        <v>1000000</v>
      </c>
      <c r="R52" s="104">
        <v>1424130</v>
      </c>
      <c r="S52" s="104">
        <v>1000000</v>
      </c>
      <c r="T52" s="104">
        <v>1000000</v>
      </c>
      <c r="U52" s="112">
        <v>1424130</v>
      </c>
      <c r="V52" s="107" t="s">
        <v>81</v>
      </c>
      <c r="W52" s="104" t="s">
        <v>78</v>
      </c>
      <c r="X52" s="104" t="s">
        <v>81</v>
      </c>
      <c r="Y52" s="104" t="s">
        <v>78</v>
      </c>
      <c r="Z52" s="104" t="s">
        <v>81</v>
      </c>
      <c r="AA52" s="104">
        <v>0</v>
      </c>
      <c r="AB52" s="108" t="s">
        <v>78</v>
      </c>
      <c r="AC52" s="104">
        <v>0</v>
      </c>
      <c r="AD52" s="105" t="s">
        <v>78</v>
      </c>
      <c r="AE52" s="104">
        <v>0</v>
      </c>
      <c r="AF52" s="104" t="s">
        <v>78</v>
      </c>
      <c r="AG52" s="104">
        <v>0</v>
      </c>
      <c r="AH52" s="109" t="s">
        <v>81</v>
      </c>
      <c r="AI52" s="109" t="s">
        <v>78</v>
      </c>
      <c r="AJ52" s="109" t="s">
        <v>81</v>
      </c>
      <c r="AK52" s="109" t="s">
        <v>78</v>
      </c>
      <c r="AL52" s="109" t="s">
        <v>78</v>
      </c>
      <c r="AM52" s="109" t="s">
        <v>81</v>
      </c>
      <c r="AN52" s="109" t="s">
        <v>81</v>
      </c>
      <c r="AO52" s="109" t="s">
        <v>78</v>
      </c>
      <c r="AP52" s="109" t="s">
        <v>81</v>
      </c>
      <c r="AQ52" s="109">
        <v>1</v>
      </c>
      <c r="AR52" s="109" t="s">
        <v>74</v>
      </c>
    </row>
    <row r="53" spans="1:44" ht="30.6" customHeight="1" x14ac:dyDescent="0.45">
      <c r="A53" s="104" t="s">
        <v>845</v>
      </c>
      <c r="B53" s="125" t="s">
        <v>846</v>
      </c>
      <c r="C53" s="105">
        <v>2018</v>
      </c>
      <c r="D53" s="105" t="s">
        <v>254</v>
      </c>
      <c r="E53" s="105" t="s">
        <v>78</v>
      </c>
      <c r="F53" s="105" t="s">
        <v>555</v>
      </c>
      <c r="G53" s="105" t="s">
        <v>522</v>
      </c>
      <c r="H53" s="105" t="s">
        <v>587</v>
      </c>
      <c r="I53" s="106" t="s">
        <v>256</v>
      </c>
      <c r="J53" s="104" t="s">
        <v>676</v>
      </c>
      <c r="K53" s="104" t="s">
        <v>81</v>
      </c>
      <c r="L53" s="107" t="s">
        <v>126</v>
      </c>
      <c r="M53" s="107">
        <v>1969830.55</v>
      </c>
      <c r="N53" s="104">
        <v>1383181.6968956487</v>
      </c>
      <c r="O53" s="104">
        <v>1969830.55</v>
      </c>
      <c r="P53" s="104">
        <v>15674999.460000001</v>
      </c>
      <c r="Q53" s="104">
        <v>15674999.460000001</v>
      </c>
      <c r="R53" s="104">
        <v>22323236.980969798</v>
      </c>
      <c r="S53" s="104">
        <v>13705168.91</v>
      </c>
      <c r="T53" s="104">
        <v>13705168.91</v>
      </c>
      <c r="U53" s="112">
        <v>19517942.199798297</v>
      </c>
      <c r="V53" s="107" t="s">
        <v>75</v>
      </c>
      <c r="W53" s="104" t="s">
        <v>847</v>
      </c>
      <c r="X53" s="104" t="s">
        <v>81</v>
      </c>
      <c r="Y53" s="104" t="s">
        <v>78</v>
      </c>
      <c r="Z53" s="104" t="s">
        <v>75</v>
      </c>
      <c r="AA53" s="104">
        <v>999</v>
      </c>
      <c r="AB53" s="108" t="s">
        <v>848</v>
      </c>
      <c r="AC53" s="104">
        <v>999</v>
      </c>
      <c r="AD53" s="105" t="s">
        <v>849</v>
      </c>
      <c r="AE53" s="110">
        <v>0</v>
      </c>
      <c r="AF53" s="104" t="s">
        <v>78</v>
      </c>
      <c r="AG53" s="104">
        <v>3</v>
      </c>
      <c r="AH53" s="109" t="s">
        <v>75</v>
      </c>
      <c r="AI53" s="109" t="s">
        <v>787</v>
      </c>
      <c r="AJ53" s="109" t="s">
        <v>75</v>
      </c>
      <c r="AK53" s="109" t="s">
        <v>256</v>
      </c>
      <c r="AL53" s="109" t="s">
        <v>796</v>
      </c>
      <c r="AM53" s="109" t="s">
        <v>81</v>
      </c>
      <c r="AN53" s="109" t="s">
        <v>81</v>
      </c>
      <c r="AO53" s="109" t="s">
        <v>78</v>
      </c>
      <c r="AP53" s="109" t="s">
        <v>81</v>
      </c>
      <c r="AQ53" s="109">
        <v>1</v>
      </c>
      <c r="AR53" s="109" t="s">
        <v>126</v>
      </c>
    </row>
    <row r="54" spans="1:44" ht="30.6" customHeight="1" x14ac:dyDescent="0.45">
      <c r="A54" s="104" t="s">
        <v>850</v>
      </c>
      <c r="B54" s="125" t="s">
        <v>851</v>
      </c>
      <c r="C54" s="105">
        <v>2018</v>
      </c>
      <c r="D54" s="105" t="s">
        <v>314</v>
      </c>
      <c r="E54" s="105" t="s">
        <v>78</v>
      </c>
      <c r="F54" s="105" t="s">
        <v>557</v>
      </c>
      <c r="G54" s="105" t="s">
        <v>522</v>
      </c>
      <c r="H54" s="105" t="s">
        <v>585</v>
      </c>
      <c r="I54" s="106" t="s">
        <v>228</v>
      </c>
      <c r="J54" s="104" t="s">
        <v>689</v>
      </c>
      <c r="K54" s="104" t="s">
        <v>81</v>
      </c>
      <c r="L54" s="107" t="s">
        <v>126</v>
      </c>
      <c r="M54" s="107">
        <v>100000000</v>
      </c>
      <c r="N54" s="104">
        <v>70218308.721816137</v>
      </c>
      <c r="O54" s="104">
        <v>100000000.00000001</v>
      </c>
      <c r="P54" s="104">
        <v>28929116.43</v>
      </c>
      <c r="Q54" s="104">
        <v>28929116.43</v>
      </c>
      <c r="R54" s="104">
        <v>41198822.581455894</v>
      </c>
      <c r="S54" s="104">
        <v>28929116.43</v>
      </c>
      <c r="T54" s="104">
        <v>28929116.43</v>
      </c>
      <c r="U54" s="112">
        <v>41198822.581455894</v>
      </c>
      <c r="V54" s="107" t="s">
        <v>81</v>
      </c>
      <c r="W54" s="104" t="s">
        <v>78</v>
      </c>
      <c r="X54" s="104" t="s">
        <v>81</v>
      </c>
      <c r="Y54" s="104" t="s">
        <v>78</v>
      </c>
      <c r="Z54" s="104" t="s">
        <v>81</v>
      </c>
      <c r="AA54" s="104">
        <v>0</v>
      </c>
      <c r="AB54" s="108" t="s">
        <v>78</v>
      </c>
      <c r="AC54" s="104">
        <v>0</v>
      </c>
      <c r="AD54" s="105" t="s">
        <v>78</v>
      </c>
      <c r="AE54" s="104">
        <v>0</v>
      </c>
      <c r="AF54" s="104" t="s">
        <v>78</v>
      </c>
      <c r="AG54" s="104">
        <v>0</v>
      </c>
      <c r="AH54" s="109" t="s">
        <v>81</v>
      </c>
      <c r="AI54" s="109" t="s">
        <v>78</v>
      </c>
      <c r="AJ54" s="109" t="s">
        <v>81</v>
      </c>
      <c r="AK54" s="109" t="s">
        <v>78</v>
      </c>
      <c r="AL54" s="109" t="s">
        <v>78</v>
      </c>
      <c r="AM54" s="109" t="s">
        <v>81</v>
      </c>
      <c r="AN54" s="109" t="s">
        <v>81</v>
      </c>
      <c r="AO54" s="109" t="s">
        <v>78</v>
      </c>
      <c r="AP54" s="109" t="s">
        <v>81</v>
      </c>
      <c r="AQ54" s="109">
        <v>1</v>
      </c>
      <c r="AR54" s="109" t="s">
        <v>126</v>
      </c>
    </row>
    <row r="55" spans="1:44" ht="30.6" customHeight="1" x14ac:dyDescent="0.45">
      <c r="A55" s="104" t="s">
        <v>852</v>
      </c>
      <c r="B55" s="125" t="s">
        <v>853</v>
      </c>
      <c r="C55" s="105">
        <v>2018</v>
      </c>
      <c r="D55" s="105" t="s">
        <v>419</v>
      </c>
      <c r="E55" s="105" t="s">
        <v>78</v>
      </c>
      <c r="F55" s="105" t="s">
        <v>563</v>
      </c>
      <c r="G55" s="105" t="s">
        <v>519</v>
      </c>
      <c r="H55" s="105" t="s">
        <v>588</v>
      </c>
      <c r="I55" s="106" t="s">
        <v>256</v>
      </c>
      <c r="J55" s="104" t="s">
        <v>689</v>
      </c>
      <c r="K55" s="104" t="s">
        <v>81</v>
      </c>
      <c r="L55" s="107" t="s">
        <v>616</v>
      </c>
      <c r="M55" s="107">
        <v>807528000</v>
      </c>
      <c r="N55" s="104">
        <v>46080471.117248617</v>
      </c>
      <c r="O55" s="105">
        <v>65624581.33220727</v>
      </c>
      <c r="P55" s="104">
        <v>36321518.869999997</v>
      </c>
      <c r="Q55" s="104">
        <v>36321518.869999997</v>
      </c>
      <c r="R55" s="104">
        <v>51726564.668333091</v>
      </c>
      <c r="S55" s="104">
        <v>36321518.869999997</v>
      </c>
      <c r="T55" s="105">
        <v>36321518.869999997</v>
      </c>
      <c r="U55" s="112">
        <v>51726564.668333091</v>
      </c>
      <c r="V55" s="107" t="s">
        <v>75</v>
      </c>
      <c r="W55" s="104" t="s">
        <v>854</v>
      </c>
      <c r="X55" s="104" t="s">
        <v>75</v>
      </c>
      <c r="Y55" s="104" t="s">
        <v>855</v>
      </c>
      <c r="Z55" s="104" t="s">
        <v>75</v>
      </c>
      <c r="AA55" s="104">
        <v>0</v>
      </c>
      <c r="AB55" s="108" t="s">
        <v>78</v>
      </c>
      <c r="AC55" s="104">
        <v>999</v>
      </c>
      <c r="AD55" s="105" t="s">
        <v>856</v>
      </c>
      <c r="AE55" s="104">
        <v>999</v>
      </c>
      <c r="AF55" s="104" t="s">
        <v>857</v>
      </c>
      <c r="AG55" s="104">
        <v>2</v>
      </c>
      <c r="AH55" s="109" t="s">
        <v>75</v>
      </c>
      <c r="AI55" s="109" t="s">
        <v>826</v>
      </c>
      <c r="AJ55" s="109" t="s">
        <v>75</v>
      </c>
      <c r="AK55" s="109" t="s">
        <v>795</v>
      </c>
      <c r="AL55" s="109" t="s">
        <v>78</v>
      </c>
      <c r="AM55" s="109" t="s">
        <v>81</v>
      </c>
      <c r="AN55" s="109" t="s">
        <v>81</v>
      </c>
      <c r="AO55" s="109" t="s">
        <v>78</v>
      </c>
      <c r="AP55" s="109" t="s">
        <v>75</v>
      </c>
      <c r="AQ55" s="109">
        <v>1</v>
      </c>
      <c r="AR55" s="109" t="s">
        <v>616</v>
      </c>
    </row>
    <row r="56" spans="1:44" ht="30.6" customHeight="1" x14ac:dyDescent="0.45">
      <c r="A56" s="104" t="s">
        <v>858</v>
      </c>
      <c r="B56" s="125" t="s">
        <v>859</v>
      </c>
      <c r="C56" s="105">
        <v>2018</v>
      </c>
      <c r="D56" s="105" t="s">
        <v>70</v>
      </c>
      <c r="E56" s="105" t="s">
        <v>78</v>
      </c>
      <c r="F56" s="105" t="s">
        <v>570</v>
      </c>
      <c r="G56" s="105" t="s">
        <v>519</v>
      </c>
      <c r="H56" s="105" t="s">
        <v>596</v>
      </c>
      <c r="I56" s="106" t="s">
        <v>101</v>
      </c>
      <c r="J56" s="105" t="s">
        <v>676</v>
      </c>
      <c r="K56" s="105" t="s">
        <v>81</v>
      </c>
      <c r="L56" s="107" t="s">
        <v>74</v>
      </c>
      <c r="M56" s="107">
        <v>1000000</v>
      </c>
      <c r="N56" s="105">
        <v>1000000</v>
      </c>
      <c r="O56" s="105">
        <v>1424130</v>
      </c>
      <c r="P56" s="104">
        <v>1102058</v>
      </c>
      <c r="Q56" s="104">
        <v>1102058</v>
      </c>
      <c r="R56" s="105">
        <v>1569473.8595399999</v>
      </c>
      <c r="S56" s="104">
        <v>1102058</v>
      </c>
      <c r="T56" s="105">
        <v>1102058</v>
      </c>
      <c r="U56" s="112">
        <v>1569473.8595399999</v>
      </c>
      <c r="V56" s="107" t="s">
        <v>75</v>
      </c>
      <c r="W56" s="105" t="s">
        <v>860</v>
      </c>
      <c r="X56" s="104" t="s">
        <v>81</v>
      </c>
      <c r="Y56" s="104" t="s">
        <v>78</v>
      </c>
      <c r="Z56" s="104" t="s">
        <v>75</v>
      </c>
      <c r="AA56" s="104">
        <v>999</v>
      </c>
      <c r="AB56" s="108" t="s">
        <v>861</v>
      </c>
      <c r="AC56" s="104">
        <v>0</v>
      </c>
      <c r="AD56" s="105" t="s">
        <v>78</v>
      </c>
      <c r="AE56" s="105">
        <v>0</v>
      </c>
      <c r="AF56" s="104" t="s">
        <v>78</v>
      </c>
      <c r="AG56" s="104">
        <v>1</v>
      </c>
      <c r="AH56" s="109" t="s">
        <v>75</v>
      </c>
      <c r="AI56" s="109" t="s">
        <v>862</v>
      </c>
      <c r="AJ56" s="109" t="s">
        <v>75</v>
      </c>
      <c r="AK56" s="109" t="s">
        <v>466</v>
      </c>
      <c r="AL56" s="109" t="s">
        <v>704</v>
      </c>
      <c r="AM56" s="109" t="s">
        <v>81</v>
      </c>
      <c r="AN56" s="109" t="s">
        <v>81</v>
      </c>
      <c r="AO56" s="109" t="s">
        <v>78</v>
      </c>
      <c r="AP56" s="109" t="s">
        <v>81</v>
      </c>
      <c r="AQ56" s="109">
        <v>1</v>
      </c>
      <c r="AR56" s="109" t="s">
        <v>74</v>
      </c>
    </row>
    <row r="57" spans="1:44" ht="30.6" customHeight="1" x14ac:dyDescent="0.45">
      <c r="A57" s="104" t="s">
        <v>863</v>
      </c>
      <c r="B57" s="125" t="s">
        <v>864</v>
      </c>
      <c r="C57" s="105">
        <v>2018</v>
      </c>
      <c r="D57" s="105" t="s">
        <v>87</v>
      </c>
      <c r="E57" s="105" t="s">
        <v>500</v>
      </c>
      <c r="F57" s="105" t="s">
        <v>87</v>
      </c>
      <c r="G57" s="105" t="s">
        <v>87</v>
      </c>
      <c r="H57" s="105" t="s">
        <v>594</v>
      </c>
      <c r="I57" s="106" t="s">
        <v>101</v>
      </c>
      <c r="J57" s="104" t="s">
        <v>676</v>
      </c>
      <c r="K57" s="104" t="s">
        <v>81</v>
      </c>
      <c r="L57" s="107" t="s">
        <v>74</v>
      </c>
      <c r="M57" s="107">
        <v>112280000</v>
      </c>
      <c r="N57" s="104">
        <v>112280000</v>
      </c>
      <c r="O57" s="104">
        <v>159901316.39999998</v>
      </c>
      <c r="P57" s="104">
        <v>94532230.969999999</v>
      </c>
      <c r="Q57" s="104">
        <v>94532230.969999999</v>
      </c>
      <c r="R57" s="104">
        <v>134626186.09130609</v>
      </c>
      <c r="S57" s="104">
        <v>62380000</v>
      </c>
      <c r="T57" s="104">
        <v>62380000</v>
      </c>
      <c r="U57" s="112">
        <v>88837229.399999991</v>
      </c>
      <c r="V57" s="107" t="s">
        <v>81</v>
      </c>
      <c r="W57" s="104" t="s">
        <v>78</v>
      </c>
      <c r="X57" s="104" t="s">
        <v>81</v>
      </c>
      <c r="Y57" s="104" t="s">
        <v>78</v>
      </c>
      <c r="Z57" s="104" t="s">
        <v>81</v>
      </c>
      <c r="AA57" s="104">
        <v>0</v>
      </c>
      <c r="AB57" s="108" t="s">
        <v>78</v>
      </c>
      <c r="AC57" s="104">
        <v>0</v>
      </c>
      <c r="AD57" s="105" t="s">
        <v>78</v>
      </c>
      <c r="AE57" s="104">
        <v>0</v>
      </c>
      <c r="AF57" s="104" t="s">
        <v>78</v>
      </c>
      <c r="AG57" s="104">
        <v>0</v>
      </c>
      <c r="AH57" s="109" t="s">
        <v>81</v>
      </c>
      <c r="AI57" s="109" t="s">
        <v>78</v>
      </c>
      <c r="AJ57" s="109" t="s">
        <v>81</v>
      </c>
      <c r="AK57" s="109" t="s">
        <v>78</v>
      </c>
      <c r="AL57" s="109" t="s">
        <v>78</v>
      </c>
      <c r="AM57" s="109" t="s">
        <v>81</v>
      </c>
      <c r="AN57" s="109" t="s">
        <v>81</v>
      </c>
      <c r="AO57" s="109" t="s">
        <v>78</v>
      </c>
      <c r="AP57" s="109" t="s">
        <v>81</v>
      </c>
      <c r="AQ57" s="109">
        <v>1</v>
      </c>
      <c r="AR57" s="109" t="s">
        <v>74</v>
      </c>
    </row>
    <row r="58" spans="1:44" ht="30.6" customHeight="1" x14ac:dyDescent="0.45">
      <c r="A58" s="104" t="s">
        <v>865</v>
      </c>
      <c r="B58" s="125" t="s">
        <v>866</v>
      </c>
      <c r="C58" s="105">
        <v>2018</v>
      </c>
      <c r="D58" s="105" t="s">
        <v>87</v>
      </c>
      <c r="E58" s="105" t="s">
        <v>867</v>
      </c>
      <c r="F58" s="105" t="s">
        <v>87</v>
      </c>
      <c r="G58" s="105" t="s">
        <v>87</v>
      </c>
      <c r="H58" s="105" t="s">
        <v>580</v>
      </c>
      <c r="I58" s="106" t="s">
        <v>115</v>
      </c>
      <c r="J58" s="104" t="s">
        <v>676</v>
      </c>
      <c r="K58" s="104" t="s">
        <v>81</v>
      </c>
      <c r="L58" s="107" t="s">
        <v>74</v>
      </c>
      <c r="M58" s="107">
        <v>25000000</v>
      </c>
      <c r="N58" s="104">
        <v>25000000</v>
      </c>
      <c r="O58" s="104">
        <v>35603250</v>
      </c>
      <c r="P58" s="104">
        <v>2500000</v>
      </c>
      <c r="Q58" s="104">
        <v>2500000</v>
      </c>
      <c r="R58" s="104">
        <v>3560324.9999999995</v>
      </c>
      <c r="S58" s="104">
        <v>2500000</v>
      </c>
      <c r="T58" s="104">
        <v>2500000</v>
      </c>
      <c r="U58" s="112">
        <v>3560324.9999999995</v>
      </c>
      <c r="V58" s="107" t="s">
        <v>81</v>
      </c>
      <c r="W58" s="104" t="s">
        <v>78</v>
      </c>
      <c r="X58" s="104" t="s">
        <v>81</v>
      </c>
      <c r="Y58" s="104" t="s">
        <v>78</v>
      </c>
      <c r="Z58" s="104" t="s">
        <v>81</v>
      </c>
      <c r="AA58" s="104">
        <v>0</v>
      </c>
      <c r="AB58" s="108" t="s">
        <v>78</v>
      </c>
      <c r="AC58" s="104">
        <v>0</v>
      </c>
      <c r="AD58" s="105" t="s">
        <v>78</v>
      </c>
      <c r="AE58" s="104">
        <v>0</v>
      </c>
      <c r="AF58" s="104" t="s">
        <v>78</v>
      </c>
      <c r="AG58" s="104">
        <v>0</v>
      </c>
      <c r="AH58" s="109" t="s">
        <v>81</v>
      </c>
      <c r="AI58" s="109" t="s">
        <v>78</v>
      </c>
      <c r="AJ58" s="109" t="s">
        <v>81</v>
      </c>
      <c r="AK58" s="109" t="s">
        <v>78</v>
      </c>
      <c r="AL58" s="109" t="s">
        <v>78</v>
      </c>
      <c r="AM58" s="109" t="s">
        <v>81</v>
      </c>
      <c r="AN58" s="109" t="s">
        <v>81</v>
      </c>
      <c r="AO58" s="109" t="s">
        <v>78</v>
      </c>
      <c r="AP58" s="109" t="s">
        <v>81</v>
      </c>
      <c r="AQ58" s="109">
        <v>1</v>
      </c>
      <c r="AR58" s="109" t="s">
        <v>74</v>
      </c>
    </row>
    <row r="59" spans="1:44" ht="30.6" customHeight="1" x14ac:dyDescent="0.45">
      <c r="A59" s="104" t="s">
        <v>868</v>
      </c>
      <c r="B59" s="125" t="s">
        <v>869</v>
      </c>
      <c r="C59" s="105">
        <v>2018</v>
      </c>
      <c r="D59" s="105" t="s">
        <v>87</v>
      </c>
      <c r="E59" s="105" t="s">
        <v>870</v>
      </c>
      <c r="F59" s="105" t="s">
        <v>87</v>
      </c>
      <c r="G59" s="105" t="s">
        <v>87</v>
      </c>
      <c r="H59" s="105" t="s">
        <v>115</v>
      </c>
      <c r="I59" s="106" t="s">
        <v>115</v>
      </c>
      <c r="J59" s="104" t="s">
        <v>676</v>
      </c>
      <c r="K59" s="104" t="s">
        <v>81</v>
      </c>
      <c r="L59" s="107" t="s">
        <v>74</v>
      </c>
      <c r="M59" s="107">
        <v>6740000</v>
      </c>
      <c r="N59" s="104">
        <v>6740000</v>
      </c>
      <c r="O59" s="104">
        <v>9598636.1999999993</v>
      </c>
      <c r="P59" s="104">
        <v>6740000</v>
      </c>
      <c r="Q59" s="104">
        <v>6740000</v>
      </c>
      <c r="R59" s="104">
        <v>9598636.1999999993</v>
      </c>
      <c r="S59" s="104">
        <v>6740000</v>
      </c>
      <c r="T59" s="104">
        <v>6740000</v>
      </c>
      <c r="U59" s="112">
        <v>9598636.1999999993</v>
      </c>
      <c r="V59" s="107" t="s">
        <v>81</v>
      </c>
      <c r="W59" s="104" t="s">
        <v>78</v>
      </c>
      <c r="X59" s="104" t="s">
        <v>81</v>
      </c>
      <c r="Y59" s="104" t="s">
        <v>78</v>
      </c>
      <c r="Z59" s="104" t="s">
        <v>81</v>
      </c>
      <c r="AA59" s="104">
        <v>0</v>
      </c>
      <c r="AB59" s="108" t="s">
        <v>78</v>
      </c>
      <c r="AC59" s="104">
        <v>0</v>
      </c>
      <c r="AD59" s="105" t="s">
        <v>78</v>
      </c>
      <c r="AE59" s="104">
        <v>0</v>
      </c>
      <c r="AF59" s="104" t="s">
        <v>78</v>
      </c>
      <c r="AG59" s="104">
        <v>0</v>
      </c>
      <c r="AH59" s="109" t="s">
        <v>81</v>
      </c>
      <c r="AI59" s="109" t="s">
        <v>78</v>
      </c>
      <c r="AJ59" s="109" t="s">
        <v>81</v>
      </c>
      <c r="AK59" s="109" t="s">
        <v>78</v>
      </c>
      <c r="AL59" s="109" t="s">
        <v>78</v>
      </c>
      <c r="AM59" s="109" t="s">
        <v>81</v>
      </c>
      <c r="AN59" s="109" t="s">
        <v>81</v>
      </c>
      <c r="AO59" s="109" t="s">
        <v>78</v>
      </c>
      <c r="AP59" s="109" t="s">
        <v>81</v>
      </c>
      <c r="AQ59" s="109">
        <v>1</v>
      </c>
      <c r="AR59" s="109" t="s">
        <v>74</v>
      </c>
    </row>
    <row r="60" spans="1:44" ht="30.6" customHeight="1" x14ac:dyDescent="0.45">
      <c r="A60" s="104" t="s">
        <v>871</v>
      </c>
      <c r="B60" s="125" t="s">
        <v>872</v>
      </c>
      <c r="C60" s="105">
        <v>2018</v>
      </c>
      <c r="D60" s="105" t="s">
        <v>87</v>
      </c>
      <c r="E60" s="105" t="s">
        <v>873</v>
      </c>
      <c r="F60" s="105" t="s">
        <v>87</v>
      </c>
      <c r="G60" s="105" t="s">
        <v>87</v>
      </c>
      <c r="H60" s="105" t="s">
        <v>594</v>
      </c>
      <c r="I60" s="106" t="s">
        <v>101</v>
      </c>
      <c r="J60" s="104" t="s">
        <v>676</v>
      </c>
      <c r="K60" s="104" t="s">
        <v>75</v>
      </c>
      <c r="L60" s="107" t="s">
        <v>126</v>
      </c>
      <c r="M60" s="107">
        <v>1500000</v>
      </c>
      <c r="N60" s="104">
        <v>1053274.630827242</v>
      </c>
      <c r="O60" s="104">
        <v>1500000</v>
      </c>
      <c r="P60" s="104">
        <v>1084841.8700000001</v>
      </c>
      <c r="Q60" s="104">
        <v>1084841.8700000001</v>
      </c>
      <c r="R60" s="104">
        <v>1544955.8523231</v>
      </c>
      <c r="S60" s="104">
        <v>0</v>
      </c>
      <c r="T60" s="104">
        <v>0</v>
      </c>
      <c r="U60" s="112">
        <v>0</v>
      </c>
      <c r="V60" s="107" t="s">
        <v>75</v>
      </c>
      <c r="W60" s="104" t="s">
        <v>874</v>
      </c>
      <c r="X60" s="104" t="s">
        <v>81</v>
      </c>
      <c r="Y60" s="104" t="s">
        <v>78</v>
      </c>
      <c r="Z60" s="104" t="s">
        <v>75</v>
      </c>
      <c r="AA60" s="104">
        <v>999</v>
      </c>
      <c r="AB60" s="108" t="s">
        <v>875</v>
      </c>
      <c r="AC60" s="104">
        <v>0</v>
      </c>
      <c r="AD60" s="105" t="s">
        <v>78</v>
      </c>
      <c r="AE60" s="104">
        <v>0</v>
      </c>
      <c r="AF60" s="104" t="s">
        <v>78</v>
      </c>
      <c r="AG60" s="104">
        <v>1</v>
      </c>
      <c r="AH60" s="109" t="s">
        <v>81</v>
      </c>
      <c r="AI60" s="109" t="s">
        <v>78</v>
      </c>
      <c r="AJ60" s="109" t="s">
        <v>75</v>
      </c>
      <c r="AK60" s="109" t="s">
        <v>795</v>
      </c>
      <c r="AL60" s="109" t="s">
        <v>78</v>
      </c>
      <c r="AM60" s="109" t="s">
        <v>81</v>
      </c>
      <c r="AN60" s="109" t="s">
        <v>81</v>
      </c>
      <c r="AO60" s="109" t="s">
        <v>78</v>
      </c>
      <c r="AP60" s="109" t="s">
        <v>81</v>
      </c>
      <c r="AQ60" s="109">
        <v>1</v>
      </c>
      <c r="AR60" s="109" t="s">
        <v>126</v>
      </c>
    </row>
    <row r="61" spans="1:44" ht="30.6" customHeight="1" x14ac:dyDescent="0.45">
      <c r="A61" s="104" t="s">
        <v>876</v>
      </c>
      <c r="B61" s="125" t="s">
        <v>877</v>
      </c>
      <c r="C61" s="105">
        <v>2018</v>
      </c>
      <c r="D61" s="105" t="s">
        <v>87</v>
      </c>
      <c r="E61" s="105" t="s">
        <v>184</v>
      </c>
      <c r="F61" s="105" t="s">
        <v>87</v>
      </c>
      <c r="G61" s="105" t="s">
        <v>87</v>
      </c>
      <c r="H61" s="105" t="s">
        <v>593</v>
      </c>
      <c r="I61" s="106" t="s">
        <v>101</v>
      </c>
      <c r="J61" s="104" t="s">
        <v>676</v>
      </c>
      <c r="K61" s="104" t="s">
        <v>75</v>
      </c>
      <c r="L61" s="107" t="s">
        <v>126</v>
      </c>
      <c r="M61" s="107">
        <v>4141429</v>
      </c>
      <c r="N61" s="104">
        <v>2908041.4007148226</v>
      </c>
      <c r="O61" s="104">
        <v>4141429</v>
      </c>
      <c r="P61" s="104">
        <v>2995197.04</v>
      </c>
      <c r="Q61" s="104">
        <v>2995197.04</v>
      </c>
      <c r="R61" s="104">
        <v>4265549.9605751997</v>
      </c>
      <c r="S61" s="104">
        <v>0</v>
      </c>
      <c r="T61" s="104">
        <v>0</v>
      </c>
      <c r="U61" s="112">
        <v>0</v>
      </c>
      <c r="V61" s="107" t="s">
        <v>81</v>
      </c>
      <c r="W61" s="104" t="s">
        <v>78</v>
      </c>
      <c r="X61" s="104" t="s">
        <v>81</v>
      </c>
      <c r="Y61" s="104" t="s">
        <v>78</v>
      </c>
      <c r="Z61" s="104" t="s">
        <v>81</v>
      </c>
      <c r="AA61" s="104">
        <v>0</v>
      </c>
      <c r="AB61" s="108" t="s">
        <v>78</v>
      </c>
      <c r="AC61" s="104">
        <v>0</v>
      </c>
      <c r="AD61" s="105" t="s">
        <v>78</v>
      </c>
      <c r="AE61" s="104">
        <v>0</v>
      </c>
      <c r="AF61" s="104" t="s">
        <v>78</v>
      </c>
      <c r="AG61" s="104">
        <v>0</v>
      </c>
      <c r="AH61" s="109" t="s">
        <v>81</v>
      </c>
      <c r="AI61" s="109" t="s">
        <v>78</v>
      </c>
      <c r="AJ61" s="109" t="s">
        <v>81</v>
      </c>
      <c r="AK61" s="109" t="s">
        <v>78</v>
      </c>
      <c r="AL61" s="109" t="s">
        <v>78</v>
      </c>
      <c r="AM61" s="109" t="s">
        <v>81</v>
      </c>
      <c r="AN61" s="109" t="s">
        <v>81</v>
      </c>
      <c r="AO61" s="109" t="s">
        <v>78</v>
      </c>
      <c r="AP61" s="109" t="s">
        <v>81</v>
      </c>
      <c r="AQ61" s="109">
        <v>1</v>
      </c>
      <c r="AR61" s="109" t="s">
        <v>126</v>
      </c>
    </row>
    <row r="62" spans="1:44" ht="30.6" customHeight="1" x14ac:dyDescent="0.45">
      <c r="A62" s="104" t="s">
        <v>878</v>
      </c>
      <c r="B62" s="125" t="s">
        <v>879</v>
      </c>
      <c r="C62" s="105">
        <v>2018</v>
      </c>
      <c r="D62" s="105" t="s">
        <v>87</v>
      </c>
      <c r="E62" s="105" t="s">
        <v>880</v>
      </c>
      <c r="F62" s="105" t="s">
        <v>87</v>
      </c>
      <c r="G62" s="105" t="s">
        <v>87</v>
      </c>
      <c r="H62" s="105" t="s">
        <v>589</v>
      </c>
      <c r="I62" s="106" t="s">
        <v>256</v>
      </c>
      <c r="J62" s="104" t="s">
        <v>676</v>
      </c>
      <c r="K62" s="104" t="s">
        <v>75</v>
      </c>
      <c r="L62" s="107" t="s">
        <v>126</v>
      </c>
      <c r="M62" s="107">
        <v>500000</v>
      </c>
      <c r="N62" s="104">
        <v>351091.54360908066</v>
      </c>
      <c r="O62" s="104">
        <v>500000</v>
      </c>
      <c r="P62" s="104">
        <v>361613.96</v>
      </c>
      <c r="Q62" s="104">
        <v>361613.96</v>
      </c>
      <c r="R62" s="104">
        <v>514985.28885479999</v>
      </c>
      <c r="S62" s="104">
        <v>0</v>
      </c>
      <c r="T62" s="104">
        <v>0</v>
      </c>
      <c r="U62" s="112">
        <v>0</v>
      </c>
      <c r="V62" s="107" t="s">
        <v>81</v>
      </c>
      <c r="W62" s="104" t="s">
        <v>78</v>
      </c>
      <c r="X62" s="104" t="s">
        <v>81</v>
      </c>
      <c r="Y62" s="104" t="s">
        <v>78</v>
      </c>
      <c r="Z62" s="104" t="s">
        <v>81</v>
      </c>
      <c r="AA62" s="104">
        <v>0</v>
      </c>
      <c r="AB62" s="108" t="s">
        <v>78</v>
      </c>
      <c r="AC62" s="104">
        <v>0</v>
      </c>
      <c r="AD62" s="105" t="s">
        <v>78</v>
      </c>
      <c r="AE62" s="104">
        <v>0</v>
      </c>
      <c r="AF62" s="104" t="s">
        <v>78</v>
      </c>
      <c r="AG62" s="104">
        <v>0</v>
      </c>
      <c r="AH62" s="109" t="s">
        <v>81</v>
      </c>
      <c r="AI62" s="109" t="s">
        <v>78</v>
      </c>
      <c r="AJ62" s="109" t="s">
        <v>81</v>
      </c>
      <c r="AK62" s="109" t="s">
        <v>78</v>
      </c>
      <c r="AL62" s="109" t="s">
        <v>78</v>
      </c>
      <c r="AM62" s="109" t="s">
        <v>81</v>
      </c>
      <c r="AN62" s="109" t="s">
        <v>81</v>
      </c>
      <c r="AO62" s="109" t="s">
        <v>78</v>
      </c>
      <c r="AP62" s="109" t="s">
        <v>81</v>
      </c>
      <c r="AQ62" s="109">
        <v>1</v>
      </c>
      <c r="AR62" s="109" t="s">
        <v>126</v>
      </c>
    </row>
    <row r="63" spans="1:44" ht="30.6" customHeight="1" x14ac:dyDescent="0.45">
      <c r="A63" s="104" t="s">
        <v>881</v>
      </c>
      <c r="B63" s="125" t="s">
        <v>882</v>
      </c>
      <c r="C63" s="105">
        <v>2018</v>
      </c>
      <c r="D63" s="105" t="s">
        <v>87</v>
      </c>
      <c r="E63" s="105" t="s">
        <v>883</v>
      </c>
      <c r="F63" s="105" t="s">
        <v>87</v>
      </c>
      <c r="G63" s="105" t="s">
        <v>87</v>
      </c>
      <c r="H63" s="105" t="s">
        <v>596</v>
      </c>
      <c r="I63" s="106" t="s">
        <v>101</v>
      </c>
      <c r="J63" s="104" t="s">
        <v>676</v>
      </c>
      <c r="K63" s="104" t="s">
        <v>81</v>
      </c>
      <c r="L63" s="107" t="s">
        <v>74</v>
      </c>
      <c r="M63" s="107">
        <v>2000000</v>
      </c>
      <c r="N63" s="104">
        <v>2000000</v>
      </c>
      <c r="O63" s="104">
        <v>2848260</v>
      </c>
      <c r="P63" s="104">
        <v>2000000</v>
      </c>
      <c r="Q63" s="104">
        <v>2000000</v>
      </c>
      <c r="R63" s="104">
        <v>2848260</v>
      </c>
      <c r="S63" s="104">
        <v>2000000</v>
      </c>
      <c r="T63" s="104">
        <v>2000000</v>
      </c>
      <c r="U63" s="112">
        <v>2848260</v>
      </c>
      <c r="V63" s="107" t="s">
        <v>81</v>
      </c>
      <c r="W63" s="104" t="s">
        <v>78</v>
      </c>
      <c r="X63" s="104" t="s">
        <v>81</v>
      </c>
      <c r="Y63" s="104" t="s">
        <v>78</v>
      </c>
      <c r="Z63" s="104" t="s">
        <v>81</v>
      </c>
      <c r="AA63" s="104">
        <v>0</v>
      </c>
      <c r="AB63" s="108" t="s">
        <v>78</v>
      </c>
      <c r="AC63" s="104">
        <v>0</v>
      </c>
      <c r="AD63" s="105" t="s">
        <v>78</v>
      </c>
      <c r="AE63" s="104">
        <v>0</v>
      </c>
      <c r="AF63" s="104" t="s">
        <v>78</v>
      </c>
      <c r="AG63" s="104">
        <v>0</v>
      </c>
      <c r="AH63" s="109" t="s">
        <v>81</v>
      </c>
      <c r="AI63" s="109" t="s">
        <v>78</v>
      </c>
      <c r="AJ63" s="109" t="s">
        <v>81</v>
      </c>
      <c r="AK63" s="109" t="s">
        <v>78</v>
      </c>
      <c r="AL63" s="109" t="s">
        <v>78</v>
      </c>
      <c r="AM63" s="109" t="s">
        <v>81</v>
      </c>
      <c r="AN63" s="109" t="s">
        <v>81</v>
      </c>
      <c r="AO63" s="109" t="s">
        <v>78</v>
      </c>
      <c r="AP63" s="109" t="s">
        <v>81</v>
      </c>
      <c r="AQ63" s="109">
        <v>1</v>
      </c>
      <c r="AR63" s="109" t="s">
        <v>74</v>
      </c>
    </row>
    <row r="64" spans="1:44" ht="30.6" customHeight="1" x14ac:dyDescent="0.45">
      <c r="A64" s="104" t="s">
        <v>884</v>
      </c>
      <c r="B64" s="125" t="s">
        <v>885</v>
      </c>
      <c r="C64" s="105">
        <v>2018</v>
      </c>
      <c r="D64" s="105" t="s">
        <v>87</v>
      </c>
      <c r="E64" s="105" t="s">
        <v>886</v>
      </c>
      <c r="F64" s="105" t="s">
        <v>87</v>
      </c>
      <c r="G64" s="105" t="s">
        <v>87</v>
      </c>
      <c r="H64" s="105" t="s">
        <v>599</v>
      </c>
      <c r="I64" s="106" t="s">
        <v>101</v>
      </c>
      <c r="J64" s="104" t="s">
        <v>676</v>
      </c>
      <c r="K64" s="104" t="s">
        <v>81</v>
      </c>
      <c r="L64" s="107" t="s">
        <v>74</v>
      </c>
      <c r="M64" s="107">
        <v>1000000</v>
      </c>
      <c r="N64" s="104">
        <v>1000000</v>
      </c>
      <c r="O64" s="104">
        <v>1424130</v>
      </c>
      <c r="P64" s="104">
        <v>1000000</v>
      </c>
      <c r="Q64" s="104">
        <v>1000000</v>
      </c>
      <c r="R64" s="104">
        <v>1424130</v>
      </c>
      <c r="S64" s="104">
        <v>1000000</v>
      </c>
      <c r="T64" s="104">
        <v>1000000</v>
      </c>
      <c r="U64" s="112">
        <v>1424130</v>
      </c>
      <c r="V64" s="107" t="s">
        <v>81</v>
      </c>
      <c r="W64" s="104" t="s">
        <v>78</v>
      </c>
      <c r="X64" s="104" t="s">
        <v>81</v>
      </c>
      <c r="Y64" s="104" t="s">
        <v>78</v>
      </c>
      <c r="Z64" s="104" t="s">
        <v>81</v>
      </c>
      <c r="AA64" s="104">
        <v>0</v>
      </c>
      <c r="AB64" s="108" t="s">
        <v>78</v>
      </c>
      <c r="AC64" s="104">
        <v>0</v>
      </c>
      <c r="AD64" s="105" t="s">
        <v>78</v>
      </c>
      <c r="AE64" s="104">
        <v>0</v>
      </c>
      <c r="AF64" s="104" t="s">
        <v>78</v>
      </c>
      <c r="AG64" s="104">
        <v>0</v>
      </c>
      <c r="AH64" s="109" t="s">
        <v>81</v>
      </c>
      <c r="AI64" s="109" t="s">
        <v>78</v>
      </c>
      <c r="AJ64" s="109" t="s">
        <v>81</v>
      </c>
      <c r="AK64" s="109" t="s">
        <v>78</v>
      </c>
      <c r="AL64" s="109" t="s">
        <v>78</v>
      </c>
      <c r="AM64" s="109" t="s">
        <v>81</v>
      </c>
      <c r="AN64" s="109" t="s">
        <v>81</v>
      </c>
      <c r="AO64" s="109" t="s">
        <v>78</v>
      </c>
      <c r="AP64" s="109" t="s">
        <v>81</v>
      </c>
      <c r="AQ64" s="109">
        <v>1</v>
      </c>
      <c r="AR64" s="109" t="s">
        <v>74</v>
      </c>
    </row>
    <row r="65" spans="1:44" ht="30.6" customHeight="1" x14ac:dyDescent="0.45">
      <c r="A65" s="104" t="s">
        <v>887</v>
      </c>
      <c r="B65" s="125" t="s">
        <v>888</v>
      </c>
      <c r="C65" s="105">
        <v>2018</v>
      </c>
      <c r="D65" s="105" t="s">
        <v>87</v>
      </c>
      <c r="E65" s="105" t="s">
        <v>184</v>
      </c>
      <c r="F65" s="105" t="s">
        <v>87</v>
      </c>
      <c r="G65" s="105" t="s">
        <v>87</v>
      </c>
      <c r="H65" s="105" t="s">
        <v>585</v>
      </c>
      <c r="I65" s="106" t="s">
        <v>228</v>
      </c>
      <c r="J65" s="104" t="s">
        <v>676</v>
      </c>
      <c r="K65" s="104" t="s">
        <v>75</v>
      </c>
      <c r="L65" s="107" t="s">
        <v>126</v>
      </c>
      <c r="M65" s="107">
        <v>1000000</v>
      </c>
      <c r="N65" s="104">
        <v>702183.08721816132</v>
      </c>
      <c r="O65" s="104">
        <v>1000000</v>
      </c>
      <c r="P65" s="104">
        <v>723227.91</v>
      </c>
      <c r="Q65" s="104">
        <v>723227.91</v>
      </c>
      <c r="R65" s="104">
        <v>1029970.5634682999</v>
      </c>
      <c r="S65" s="104">
        <v>0</v>
      </c>
      <c r="T65" s="104">
        <v>0</v>
      </c>
      <c r="U65" s="112">
        <v>0</v>
      </c>
      <c r="V65" s="107" t="s">
        <v>81</v>
      </c>
      <c r="W65" s="104" t="s">
        <v>78</v>
      </c>
      <c r="X65" s="104" t="s">
        <v>81</v>
      </c>
      <c r="Y65" s="104" t="s">
        <v>78</v>
      </c>
      <c r="Z65" s="104" t="s">
        <v>81</v>
      </c>
      <c r="AA65" s="104">
        <v>0</v>
      </c>
      <c r="AB65" s="108" t="s">
        <v>78</v>
      </c>
      <c r="AC65" s="104">
        <v>0</v>
      </c>
      <c r="AD65" s="105" t="s">
        <v>78</v>
      </c>
      <c r="AE65" s="110">
        <v>0</v>
      </c>
      <c r="AF65" s="104" t="s">
        <v>78</v>
      </c>
      <c r="AG65" s="104">
        <v>0</v>
      </c>
      <c r="AH65" s="109" t="s">
        <v>81</v>
      </c>
      <c r="AI65" s="109" t="s">
        <v>78</v>
      </c>
      <c r="AJ65" s="109" t="s">
        <v>81</v>
      </c>
      <c r="AK65" s="109" t="s">
        <v>78</v>
      </c>
      <c r="AL65" s="109" t="s">
        <v>78</v>
      </c>
      <c r="AM65" s="109" t="s">
        <v>81</v>
      </c>
      <c r="AN65" s="109" t="s">
        <v>81</v>
      </c>
      <c r="AO65" s="109" t="s">
        <v>78</v>
      </c>
      <c r="AP65" s="109" t="s">
        <v>81</v>
      </c>
      <c r="AQ65" s="109">
        <v>1</v>
      </c>
      <c r="AR65" s="109" t="s">
        <v>126</v>
      </c>
    </row>
    <row r="66" spans="1:44" ht="30.6" customHeight="1" x14ac:dyDescent="0.45">
      <c r="A66" s="104" t="s">
        <v>889</v>
      </c>
      <c r="B66" s="125" t="s">
        <v>890</v>
      </c>
      <c r="C66" s="105">
        <v>2018</v>
      </c>
      <c r="D66" s="105" t="s">
        <v>497</v>
      </c>
      <c r="E66" s="105" t="s">
        <v>78</v>
      </c>
      <c r="F66" s="105" t="s">
        <v>538</v>
      </c>
      <c r="G66" s="105" t="s">
        <v>520</v>
      </c>
      <c r="H66" s="105" t="s">
        <v>228</v>
      </c>
      <c r="I66" s="106" t="s">
        <v>228</v>
      </c>
      <c r="J66" s="104" t="s">
        <v>689</v>
      </c>
      <c r="K66" s="104" t="s">
        <v>81</v>
      </c>
      <c r="L66" s="107" t="s">
        <v>126</v>
      </c>
      <c r="M66" s="107">
        <v>600000000</v>
      </c>
      <c r="N66" s="104">
        <v>421309852.33089679</v>
      </c>
      <c r="O66" s="104">
        <v>600000000</v>
      </c>
      <c r="P66" s="104">
        <v>108484186.59999999</v>
      </c>
      <c r="Q66" s="104">
        <v>108484186.59999999</v>
      </c>
      <c r="R66" s="104">
        <v>154495584.66265798</v>
      </c>
      <c r="S66" s="104">
        <v>108484186.59999999</v>
      </c>
      <c r="T66" s="104">
        <v>108484186.59999999</v>
      </c>
      <c r="U66" s="112">
        <v>154495584.66265798</v>
      </c>
      <c r="V66" s="107" t="s">
        <v>81</v>
      </c>
      <c r="W66" s="104" t="s">
        <v>78</v>
      </c>
      <c r="X66" s="104" t="s">
        <v>81</v>
      </c>
      <c r="Y66" s="104" t="s">
        <v>78</v>
      </c>
      <c r="Z66" s="104" t="s">
        <v>81</v>
      </c>
      <c r="AA66" s="104">
        <v>0</v>
      </c>
      <c r="AB66" s="108" t="s">
        <v>78</v>
      </c>
      <c r="AC66" s="104">
        <v>0</v>
      </c>
      <c r="AD66" s="105" t="s">
        <v>78</v>
      </c>
      <c r="AE66" s="110">
        <v>0</v>
      </c>
      <c r="AF66" s="104" t="s">
        <v>78</v>
      </c>
      <c r="AG66" s="104">
        <v>0</v>
      </c>
      <c r="AH66" s="109" t="s">
        <v>81</v>
      </c>
      <c r="AI66" s="109" t="s">
        <v>78</v>
      </c>
      <c r="AJ66" s="109" t="s">
        <v>81</v>
      </c>
      <c r="AK66" s="109" t="s">
        <v>78</v>
      </c>
      <c r="AL66" s="109" t="s">
        <v>78</v>
      </c>
      <c r="AM66" s="109" t="s">
        <v>81</v>
      </c>
      <c r="AN66" s="109" t="s">
        <v>81</v>
      </c>
      <c r="AO66" s="109" t="s">
        <v>78</v>
      </c>
      <c r="AP66" s="109" t="s">
        <v>81</v>
      </c>
      <c r="AQ66" s="109">
        <v>1</v>
      </c>
      <c r="AR66" s="109" t="s">
        <v>126</v>
      </c>
    </row>
    <row r="67" spans="1:44" ht="30.6" customHeight="1" x14ac:dyDescent="0.45">
      <c r="A67" s="104" t="s">
        <v>891</v>
      </c>
      <c r="B67" s="125" t="s">
        <v>892</v>
      </c>
      <c r="C67" s="105">
        <v>2018</v>
      </c>
      <c r="D67" s="105" t="s">
        <v>497</v>
      </c>
      <c r="E67" s="105" t="s">
        <v>78</v>
      </c>
      <c r="F67" s="105" t="s">
        <v>538</v>
      </c>
      <c r="G67" s="105" t="s">
        <v>520</v>
      </c>
      <c r="H67" s="105" t="s">
        <v>228</v>
      </c>
      <c r="I67" s="106" t="s">
        <v>228</v>
      </c>
      <c r="J67" s="104" t="s">
        <v>676</v>
      </c>
      <c r="K67" s="104" t="s">
        <v>81</v>
      </c>
      <c r="L67" s="107" t="s">
        <v>74</v>
      </c>
      <c r="M67" s="107">
        <v>10000000</v>
      </c>
      <c r="N67" s="104">
        <v>10000000</v>
      </c>
      <c r="O67" s="104">
        <v>14241299.999999998</v>
      </c>
      <c r="P67" s="104">
        <v>10000000</v>
      </c>
      <c r="Q67" s="104">
        <v>10000000</v>
      </c>
      <c r="R67" s="104">
        <v>14241299.999999998</v>
      </c>
      <c r="S67" s="104">
        <v>10000000</v>
      </c>
      <c r="T67" s="104">
        <v>10000000</v>
      </c>
      <c r="U67" s="112">
        <v>14241299.999999998</v>
      </c>
      <c r="V67" s="107" t="s">
        <v>81</v>
      </c>
      <c r="W67" s="104" t="s">
        <v>78</v>
      </c>
      <c r="X67" s="104" t="s">
        <v>81</v>
      </c>
      <c r="Y67" s="104" t="s">
        <v>78</v>
      </c>
      <c r="Z67" s="104" t="s">
        <v>81</v>
      </c>
      <c r="AA67" s="104">
        <v>0</v>
      </c>
      <c r="AB67" s="108" t="s">
        <v>78</v>
      </c>
      <c r="AC67" s="104">
        <v>0</v>
      </c>
      <c r="AD67" s="105" t="s">
        <v>78</v>
      </c>
      <c r="AE67" s="104">
        <v>0</v>
      </c>
      <c r="AF67" s="104" t="s">
        <v>78</v>
      </c>
      <c r="AG67" s="104">
        <v>0</v>
      </c>
      <c r="AH67" s="109" t="s">
        <v>81</v>
      </c>
      <c r="AI67" s="109" t="s">
        <v>78</v>
      </c>
      <c r="AJ67" s="109" t="s">
        <v>81</v>
      </c>
      <c r="AK67" s="109" t="s">
        <v>78</v>
      </c>
      <c r="AL67" s="109" t="s">
        <v>78</v>
      </c>
      <c r="AM67" s="109" t="s">
        <v>81</v>
      </c>
      <c r="AN67" s="109" t="s">
        <v>81</v>
      </c>
      <c r="AO67" s="109" t="s">
        <v>78</v>
      </c>
      <c r="AP67" s="109" t="s">
        <v>81</v>
      </c>
      <c r="AQ67" s="109">
        <v>1</v>
      </c>
      <c r="AR67" s="109" t="s">
        <v>74</v>
      </c>
    </row>
    <row r="68" spans="1:44" ht="30.6" customHeight="1" x14ac:dyDescent="0.45">
      <c r="A68" s="104" t="s">
        <v>893</v>
      </c>
      <c r="B68" s="125" t="s">
        <v>894</v>
      </c>
      <c r="C68" s="105">
        <v>2018</v>
      </c>
      <c r="D68" s="105" t="s">
        <v>184</v>
      </c>
      <c r="E68" s="105" t="s">
        <v>78</v>
      </c>
      <c r="F68" s="105" t="s">
        <v>554</v>
      </c>
      <c r="G68" s="105" t="s">
        <v>520</v>
      </c>
      <c r="H68" s="105" t="s">
        <v>466</v>
      </c>
      <c r="I68" s="106" t="s">
        <v>466</v>
      </c>
      <c r="J68" s="104" t="s">
        <v>676</v>
      </c>
      <c r="K68" s="104" t="s">
        <v>81</v>
      </c>
      <c r="L68" s="107" t="s">
        <v>74</v>
      </c>
      <c r="M68" s="107">
        <v>10000000</v>
      </c>
      <c r="N68" s="104">
        <v>10000000</v>
      </c>
      <c r="O68" s="104">
        <v>14241299.999999998</v>
      </c>
      <c r="P68" s="104">
        <v>3990000</v>
      </c>
      <c r="Q68" s="104">
        <v>3990000</v>
      </c>
      <c r="R68" s="104">
        <v>5682278.6999999993</v>
      </c>
      <c r="S68" s="104">
        <v>3990000</v>
      </c>
      <c r="T68" s="104">
        <v>3990000</v>
      </c>
      <c r="U68" s="112">
        <v>5682278.6999999993</v>
      </c>
      <c r="V68" s="107" t="s">
        <v>75</v>
      </c>
      <c r="W68" s="104" t="s">
        <v>847</v>
      </c>
      <c r="X68" s="104" t="s">
        <v>81</v>
      </c>
      <c r="Y68" s="104" t="s">
        <v>78</v>
      </c>
      <c r="Z68" s="104" t="s">
        <v>75</v>
      </c>
      <c r="AA68" s="104">
        <v>999</v>
      </c>
      <c r="AB68" s="108" t="s">
        <v>895</v>
      </c>
      <c r="AC68" s="104">
        <v>999</v>
      </c>
      <c r="AD68" s="105" t="s">
        <v>896</v>
      </c>
      <c r="AE68" s="104">
        <v>999</v>
      </c>
      <c r="AF68" s="104" t="s">
        <v>897</v>
      </c>
      <c r="AG68" s="104">
        <v>4</v>
      </c>
      <c r="AH68" s="109" t="s">
        <v>81</v>
      </c>
      <c r="AI68" s="109" t="s">
        <v>78</v>
      </c>
      <c r="AJ68" s="109" t="s">
        <v>75</v>
      </c>
      <c r="AK68" s="109" t="s">
        <v>256</v>
      </c>
      <c r="AL68" s="109" t="s">
        <v>78</v>
      </c>
      <c r="AM68" s="109" t="s">
        <v>81</v>
      </c>
      <c r="AN68" s="109" t="s">
        <v>81</v>
      </c>
      <c r="AO68" s="109" t="s">
        <v>78</v>
      </c>
      <c r="AP68" s="109" t="s">
        <v>81</v>
      </c>
      <c r="AQ68" s="109">
        <v>1</v>
      </c>
      <c r="AR68" s="109" t="s">
        <v>74</v>
      </c>
    </row>
    <row r="69" spans="1:44" ht="30.6" customHeight="1" x14ac:dyDescent="0.45">
      <c r="A69" s="104" t="s">
        <v>898</v>
      </c>
      <c r="B69" s="125" t="s">
        <v>899</v>
      </c>
      <c r="C69" s="105">
        <v>2018</v>
      </c>
      <c r="D69" s="105" t="s">
        <v>482</v>
      </c>
      <c r="E69" s="105" t="s">
        <v>78</v>
      </c>
      <c r="F69" s="105" t="s">
        <v>527</v>
      </c>
      <c r="G69" s="105" t="s">
        <v>520</v>
      </c>
      <c r="H69" s="105" t="s">
        <v>596</v>
      </c>
      <c r="I69" s="106" t="s">
        <v>101</v>
      </c>
      <c r="J69" s="104" t="s">
        <v>676</v>
      </c>
      <c r="K69" s="104" t="s">
        <v>81</v>
      </c>
      <c r="L69" s="107" t="s">
        <v>74</v>
      </c>
      <c r="M69" s="107">
        <v>7000000</v>
      </c>
      <c r="N69" s="104">
        <v>7000000</v>
      </c>
      <c r="O69" s="104">
        <v>9968910</v>
      </c>
      <c r="P69" s="104">
        <v>7000000</v>
      </c>
      <c r="Q69" s="104">
        <v>7000000</v>
      </c>
      <c r="R69" s="104">
        <v>9968910</v>
      </c>
      <c r="S69" s="104">
        <v>7000000</v>
      </c>
      <c r="T69" s="104">
        <v>7000000</v>
      </c>
      <c r="U69" s="112">
        <v>9968910</v>
      </c>
      <c r="V69" s="107" t="s">
        <v>81</v>
      </c>
      <c r="W69" s="104" t="s">
        <v>78</v>
      </c>
      <c r="X69" s="104" t="s">
        <v>81</v>
      </c>
      <c r="Y69" s="104" t="s">
        <v>78</v>
      </c>
      <c r="Z69" s="104" t="s">
        <v>81</v>
      </c>
      <c r="AA69" s="104">
        <v>0</v>
      </c>
      <c r="AB69" s="108" t="s">
        <v>78</v>
      </c>
      <c r="AC69" s="104">
        <v>0</v>
      </c>
      <c r="AD69" s="105" t="s">
        <v>78</v>
      </c>
      <c r="AE69" s="104">
        <v>0</v>
      </c>
      <c r="AF69" s="104" t="s">
        <v>78</v>
      </c>
      <c r="AG69" s="104">
        <v>0</v>
      </c>
      <c r="AH69" s="109" t="s">
        <v>81</v>
      </c>
      <c r="AI69" s="109" t="s">
        <v>78</v>
      </c>
      <c r="AJ69" s="109" t="s">
        <v>81</v>
      </c>
      <c r="AK69" s="109" t="s">
        <v>78</v>
      </c>
      <c r="AL69" s="109" t="s">
        <v>78</v>
      </c>
      <c r="AM69" s="109" t="s">
        <v>81</v>
      </c>
      <c r="AN69" s="109" t="s">
        <v>81</v>
      </c>
      <c r="AO69" s="109" t="s">
        <v>78</v>
      </c>
      <c r="AP69" s="109" t="s">
        <v>81</v>
      </c>
      <c r="AQ69" s="109">
        <v>1</v>
      </c>
      <c r="AR69" s="109" t="s">
        <v>74</v>
      </c>
    </row>
    <row r="70" spans="1:44" ht="30.6" customHeight="1" x14ac:dyDescent="0.45">
      <c r="A70" s="104" t="s">
        <v>900</v>
      </c>
      <c r="B70" s="125" t="s">
        <v>901</v>
      </c>
      <c r="C70" s="105">
        <v>2017</v>
      </c>
      <c r="D70" s="105" t="s">
        <v>226</v>
      </c>
      <c r="E70" s="105" t="s">
        <v>78</v>
      </c>
      <c r="F70" s="105" t="s">
        <v>534</v>
      </c>
      <c r="G70" s="105" t="s">
        <v>518</v>
      </c>
      <c r="H70" s="105" t="s">
        <v>591</v>
      </c>
      <c r="I70" s="106" t="s">
        <v>256</v>
      </c>
      <c r="J70" s="104" t="s">
        <v>679</v>
      </c>
      <c r="K70" s="104" t="s">
        <v>81</v>
      </c>
      <c r="L70" s="107" t="s">
        <v>126</v>
      </c>
      <c r="M70" s="107">
        <v>387440000</v>
      </c>
      <c r="N70" s="104">
        <v>288203045.38320202</v>
      </c>
      <c r="O70" s="104">
        <v>387440000</v>
      </c>
      <c r="P70" s="104">
        <v>108484186.59999999</v>
      </c>
      <c r="Q70" s="104">
        <v>108484186.59999999</v>
      </c>
      <c r="R70" s="104">
        <v>145838546.571978</v>
      </c>
      <c r="S70" s="104">
        <v>72322791.079999998</v>
      </c>
      <c r="T70" s="104">
        <v>72322791.079999998</v>
      </c>
      <c r="U70" s="112">
        <v>97225697.7325764</v>
      </c>
      <c r="V70" s="107" t="s">
        <v>75</v>
      </c>
      <c r="W70" s="104" t="s">
        <v>902</v>
      </c>
      <c r="X70" s="104" t="s">
        <v>81</v>
      </c>
      <c r="Y70" s="104" t="s">
        <v>78</v>
      </c>
      <c r="Z70" s="104" t="s">
        <v>75</v>
      </c>
      <c r="AA70" s="104">
        <v>999</v>
      </c>
      <c r="AB70" s="108" t="s">
        <v>903</v>
      </c>
      <c r="AC70" s="104">
        <v>999</v>
      </c>
      <c r="AD70" s="105" t="s">
        <v>904</v>
      </c>
      <c r="AE70" s="104">
        <v>0</v>
      </c>
      <c r="AF70" s="104" t="s">
        <v>78</v>
      </c>
      <c r="AG70" s="104">
        <v>2</v>
      </c>
      <c r="AH70" s="109" t="s">
        <v>81</v>
      </c>
      <c r="AI70" s="109" t="s">
        <v>78</v>
      </c>
      <c r="AJ70" s="109" t="s">
        <v>75</v>
      </c>
      <c r="AK70" s="109" t="s">
        <v>256</v>
      </c>
      <c r="AL70" s="109" t="s">
        <v>78</v>
      </c>
      <c r="AM70" s="109" t="s">
        <v>81</v>
      </c>
      <c r="AN70" s="109" t="s">
        <v>81</v>
      </c>
      <c r="AO70" s="109" t="s">
        <v>78</v>
      </c>
      <c r="AP70" s="109" t="s">
        <v>81</v>
      </c>
      <c r="AQ70" s="109">
        <v>1</v>
      </c>
      <c r="AR70" s="109" t="s">
        <v>126</v>
      </c>
    </row>
    <row r="71" spans="1:44" ht="30.6" customHeight="1" x14ac:dyDescent="0.45">
      <c r="A71" s="104" t="s">
        <v>905</v>
      </c>
      <c r="B71" s="125" t="s">
        <v>906</v>
      </c>
      <c r="C71" s="105">
        <v>2017</v>
      </c>
      <c r="D71" s="105" t="s">
        <v>497</v>
      </c>
      <c r="E71" s="105" t="s">
        <v>78</v>
      </c>
      <c r="F71" s="105" t="s">
        <v>538</v>
      </c>
      <c r="G71" s="105" t="s">
        <v>520</v>
      </c>
      <c r="H71" s="105" t="s">
        <v>585</v>
      </c>
      <c r="I71" s="106" t="s">
        <v>228</v>
      </c>
      <c r="J71" s="104" t="s">
        <v>676</v>
      </c>
      <c r="K71" s="104" t="s">
        <v>81</v>
      </c>
      <c r="L71" s="107" t="s">
        <v>74</v>
      </c>
      <c r="M71" s="107">
        <v>40376010</v>
      </c>
      <c r="N71" s="104">
        <v>40376010</v>
      </c>
      <c r="O71" s="104">
        <v>54278681.5233</v>
      </c>
      <c r="P71" s="104">
        <v>27864750</v>
      </c>
      <c r="Q71" s="104">
        <v>27864750</v>
      </c>
      <c r="R71" s="104">
        <v>37459419.3675</v>
      </c>
      <c r="S71" s="104">
        <v>27864750</v>
      </c>
      <c r="T71" s="104">
        <v>27864750</v>
      </c>
      <c r="U71" s="112">
        <v>37459419.3675</v>
      </c>
      <c r="V71" s="107" t="s">
        <v>75</v>
      </c>
      <c r="W71" s="104" t="s">
        <v>907</v>
      </c>
      <c r="X71" s="104" t="s">
        <v>75</v>
      </c>
      <c r="Y71" s="104" t="s">
        <v>908</v>
      </c>
      <c r="Z71" s="104" t="s">
        <v>75</v>
      </c>
      <c r="AA71" s="104">
        <v>999</v>
      </c>
      <c r="AB71" s="108" t="s">
        <v>909</v>
      </c>
      <c r="AC71" s="104">
        <v>999</v>
      </c>
      <c r="AD71" s="105" t="s">
        <v>910</v>
      </c>
      <c r="AE71" s="104">
        <v>0</v>
      </c>
      <c r="AF71" s="104" t="s">
        <v>78</v>
      </c>
      <c r="AG71" s="104">
        <v>2</v>
      </c>
      <c r="AH71" s="109" t="s">
        <v>75</v>
      </c>
      <c r="AI71" s="109" t="s">
        <v>911</v>
      </c>
      <c r="AJ71" s="109" t="s">
        <v>75</v>
      </c>
      <c r="AK71" s="109" t="s">
        <v>466</v>
      </c>
      <c r="AL71" s="109" t="s">
        <v>78</v>
      </c>
      <c r="AM71" s="109" t="s">
        <v>81</v>
      </c>
      <c r="AN71" s="109" t="s">
        <v>81</v>
      </c>
      <c r="AO71" s="109" t="s">
        <v>78</v>
      </c>
      <c r="AP71" s="109" t="s">
        <v>75</v>
      </c>
      <c r="AQ71" s="109">
        <v>1</v>
      </c>
      <c r="AR71" s="109" t="s">
        <v>74</v>
      </c>
    </row>
    <row r="72" spans="1:44" ht="30.6" customHeight="1" x14ac:dyDescent="0.45">
      <c r="A72" s="104" t="s">
        <v>912</v>
      </c>
      <c r="B72" s="125" t="s">
        <v>913</v>
      </c>
      <c r="C72" s="105">
        <v>2017</v>
      </c>
      <c r="D72" s="105" t="s">
        <v>87</v>
      </c>
      <c r="E72" s="105" t="s">
        <v>914</v>
      </c>
      <c r="F72" s="105" t="s">
        <v>87</v>
      </c>
      <c r="G72" s="105" t="s">
        <v>87</v>
      </c>
      <c r="H72" s="105" t="s">
        <v>228</v>
      </c>
      <c r="I72" s="106" t="s">
        <v>228</v>
      </c>
      <c r="J72" s="104" t="s">
        <v>679</v>
      </c>
      <c r="K72" s="104" t="s">
        <v>75</v>
      </c>
      <c r="L72" s="107" t="s">
        <v>126</v>
      </c>
      <c r="M72" s="107">
        <v>9985185</v>
      </c>
      <c r="N72" s="104">
        <v>7427629.3767155381</v>
      </c>
      <c r="O72" s="104">
        <v>9985185</v>
      </c>
      <c r="P72" s="104">
        <v>7221564.4900000002</v>
      </c>
      <c r="Q72" s="104">
        <v>7221564.4900000002</v>
      </c>
      <c r="R72" s="104">
        <v>9708165.7908417005</v>
      </c>
      <c r="S72" s="104">
        <v>0</v>
      </c>
      <c r="T72" s="104">
        <v>0</v>
      </c>
      <c r="U72" s="112">
        <v>0</v>
      </c>
      <c r="V72" s="107" t="s">
        <v>81</v>
      </c>
      <c r="W72" s="104" t="s">
        <v>78</v>
      </c>
      <c r="X72" s="104" t="s">
        <v>81</v>
      </c>
      <c r="Y72" s="104" t="s">
        <v>78</v>
      </c>
      <c r="Z72" s="104" t="s">
        <v>81</v>
      </c>
      <c r="AA72" s="104">
        <v>0</v>
      </c>
      <c r="AB72" s="108" t="s">
        <v>78</v>
      </c>
      <c r="AC72" s="104">
        <v>0</v>
      </c>
      <c r="AD72" s="105" t="s">
        <v>78</v>
      </c>
      <c r="AE72" s="104">
        <v>0</v>
      </c>
      <c r="AF72" s="104" t="s">
        <v>78</v>
      </c>
      <c r="AG72" s="104">
        <v>0</v>
      </c>
      <c r="AH72" s="109" t="s">
        <v>81</v>
      </c>
      <c r="AI72" s="109" t="s">
        <v>78</v>
      </c>
      <c r="AJ72" s="109" t="s">
        <v>81</v>
      </c>
      <c r="AK72" s="109" t="s">
        <v>78</v>
      </c>
      <c r="AL72" s="109" t="s">
        <v>78</v>
      </c>
      <c r="AM72" s="109" t="s">
        <v>81</v>
      </c>
      <c r="AN72" s="109" t="s">
        <v>81</v>
      </c>
      <c r="AO72" s="109" t="s">
        <v>78</v>
      </c>
      <c r="AP72" s="109" t="s">
        <v>81</v>
      </c>
      <c r="AQ72" s="109">
        <v>1</v>
      </c>
      <c r="AR72" s="109" t="s">
        <v>126</v>
      </c>
    </row>
    <row r="73" spans="1:44" ht="30.6" customHeight="1" x14ac:dyDescent="0.45">
      <c r="A73" s="104" t="s">
        <v>915</v>
      </c>
      <c r="B73" s="125" t="s">
        <v>916</v>
      </c>
      <c r="C73" s="105">
        <v>2017</v>
      </c>
      <c r="D73" s="105" t="s">
        <v>509</v>
      </c>
      <c r="E73" s="105" t="s">
        <v>78</v>
      </c>
      <c r="F73" s="105" t="s">
        <v>560</v>
      </c>
      <c r="G73" s="105" t="s">
        <v>522</v>
      </c>
      <c r="H73" s="105" t="s">
        <v>599</v>
      </c>
      <c r="I73" s="106" t="s">
        <v>101</v>
      </c>
      <c r="J73" s="104" t="s">
        <v>676</v>
      </c>
      <c r="K73" s="104" t="s">
        <v>81</v>
      </c>
      <c r="L73" s="107" t="s">
        <v>74</v>
      </c>
      <c r="M73" s="107">
        <v>5500000</v>
      </c>
      <c r="N73" s="104">
        <v>5500000</v>
      </c>
      <c r="O73" s="104">
        <v>7393815</v>
      </c>
      <c r="P73" s="104">
        <v>5500000</v>
      </c>
      <c r="Q73" s="104">
        <v>5500000</v>
      </c>
      <c r="R73" s="104">
        <v>7393815</v>
      </c>
      <c r="S73" s="104">
        <v>5500000</v>
      </c>
      <c r="T73" s="104">
        <v>5500000</v>
      </c>
      <c r="U73" s="112">
        <v>7393815</v>
      </c>
      <c r="V73" s="107" t="s">
        <v>81</v>
      </c>
      <c r="W73" s="104" t="s">
        <v>78</v>
      </c>
      <c r="X73" s="104" t="s">
        <v>81</v>
      </c>
      <c r="Y73" s="104" t="s">
        <v>78</v>
      </c>
      <c r="Z73" s="104" t="s">
        <v>81</v>
      </c>
      <c r="AA73" s="104">
        <v>0</v>
      </c>
      <c r="AB73" s="108" t="s">
        <v>78</v>
      </c>
      <c r="AC73" s="104">
        <v>0</v>
      </c>
      <c r="AD73" s="105" t="s">
        <v>78</v>
      </c>
      <c r="AE73" s="104">
        <v>0</v>
      </c>
      <c r="AF73" s="104" t="s">
        <v>78</v>
      </c>
      <c r="AG73" s="104">
        <v>0</v>
      </c>
      <c r="AH73" s="109" t="s">
        <v>81</v>
      </c>
      <c r="AI73" s="109" t="s">
        <v>78</v>
      </c>
      <c r="AJ73" s="109" t="s">
        <v>81</v>
      </c>
      <c r="AK73" s="109" t="s">
        <v>78</v>
      </c>
      <c r="AL73" s="109" t="s">
        <v>78</v>
      </c>
      <c r="AM73" s="109" t="s">
        <v>81</v>
      </c>
      <c r="AN73" s="109" t="s">
        <v>81</v>
      </c>
      <c r="AO73" s="109" t="s">
        <v>78</v>
      </c>
      <c r="AP73" s="109" t="s">
        <v>81</v>
      </c>
      <c r="AQ73" s="109">
        <v>1</v>
      </c>
      <c r="AR73" s="109" t="s">
        <v>74</v>
      </c>
    </row>
    <row r="74" spans="1:44" ht="30.6" customHeight="1" x14ac:dyDescent="0.45">
      <c r="A74" s="104" t="s">
        <v>917</v>
      </c>
      <c r="B74" s="125" t="s">
        <v>918</v>
      </c>
      <c r="C74" s="105">
        <v>2017</v>
      </c>
      <c r="D74" s="105" t="s">
        <v>514</v>
      </c>
      <c r="E74" s="105" t="s">
        <v>78</v>
      </c>
      <c r="F74" s="105" t="s">
        <v>567</v>
      </c>
      <c r="G74" s="105" t="s">
        <v>522</v>
      </c>
      <c r="H74" s="105" t="s">
        <v>587</v>
      </c>
      <c r="I74" s="106" t="s">
        <v>256</v>
      </c>
      <c r="J74" s="104" t="s">
        <v>676</v>
      </c>
      <c r="K74" s="104" t="s">
        <v>81</v>
      </c>
      <c r="L74" s="107" t="s">
        <v>74</v>
      </c>
      <c r="M74" s="107">
        <v>19000000</v>
      </c>
      <c r="N74" s="104">
        <v>19000000</v>
      </c>
      <c r="O74" s="104">
        <v>25542270</v>
      </c>
      <c r="P74" s="104">
        <v>19000000</v>
      </c>
      <c r="Q74" s="104">
        <v>19000000</v>
      </c>
      <c r="R74" s="104">
        <v>25542270</v>
      </c>
      <c r="S74" s="104">
        <v>19000000</v>
      </c>
      <c r="T74" s="104">
        <v>19000000</v>
      </c>
      <c r="U74" s="112">
        <v>25542270</v>
      </c>
      <c r="V74" s="107" t="s">
        <v>81</v>
      </c>
      <c r="W74" s="104" t="s">
        <v>78</v>
      </c>
      <c r="X74" s="104" t="s">
        <v>81</v>
      </c>
      <c r="Y74" s="104" t="s">
        <v>78</v>
      </c>
      <c r="Z74" s="104" t="s">
        <v>81</v>
      </c>
      <c r="AA74" s="104">
        <v>0</v>
      </c>
      <c r="AB74" s="108" t="s">
        <v>78</v>
      </c>
      <c r="AC74" s="104">
        <v>0</v>
      </c>
      <c r="AD74" s="105" t="s">
        <v>78</v>
      </c>
      <c r="AE74" s="104">
        <v>0</v>
      </c>
      <c r="AF74" s="104" t="s">
        <v>78</v>
      </c>
      <c r="AG74" s="104">
        <v>0</v>
      </c>
      <c r="AH74" s="109" t="s">
        <v>81</v>
      </c>
      <c r="AI74" s="109" t="s">
        <v>78</v>
      </c>
      <c r="AJ74" s="109" t="s">
        <v>81</v>
      </c>
      <c r="AK74" s="109" t="s">
        <v>78</v>
      </c>
      <c r="AL74" s="109" t="s">
        <v>78</v>
      </c>
      <c r="AM74" s="109" t="s">
        <v>81</v>
      </c>
      <c r="AN74" s="109" t="s">
        <v>81</v>
      </c>
      <c r="AO74" s="109" t="s">
        <v>78</v>
      </c>
      <c r="AP74" s="109" t="s">
        <v>81</v>
      </c>
      <c r="AQ74" s="109">
        <v>1</v>
      </c>
      <c r="AR74" s="109" t="s">
        <v>74</v>
      </c>
    </row>
    <row r="75" spans="1:44" ht="30.6" customHeight="1" x14ac:dyDescent="0.45">
      <c r="A75" s="104" t="s">
        <v>919</v>
      </c>
      <c r="B75" s="125" t="s">
        <v>920</v>
      </c>
      <c r="C75" s="105">
        <v>2017</v>
      </c>
      <c r="D75" s="105" t="s">
        <v>508</v>
      </c>
      <c r="E75" s="105" t="s">
        <v>78</v>
      </c>
      <c r="F75" s="105" t="s">
        <v>558</v>
      </c>
      <c r="G75" s="105" t="s">
        <v>520</v>
      </c>
      <c r="H75" s="105" t="s">
        <v>587</v>
      </c>
      <c r="I75" s="106" t="s">
        <v>256</v>
      </c>
      <c r="J75" s="104" t="s">
        <v>679</v>
      </c>
      <c r="K75" s="104" t="s">
        <v>75</v>
      </c>
      <c r="L75" s="107" t="s">
        <v>104</v>
      </c>
      <c r="M75" s="107">
        <v>2972570</v>
      </c>
      <c r="N75" s="104">
        <v>2330805.9027396617</v>
      </c>
      <c r="O75" s="104">
        <v>3133372.2992300093</v>
      </c>
      <c r="P75" s="104">
        <v>1628526.9</v>
      </c>
      <c r="Q75" s="104">
        <v>1628526.9</v>
      </c>
      <c r="R75" s="104">
        <v>2189277.5674769999</v>
      </c>
      <c r="S75" s="104">
        <v>0</v>
      </c>
      <c r="T75" s="104">
        <v>0</v>
      </c>
      <c r="U75" s="112">
        <v>0</v>
      </c>
      <c r="V75" s="107" t="s">
        <v>75</v>
      </c>
      <c r="W75" s="104" t="s">
        <v>921</v>
      </c>
      <c r="X75" s="104" t="s">
        <v>81</v>
      </c>
      <c r="Y75" s="104" t="s">
        <v>78</v>
      </c>
      <c r="Z75" s="104" t="s">
        <v>81</v>
      </c>
      <c r="AA75" s="104">
        <v>0</v>
      </c>
      <c r="AB75" s="108" t="s">
        <v>78</v>
      </c>
      <c r="AC75" s="104">
        <v>0</v>
      </c>
      <c r="AD75" s="105" t="s">
        <v>78</v>
      </c>
      <c r="AE75" s="104">
        <v>0</v>
      </c>
      <c r="AF75" s="104" t="s">
        <v>78</v>
      </c>
      <c r="AG75" s="104">
        <v>0</v>
      </c>
      <c r="AH75" s="109" t="s">
        <v>81</v>
      </c>
      <c r="AI75" s="109" t="s">
        <v>78</v>
      </c>
      <c r="AJ75" s="109" t="s">
        <v>75</v>
      </c>
      <c r="AK75" s="109" t="s">
        <v>466</v>
      </c>
      <c r="AL75" s="109" t="s">
        <v>704</v>
      </c>
      <c r="AM75" s="109" t="s">
        <v>81</v>
      </c>
      <c r="AN75" s="109" t="s">
        <v>81</v>
      </c>
      <c r="AO75" s="109" t="s">
        <v>78</v>
      </c>
      <c r="AP75" s="109" t="s">
        <v>81</v>
      </c>
      <c r="AQ75" s="109">
        <v>1</v>
      </c>
      <c r="AR75" s="109" t="s">
        <v>104</v>
      </c>
    </row>
    <row r="76" spans="1:44" ht="30.6" customHeight="1" x14ac:dyDescent="0.45">
      <c r="A76" s="104" t="s">
        <v>922</v>
      </c>
      <c r="B76" s="125" t="s">
        <v>923</v>
      </c>
      <c r="C76" s="105">
        <v>2017</v>
      </c>
      <c r="D76" s="105" t="s">
        <v>514</v>
      </c>
      <c r="E76" s="105" t="s">
        <v>78</v>
      </c>
      <c r="F76" s="105" t="s">
        <v>567</v>
      </c>
      <c r="G76" s="105" t="s">
        <v>522</v>
      </c>
      <c r="H76" s="105" t="s">
        <v>585</v>
      </c>
      <c r="I76" s="106" t="s">
        <v>228</v>
      </c>
      <c r="J76" s="104" t="s">
        <v>676</v>
      </c>
      <c r="K76" s="104" t="s">
        <v>81</v>
      </c>
      <c r="L76" s="107" t="s">
        <v>74</v>
      </c>
      <c r="M76" s="107">
        <v>65300000</v>
      </c>
      <c r="N76" s="104">
        <v>65300000</v>
      </c>
      <c r="O76" s="104">
        <v>87784749</v>
      </c>
      <c r="P76" s="104">
        <v>57000000</v>
      </c>
      <c r="Q76" s="104">
        <v>57000000</v>
      </c>
      <c r="R76" s="104">
        <v>76626810</v>
      </c>
      <c r="S76" s="104">
        <v>57000000</v>
      </c>
      <c r="T76" s="104">
        <v>57000000</v>
      </c>
      <c r="U76" s="112">
        <v>76626810</v>
      </c>
      <c r="V76" s="107" t="s">
        <v>81</v>
      </c>
      <c r="W76" s="104" t="s">
        <v>78</v>
      </c>
      <c r="X76" s="104" t="s">
        <v>81</v>
      </c>
      <c r="Y76" s="104" t="s">
        <v>78</v>
      </c>
      <c r="Z76" s="104" t="s">
        <v>81</v>
      </c>
      <c r="AA76" s="104">
        <v>0</v>
      </c>
      <c r="AB76" s="108" t="s">
        <v>78</v>
      </c>
      <c r="AC76" s="104">
        <v>0</v>
      </c>
      <c r="AD76" s="105" t="s">
        <v>78</v>
      </c>
      <c r="AE76" s="104">
        <v>0</v>
      </c>
      <c r="AF76" s="104" t="s">
        <v>78</v>
      </c>
      <c r="AG76" s="104">
        <v>0</v>
      </c>
      <c r="AH76" s="109" t="s">
        <v>81</v>
      </c>
      <c r="AI76" s="109" t="s">
        <v>78</v>
      </c>
      <c r="AJ76" s="109" t="s">
        <v>81</v>
      </c>
      <c r="AK76" s="109" t="s">
        <v>78</v>
      </c>
      <c r="AL76" s="109" t="s">
        <v>78</v>
      </c>
      <c r="AM76" s="109" t="s">
        <v>81</v>
      </c>
      <c r="AN76" s="109" t="s">
        <v>81</v>
      </c>
      <c r="AO76" s="109" t="s">
        <v>78</v>
      </c>
      <c r="AP76" s="109" t="s">
        <v>81</v>
      </c>
      <c r="AQ76" s="109">
        <v>1</v>
      </c>
      <c r="AR76" s="109" t="s">
        <v>74</v>
      </c>
    </row>
    <row r="77" spans="1:44" ht="30.6" customHeight="1" x14ac:dyDescent="0.45">
      <c r="A77" s="104" t="s">
        <v>924</v>
      </c>
      <c r="B77" s="125" t="s">
        <v>925</v>
      </c>
      <c r="C77" s="105">
        <v>2017</v>
      </c>
      <c r="D77" s="105" t="s">
        <v>87</v>
      </c>
      <c r="E77" s="105" t="s">
        <v>926</v>
      </c>
      <c r="F77" s="105" t="s">
        <v>87</v>
      </c>
      <c r="G77" s="105" t="s">
        <v>87</v>
      </c>
      <c r="H77" s="105" t="s">
        <v>599</v>
      </c>
      <c r="I77" s="106" t="s">
        <v>101</v>
      </c>
      <c r="J77" s="104" t="s">
        <v>676</v>
      </c>
      <c r="K77" s="104" t="s">
        <v>81</v>
      </c>
      <c r="L77" s="107" t="s">
        <v>74</v>
      </c>
      <c r="M77" s="107">
        <v>6000000</v>
      </c>
      <c r="N77" s="104">
        <v>6000000</v>
      </c>
      <c r="O77" s="104">
        <v>8065980</v>
      </c>
      <c r="P77" s="104">
        <v>6000000</v>
      </c>
      <c r="Q77" s="104">
        <v>6000000</v>
      </c>
      <c r="R77" s="104">
        <v>8065980</v>
      </c>
      <c r="S77" s="104">
        <v>6000000</v>
      </c>
      <c r="T77" s="104">
        <v>6000000</v>
      </c>
      <c r="U77" s="112">
        <v>8065980</v>
      </c>
      <c r="V77" s="107" t="s">
        <v>81</v>
      </c>
      <c r="W77" s="104" t="s">
        <v>78</v>
      </c>
      <c r="X77" s="104" t="s">
        <v>81</v>
      </c>
      <c r="Y77" s="104" t="s">
        <v>78</v>
      </c>
      <c r="Z77" s="104" t="s">
        <v>81</v>
      </c>
      <c r="AA77" s="104">
        <v>0</v>
      </c>
      <c r="AB77" s="108" t="s">
        <v>78</v>
      </c>
      <c r="AC77" s="104">
        <v>0</v>
      </c>
      <c r="AD77" s="105" t="s">
        <v>78</v>
      </c>
      <c r="AE77" s="104">
        <v>0</v>
      </c>
      <c r="AF77" s="104" t="s">
        <v>78</v>
      </c>
      <c r="AG77" s="104">
        <v>0</v>
      </c>
      <c r="AH77" s="109" t="s">
        <v>81</v>
      </c>
      <c r="AI77" s="109" t="s">
        <v>78</v>
      </c>
      <c r="AJ77" s="109" t="s">
        <v>81</v>
      </c>
      <c r="AK77" s="109" t="s">
        <v>78</v>
      </c>
      <c r="AL77" s="109" t="s">
        <v>78</v>
      </c>
      <c r="AM77" s="109" t="s">
        <v>81</v>
      </c>
      <c r="AN77" s="109" t="s">
        <v>81</v>
      </c>
      <c r="AO77" s="109" t="s">
        <v>78</v>
      </c>
      <c r="AP77" s="109" t="s">
        <v>81</v>
      </c>
      <c r="AQ77" s="109">
        <v>1</v>
      </c>
      <c r="AR77" s="109" t="s">
        <v>74</v>
      </c>
    </row>
    <row r="78" spans="1:44" ht="30.6" customHeight="1" x14ac:dyDescent="0.45">
      <c r="A78" s="104" t="s">
        <v>927</v>
      </c>
      <c r="B78" s="125" t="s">
        <v>928</v>
      </c>
      <c r="C78" s="105">
        <v>2017</v>
      </c>
      <c r="D78" s="105" t="s">
        <v>353</v>
      </c>
      <c r="E78" s="105" t="s">
        <v>78</v>
      </c>
      <c r="F78" s="105" t="s">
        <v>78</v>
      </c>
      <c r="G78" s="105" t="s">
        <v>519</v>
      </c>
      <c r="H78" s="105" t="s">
        <v>228</v>
      </c>
      <c r="I78" s="106" t="s">
        <v>228</v>
      </c>
      <c r="J78" s="104" t="s">
        <v>689</v>
      </c>
      <c r="K78" s="104" t="s">
        <v>81</v>
      </c>
      <c r="L78" s="107" t="s">
        <v>616</v>
      </c>
      <c r="M78" s="107">
        <v>1420000000</v>
      </c>
      <c r="N78" s="104">
        <v>77188595.656782538</v>
      </c>
      <c r="O78" s="104">
        <v>103766944.79928248</v>
      </c>
      <c r="P78" s="104">
        <v>50467582.149999999</v>
      </c>
      <c r="Q78" s="104">
        <v>50467582.149999999</v>
      </c>
      <c r="R78" s="104">
        <v>67845084.711709499</v>
      </c>
      <c r="S78" s="104">
        <v>50467582.149999999</v>
      </c>
      <c r="T78" s="104">
        <v>50467582.149999999</v>
      </c>
      <c r="U78" s="112">
        <v>67845084.711709499</v>
      </c>
      <c r="V78" s="107" t="s">
        <v>75</v>
      </c>
      <c r="W78" s="104" t="s">
        <v>929</v>
      </c>
      <c r="X78" s="104" t="s">
        <v>75</v>
      </c>
      <c r="Y78" s="104" t="s">
        <v>930</v>
      </c>
      <c r="Z78" s="104" t="s">
        <v>75</v>
      </c>
      <c r="AA78" s="104">
        <v>999</v>
      </c>
      <c r="AB78" s="108" t="s">
        <v>931</v>
      </c>
      <c r="AC78" s="104">
        <v>999</v>
      </c>
      <c r="AD78" s="105" t="s">
        <v>932</v>
      </c>
      <c r="AE78" s="104">
        <v>0</v>
      </c>
      <c r="AF78" s="104" t="s">
        <v>78</v>
      </c>
      <c r="AG78" s="104">
        <v>2</v>
      </c>
      <c r="AH78" s="109" t="s">
        <v>75</v>
      </c>
      <c r="AI78" s="109" t="s">
        <v>933</v>
      </c>
      <c r="AJ78" s="109" t="s">
        <v>75</v>
      </c>
      <c r="AK78" s="109" t="s">
        <v>228</v>
      </c>
      <c r="AL78" s="109" t="s">
        <v>934</v>
      </c>
      <c r="AM78" s="109" t="s">
        <v>75</v>
      </c>
      <c r="AN78" s="109" t="s">
        <v>81</v>
      </c>
      <c r="AO78" s="109" t="s">
        <v>78</v>
      </c>
      <c r="AP78" s="109" t="s">
        <v>75</v>
      </c>
      <c r="AQ78" s="109">
        <v>1</v>
      </c>
      <c r="AR78" s="109" t="s">
        <v>616</v>
      </c>
    </row>
    <row r="79" spans="1:44" ht="30.6" customHeight="1" x14ac:dyDescent="0.45">
      <c r="A79" s="104" t="s">
        <v>935</v>
      </c>
      <c r="B79" s="125" t="s">
        <v>936</v>
      </c>
      <c r="C79" s="105">
        <v>2017</v>
      </c>
      <c r="D79" s="105" t="s">
        <v>87</v>
      </c>
      <c r="E79" s="105" t="s">
        <v>937</v>
      </c>
      <c r="F79" s="105" t="s">
        <v>87</v>
      </c>
      <c r="G79" s="105" t="s">
        <v>87</v>
      </c>
      <c r="H79" s="105" t="s">
        <v>228</v>
      </c>
      <c r="I79" s="106" t="s">
        <v>228</v>
      </c>
      <c r="J79" s="104" t="s">
        <v>676</v>
      </c>
      <c r="K79" s="104" t="s">
        <v>81</v>
      </c>
      <c r="L79" s="107" t="s">
        <v>74</v>
      </c>
      <c r="M79" s="107">
        <v>29000000</v>
      </c>
      <c r="N79" s="104">
        <v>29000000</v>
      </c>
      <c r="O79" s="104">
        <v>38985570</v>
      </c>
      <c r="P79" s="104">
        <v>29000000</v>
      </c>
      <c r="Q79" s="104">
        <v>29000000</v>
      </c>
      <c r="R79" s="104">
        <v>38985570</v>
      </c>
      <c r="S79" s="104">
        <v>29000000</v>
      </c>
      <c r="T79" s="104">
        <v>29000000</v>
      </c>
      <c r="U79" s="112">
        <v>38985570</v>
      </c>
      <c r="V79" s="107" t="s">
        <v>81</v>
      </c>
      <c r="W79" s="104" t="s">
        <v>78</v>
      </c>
      <c r="X79" s="104" t="s">
        <v>81</v>
      </c>
      <c r="Y79" s="104" t="s">
        <v>78</v>
      </c>
      <c r="Z79" s="104" t="s">
        <v>81</v>
      </c>
      <c r="AA79" s="104">
        <v>0</v>
      </c>
      <c r="AB79" s="108" t="s">
        <v>78</v>
      </c>
      <c r="AC79" s="104">
        <v>0</v>
      </c>
      <c r="AD79" s="105" t="s">
        <v>78</v>
      </c>
      <c r="AE79" s="104">
        <v>0</v>
      </c>
      <c r="AF79" s="104" t="s">
        <v>78</v>
      </c>
      <c r="AG79" s="104">
        <v>0</v>
      </c>
      <c r="AH79" s="109" t="s">
        <v>81</v>
      </c>
      <c r="AI79" s="109" t="s">
        <v>78</v>
      </c>
      <c r="AJ79" s="109" t="s">
        <v>81</v>
      </c>
      <c r="AK79" s="109" t="s">
        <v>78</v>
      </c>
      <c r="AL79" s="109" t="s">
        <v>78</v>
      </c>
      <c r="AM79" s="109" t="s">
        <v>81</v>
      </c>
      <c r="AN79" s="109" t="s">
        <v>81</v>
      </c>
      <c r="AO79" s="109" t="s">
        <v>78</v>
      </c>
      <c r="AP79" s="109" t="s">
        <v>81</v>
      </c>
      <c r="AQ79" s="109">
        <v>1</v>
      </c>
      <c r="AR79" s="109" t="s">
        <v>74</v>
      </c>
    </row>
    <row r="80" spans="1:44" ht="30.6" customHeight="1" x14ac:dyDescent="0.45">
      <c r="A80" s="104" t="s">
        <v>938</v>
      </c>
      <c r="B80" s="125" t="s">
        <v>939</v>
      </c>
      <c r="C80" s="105">
        <v>2017</v>
      </c>
      <c r="D80" s="105" t="s">
        <v>254</v>
      </c>
      <c r="E80" s="105" t="s">
        <v>78</v>
      </c>
      <c r="F80" s="105" t="s">
        <v>555</v>
      </c>
      <c r="G80" s="105" t="s">
        <v>522</v>
      </c>
      <c r="H80" s="105" t="s">
        <v>580</v>
      </c>
      <c r="I80" s="106" t="s">
        <v>115</v>
      </c>
      <c r="J80" s="104" t="s">
        <v>676</v>
      </c>
      <c r="K80" s="104" t="s">
        <v>81</v>
      </c>
      <c r="L80" s="107" t="s">
        <v>74</v>
      </c>
      <c r="M80" s="107">
        <v>60000000</v>
      </c>
      <c r="N80" s="104">
        <v>60000000</v>
      </c>
      <c r="O80" s="104">
        <v>80659800</v>
      </c>
      <c r="P80" s="104">
        <v>60000000</v>
      </c>
      <c r="Q80" s="104">
        <v>60000000</v>
      </c>
      <c r="R80" s="104">
        <v>80659800</v>
      </c>
      <c r="S80" s="104">
        <v>60000000</v>
      </c>
      <c r="T80" s="104">
        <v>60000000</v>
      </c>
      <c r="U80" s="112">
        <v>80659800</v>
      </c>
      <c r="V80" s="107" t="s">
        <v>75</v>
      </c>
      <c r="W80" s="104" t="s">
        <v>940</v>
      </c>
      <c r="X80" s="104" t="s">
        <v>81</v>
      </c>
      <c r="Y80" s="104" t="s">
        <v>78</v>
      </c>
      <c r="Z80" s="104" t="s">
        <v>81</v>
      </c>
      <c r="AA80" s="104">
        <v>0</v>
      </c>
      <c r="AB80" s="108" t="s">
        <v>78</v>
      </c>
      <c r="AC80" s="104">
        <v>0</v>
      </c>
      <c r="AD80" s="105" t="s">
        <v>78</v>
      </c>
      <c r="AE80" s="104">
        <v>0</v>
      </c>
      <c r="AF80" s="104" t="s">
        <v>78</v>
      </c>
      <c r="AG80" s="104">
        <v>0</v>
      </c>
      <c r="AH80" s="109" t="s">
        <v>81</v>
      </c>
      <c r="AI80" s="109" t="s">
        <v>78</v>
      </c>
      <c r="AJ80" s="109" t="s">
        <v>75</v>
      </c>
      <c r="AK80" s="109" t="s">
        <v>466</v>
      </c>
      <c r="AL80" s="109" t="s">
        <v>941</v>
      </c>
      <c r="AM80" s="109" t="s">
        <v>81</v>
      </c>
      <c r="AN80" s="109" t="s">
        <v>81</v>
      </c>
      <c r="AO80" s="109" t="s">
        <v>78</v>
      </c>
      <c r="AP80" s="109" t="s">
        <v>81</v>
      </c>
      <c r="AQ80" s="109">
        <v>1</v>
      </c>
      <c r="AR80" s="109" t="s">
        <v>74</v>
      </c>
    </row>
    <row r="81" spans="1:44" ht="30.6" customHeight="1" x14ac:dyDescent="0.45">
      <c r="A81" s="104" t="s">
        <v>942</v>
      </c>
      <c r="B81" s="125" t="s">
        <v>943</v>
      </c>
      <c r="C81" s="105">
        <v>2017</v>
      </c>
      <c r="D81" s="105" t="s">
        <v>396</v>
      </c>
      <c r="E81" s="105" t="s">
        <v>78</v>
      </c>
      <c r="F81" s="105" t="s">
        <v>545</v>
      </c>
      <c r="G81" s="105" t="s">
        <v>519</v>
      </c>
      <c r="H81" s="105" t="s">
        <v>599</v>
      </c>
      <c r="I81" s="106" t="s">
        <v>101</v>
      </c>
      <c r="J81" s="104" t="s">
        <v>676</v>
      </c>
      <c r="K81" s="104" t="s">
        <v>81</v>
      </c>
      <c r="L81" s="107" t="s">
        <v>74</v>
      </c>
      <c r="M81" s="107">
        <v>5000000</v>
      </c>
      <c r="N81" s="104">
        <v>5000000</v>
      </c>
      <c r="O81" s="104">
        <v>6721650</v>
      </c>
      <c r="P81" s="104">
        <v>5000000</v>
      </c>
      <c r="Q81" s="104">
        <v>5000000</v>
      </c>
      <c r="R81" s="104">
        <v>6721650</v>
      </c>
      <c r="S81" s="104">
        <v>5000000</v>
      </c>
      <c r="T81" s="104">
        <v>5000000</v>
      </c>
      <c r="U81" s="112">
        <v>6721650</v>
      </c>
      <c r="V81" s="107" t="s">
        <v>81</v>
      </c>
      <c r="W81" s="104" t="s">
        <v>78</v>
      </c>
      <c r="X81" s="104" t="s">
        <v>81</v>
      </c>
      <c r="Y81" s="104" t="s">
        <v>78</v>
      </c>
      <c r="Z81" s="104" t="s">
        <v>81</v>
      </c>
      <c r="AA81" s="104">
        <v>0</v>
      </c>
      <c r="AB81" s="108" t="s">
        <v>78</v>
      </c>
      <c r="AC81" s="104">
        <v>0</v>
      </c>
      <c r="AD81" s="105" t="s">
        <v>78</v>
      </c>
      <c r="AE81" s="104">
        <v>0</v>
      </c>
      <c r="AF81" s="104" t="s">
        <v>78</v>
      </c>
      <c r="AG81" s="104">
        <v>0</v>
      </c>
      <c r="AH81" s="109" t="s">
        <v>81</v>
      </c>
      <c r="AI81" s="109" t="s">
        <v>78</v>
      </c>
      <c r="AJ81" s="109" t="s">
        <v>81</v>
      </c>
      <c r="AK81" s="109" t="s">
        <v>78</v>
      </c>
      <c r="AL81" s="109" t="s">
        <v>78</v>
      </c>
      <c r="AM81" s="109" t="s">
        <v>81</v>
      </c>
      <c r="AN81" s="109" t="s">
        <v>81</v>
      </c>
      <c r="AO81" s="109" t="s">
        <v>78</v>
      </c>
      <c r="AP81" s="109" t="s">
        <v>81</v>
      </c>
      <c r="AQ81" s="109">
        <v>1</v>
      </c>
      <c r="AR81" s="109" t="s">
        <v>74</v>
      </c>
    </row>
    <row r="82" spans="1:44" ht="30.6" customHeight="1" x14ac:dyDescent="0.45">
      <c r="A82" s="104" t="s">
        <v>944</v>
      </c>
      <c r="B82" s="125" t="s">
        <v>945</v>
      </c>
      <c r="C82" s="105">
        <v>2017</v>
      </c>
      <c r="D82" s="105" t="s">
        <v>254</v>
      </c>
      <c r="E82" s="105" t="s">
        <v>78</v>
      </c>
      <c r="F82" s="105" t="s">
        <v>555</v>
      </c>
      <c r="G82" s="105" t="s">
        <v>522</v>
      </c>
      <c r="H82" s="105" t="s">
        <v>587</v>
      </c>
      <c r="I82" s="106" t="s">
        <v>256</v>
      </c>
      <c r="J82" s="104" t="s">
        <v>679</v>
      </c>
      <c r="K82" s="104" t="s">
        <v>81</v>
      </c>
      <c r="L82" s="107" t="s">
        <v>126</v>
      </c>
      <c r="M82" s="107">
        <v>282318000</v>
      </c>
      <c r="N82" s="104">
        <v>210006471.62527058</v>
      </c>
      <c r="O82" s="104">
        <v>282318000</v>
      </c>
      <c r="P82" s="104">
        <v>138235613.19999999</v>
      </c>
      <c r="Q82" s="104">
        <v>138235613.19999999</v>
      </c>
      <c r="R82" s="104">
        <v>185834281.89315599</v>
      </c>
      <c r="S82" s="104">
        <v>87609659.430000007</v>
      </c>
      <c r="T82" s="104">
        <v>87609659.430000007</v>
      </c>
      <c r="U82" s="112">
        <v>117776293.46153191</v>
      </c>
      <c r="V82" s="107" t="s">
        <v>81</v>
      </c>
      <c r="W82" s="104" t="s">
        <v>78</v>
      </c>
      <c r="X82" s="104" t="s">
        <v>81</v>
      </c>
      <c r="Y82" s="104" t="s">
        <v>78</v>
      </c>
      <c r="Z82" s="104" t="s">
        <v>81</v>
      </c>
      <c r="AA82" s="104">
        <v>0</v>
      </c>
      <c r="AB82" s="108" t="s">
        <v>78</v>
      </c>
      <c r="AC82" s="104">
        <v>0</v>
      </c>
      <c r="AD82" s="105" t="s">
        <v>78</v>
      </c>
      <c r="AE82" s="104">
        <v>0</v>
      </c>
      <c r="AF82" s="104" t="s">
        <v>78</v>
      </c>
      <c r="AG82" s="104">
        <v>0</v>
      </c>
      <c r="AH82" s="109" t="s">
        <v>81</v>
      </c>
      <c r="AI82" s="109" t="s">
        <v>78</v>
      </c>
      <c r="AJ82" s="109" t="s">
        <v>81</v>
      </c>
      <c r="AK82" s="109" t="s">
        <v>78</v>
      </c>
      <c r="AL82" s="109" t="s">
        <v>78</v>
      </c>
      <c r="AM82" s="109" t="s">
        <v>81</v>
      </c>
      <c r="AN82" s="109" t="s">
        <v>81</v>
      </c>
      <c r="AO82" s="109" t="s">
        <v>78</v>
      </c>
      <c r="AP82" s="109" t="s">
        <v>81</v>
      </c>
      <c r="AQ82" s="109">
        <v>1</v>
      </c>
      <c r="AR82" s="109" t="s">
        <v>126</v>
      </c>
    </row>
    <row r="83" spans="1:44" ht="30.6" customHeight="1" x14ac:dyDescent="0.45">
      <c r="A83" s="104" t="s">
        <v>946</v>
      </c>
      <c r="B83" s="125" t="s">
        <v>947</v>
      </c>
      <c r="C83" s="105">
        <v>2017</v>
      </c>
      <c r="D83" s="105" t="s">
        <v>314</v>
      </c>
      <c r="E83" s="105" t="s">
        <v>78</v>
      </c>
      <c r="F83" s="105" t="s">
        <v>557</v>
      </c>
      <c r="G83" s="105" t="s">
        <v>522</v>
      </c>
      <c r="H83" s="105" t="s">
        <v>587</v>
      </c>
      <c r="I83" s="106" t="s">
        <v>256</v>
      </c>
      <c r="J83" s="104" t="s">
        <v>676</v>
      </c>
      <c r="K83" s="104" t="s">
        <v>81</v>
      </c>
      <c r="L83" s="107" t="s">
        <v>74</v>
      </c>
      <c r="M83" s="107">
        <v>20660000</v>
      </c>
      <c r="N83" s="104">
        <v>20660000</v>
      </c>
      <c r="O83" s="104">
        <v>27773857.800000001</v>
      </c>
      <c r="P83" s="104">
        <v>15000000</v>
      </c>
      <c r="Q83" s="104">
        <v>15000000</v>
      </c>
      <c r="R83" s="104">
        <v>20164950</v>
      </c>
      <c r="S83" s="104">
        <v>15000000</v>
      </c>
      <c r="T83" s="104">
        <v>15000000</v>
      </c>
      <c r="U83" s="112">
        <v>20164950</v>
      </c>
      <c r="V83" s="107" t="s">
        <v>81</v>
      </c>
      <c r="W83" s="104" t="s">
        <v>78</v>
      </c>
      <c r="X83" s="104" t="s">
        <v>81</v>
      </c>
      <c r="Y83" s="104" t="s">
        <v>78</v>
      </c>
      <c r="Z83" s="104" t="s">
        <v>81</v>
      </c>
      <c r="AA83" s="104">
        <v>0</v>
      </c>
      <c r="AB83" s="108" t="s">
        <v>78</v>
      </c>
      <c r="AC83" s="104">
        <v>0</v>
      </c>
      <c r="AD83" s="105" t="s">
        <v>78</v>
      </c>
      <c r="AE83" s="104">
        <v>0</v>
      </c>
      <c r="AF83" s="104" t="s">
        <v>78</v>
      </c>
      <c r="AG83" s="104">
        <v>0</v>
      </c>
      <c r="AH83" s="109" t="s">
        <v>81</v>
      </c>
      <c r="AI83" s="109" t="s">
        <v>78</v>
      </c>
      <c r="AJ83" s="109" t="s">
        <v>81</v>
      </c>
      <c r="AK83" s="109" t="s">
        <v>78</v>
      </c>
      <c r="AL83" s="109" t="s">
        <v>78</v>
      </c>
      <c r="AM83" s="109" t="s">
        <v>81</v>
      </c>
      <c r="AN83" s="109" t="s">
        <v>81</v>
      </c>
      <c r="AO83" s="109" t="s">
        <v>78</v>
      </c>
      <c r="AP83" s="109" t="s">
        <v>81</v>
      </c>
      <c r="AQ83" s="109">
        <v>1</v>
      </c>
      <c r="AR83" s="109" t="s">
        <v>74</v>
      </c>
    </row>
    <row r="84" spans="1:44" ht="30.6" customHeight="1" x14ac:dyDescent="0.45">
      <c r="A84" s="104" t="s">
        <v>948</v>
      </c>
      <c r="B84" s="125" t="s">
        <v>949</v>
      </c>
      <c r="C84" s="105">
        <v>2017</v>
      </c>
      <c r="D84" s="105" t="s">
        <v>508</v>
      </c>
      <c r="E84" s="105" t="s">
        <v>78</v>
      </c>
      <c r="F84" s="105" t="s">
        <v>558</v>
      </c>
      <c r="G84" s="105" t="s">
        <v>520</v>
      </c>
      <c r="H84" s="105" t="s">
        <v>596</v>
      </c>
      <c r="I84" s="106" t="s">
        <v>101</v>
      </c>
      <c r="J84" s="104" t="s">
        <v>689</v>
      </c>
      <c r="K84" s="104" t="s">
        <v>81</v>
      </c>
      <c r="L84" s="107" t="s">
        <v>74</v>
      </c>
      <c r="M84" s="107">
        <v>1000000</v>
      </c>
      <c r="N84" s="104">
        <v>1000000</v>
      </c>
      <c r="O84" s="104">
        <v>1344330</v>
      </c>
      <c r="P84" s="104">
        <v>723227.91</v>
      </c>
      <c r="Q84" s="104">
        <v>723227.91</v>
      </c>
      <c r="R84" s="104">
        <v>972256.97625030007</v>
      </c>
      <c r="S84" s="104">
        <v>723227.91</v>
      </c>
      <c r="T84" s="104">
        <v>723227.91</v>
      </c>
      <c r="U84" s="112">
        <v>972256.97625030007</v>
      </c>
      <c r="V84" s="107" t="s">
        <v>75</v>
      </c>
      <c r="W84" s="104" t="s">
        <v>950</v>
      </c>
      <c r="X84" s="104" t="s">
        <v>81</v>
      </c>
      <c r="Y84" s="104" t="s">
        <v>78</v>
      </c>
      <c r="Z84" s="104" t="s">
        <v>81</v>
      </c>
      <c r="AA84" s="104">
        <v>0</v>
      </c>
      <c r="AB84" s="108" t="s">
        <v>78</v>
      </c>
      <c r="AC84" s="104">
        <v>0</v>
      </c>
      <c r="AD84" s="105" t="s">
        <v>78</v>
      </c>
      <c r="AE84" s="104">
        <v>0</v>
      </c>
      <c r="AF84" s="104" t="s">
        <v>78</v>
      </c>
      <c r="AG84" s="104">
        <v>0</v>
      </c>
      <c r="AH84" s="109" t="s">
        <v>81</v>
      </c>
      <c r="AI84" s="109" t="s">
        <v>78</v>
      </c>
      <c r="AJ84" s="109" t="s">
        <v>75</v>
      </c>
      <c r="AK84" s="109" t="s">
        <v>466</v>
      </c>
      <c r="AL84" s="109" t="s">
        <v>78</v>
      </c>
      <c r="AM84" s="109" t="s">
        <v>81</v>
      </c>
      <c r="AN84" s="109" t="s">
        <v>81</v>
      </c>
      <c r="AO84" s="109" t="s">
        <v>78</v>
      </c>
      <c r="AP84" s="109" t="s">
        <v>81</v>
      </c>
      <c r="AQ84" s="109">
        <v>1</v>
      </c>
      <c r="AR84" s="109" t="s">
        <v>74</v>
      </c>
    </row>
    <row r="85" spans="1:44" ht="30.6" customHeight="1" x14ac:dyDescent="0.45">
      <c r="A85" s="104" t="s">
        <v>951</v>
      </c>
      <c r="B85" s="125" t="s">
        <v>952</v>
      </c>
      <c r="C85" s="105">
        <v>2017</v>
      </c>
      <c r="D85" s="105" t="s">
        <v>516</v>
      </c>
      <c r="E85" s="105" t="s">
        <v>78</v>
      </c>
      <c r="F85" s="105" t="s">
        <v>569</v>
      </c>
      <c r="G85" s="105" t="s">
        <v>519</v>
      </c>
      <c r="H85" s="105" t="s">
        <v>585</v>
      </c>
      <c r="I85" s="106" t="s">
        <v>228</v>
      </c>
      <c r="J85" s="104" t="s">
        <v>679</v>
      </c>
      <c r="K85" s="104" t="s">
        <v>75</v>
      </c>
      <c r="L85" s="107" t="s">
        <v>126</v>
      </c>
      <c r="M85" s="107">
        <v>6210000</v>
      </c>
      <c r="N85" s="104">
        <v>4619401.486242217</v>
      </c>
      <c r="O85" s="104">
        <v>6210000</v>
      </c>
      <c r="P85" s="104">
        <v>4491245.33</v>
      </c>
      <c r="Q85" s="104">
        <v>4491245.33</v>
      </c>
      <c r="R85" s="104">
        <v>6037715.8344788998</v>
      </c>
      <c r="S85" s="104">
        <v>0</v>
      </c>
      <c r="T85" s="104">
        <v>0</v>
      </c>
      <c r="U85" s="112">
        <v>0</v>
      </c>
      <c r="V85" s="107" t="s">
        <v>81</v>
      </c>
      <c r="W85" s="104" t="s">
        <v>78</v>
      </c>
      <c r="X85" s="104" t="s">
        <v>81</v>
      </c>
      <c r="Y85" s="104" t="s">
        <v>78</v>
      </c>
      <c r="Z85" s="104" t="s">
        <v>81</v>
      </c>
      <c r="AA85" s="104">
        <v>0</v>
      </c>
      <c r="AB85" s="108" t="s">
        <v>78</v>
      </c>
      <c r="AC85" s="104">
        <v>0</v>
      </c>
      <c r="AD85" s="105" t="s">
        <v>78</v>
      </c>
      <c r="AE85" s="104">
        <v>0</v>
      </c>
      <c r="AF85" s="104" t="s">
        <v>78</v>
      </c>
      <c r="AG85" s="104">
        <v>0</v>
      </c>
      <c r="AH85" s="109" t="s">
        <v>81</v>
      </c>
      <c r="AI85" s="109" t="s">
        <v>78</v>
      </c>
      <c r="AJ85" s="109" t="s">
        <v>81</v>
      </c>
      <c r="AK85" s="109" t="s">
        <v>78</v>
      </c>
      <c r="AL85" s="109" t="s">
        <v>78</v>
      </c>
      <c r="AM85" s="109" t="s">
        <v>81</v>
      </c>
      <c r="AN85" s="109" t="s">
        <v>81</v>
      </c>
      <c r="AO85" s="109" t="s">
        <v>78</v>
      </c>
      <c r="AP85" s="109" t="s">
        <v>81</v>
      </c>
      <c r="AQ85" s="109">
        <v>1</v>
      </c>
      <c r="AR85" s="109" t="s">
        <v>126</v>
      </c>
    </row>
    <row r="86" spans="1:44" ht="30.6" customHeight="1" x14ac:dyDescent="0.45">
      <c r="A86" s="104" t="s">
        <v>953</v>
      </c>
      <c r="B86" s="125" t="s">
        <v>954</v>
      </c>
      <c r="C86" s="105">
        <v>2017</v>
      </c>
      <c r="D86" s="105" t="s">
        <v>87</v>
      </c>
      <c r="E86" s="105" t="s">
        <v>955</v>
      </c>
      <c r="F86" s="105" t="s">
        <v>87</v>
      </c>
      <c r="G86" s="105" t="s">
        <v>87</v>
      </c>
      <c r="H86" s="105" t="s">
        <v>228</v>
      </c>
      <c r="I86" s="106" t="s">
        <v>228</v>
      </c>
      <c r="J86" s="104" t="s">
        <v>676</v>
      </c>
      <c r="K86" s="104" t="s">
        <v>81</v>
      </c>
      <c r="L86" s="107" t="s">
        <v>74</v>
      </c>
      <c r="M86" s="107">
        <v>25000000</v>
      </c>
      <c r="N86" s="104">
        <v>25000000</v>
      </c>
      <c r="O86" s="104">
        <v>33608250</v>
      </c>
      <c r="P86" s="104">
        <v>25000000</v>
      </c>
      <c r="Q86" s="104">
        <v>25000000</v>
      </c>
      <c r="R86" s="104">
        <v>33608250</v>
      </c>
      <c r="S86" s="104">
        <v>25000000</v>
      </c>
      <c r="T86" s="104">
        <v>25000000</v>
      </c>
      <c r="U86" s="112">
        <v>33608250</v>
      </c>
      <c r="V86" s="107" t="s">
        <v>75</v>
      </c>
      <c r="W86" s="104" t="s">
        <v>956</v>
      </c>
      <c r="X86" s="104" t="s">
        <v>75</v>
      </c>
      <c r="Y86" s="104" t="s">
        <v>957</v>
      </c>
      <c r="Z86" s="104" t="s">
        <v>75</v>
      </c>
      <c r="AA86" s="104">
        <v>999</v>
      </c>
      <c r="AB86" s="108" t="s">
        <v>958</v>
      </c>
      <c r="AC86" s="104">
        <v>0</v>
      </c>
      <c r="AD86" s="105" t="s">
        <v>78</v>
      </c>
      <c r="AE86" s="104">
        <v>0</v>
      </c>
      <c r="AF86" s="104" t="s">
        <v>78</v>
      </c>
      <c r="AG86" s="104">
        <v>1</v>
      </c>
      <c r="AH86" s="109" t="s">
        <v>75</v>
      </c>
      <c r="AI86" s="109" t="s">
        <v>959</v>
      </c>
      <c r="AJ86" s="109" t="s">
        <v>75</v>
      </c>
      <c r="AK86" s="109" t="s">
        <v>228</v>
      </c>
      <c r="AL86" s="109" t="s">
        <v>960</v>
      </c>
      <c r="AM86" s="109" t="s">
        <v>75</v>
      </c>
      <c r="AN86" s="109" t="s">
        <v>75</v>
      </c>
      <c r="AO86" s="109" t="s">
        <v>78</v>
      </c>
      <c r="AP86" s="109" t="s">
        <v>75</v>
      </c>
      <c r="AQ86" s="109">
        <v>1</v>
      </c>
      <c r="AR86" s="109" t="s">
        <v>74</v>
      </c>
    </row>
    <row r="87" spans="1:44" ht="30.6" customHeight="1" x14ac:dyDescent="0.45">
      <c r="A87" s="104" t="s">
        <v>961</v>
      </c>
      <c r="B87" s="125" t="s">
        <v>962</v>
      </c>
      <c r="C87" s="105">
        <v>2017</v>
      </c>
      <c r="D87" s="105" t="s">
        <v>501</v>
      </c>
      <c r="E87" s="105" t="s">
        <v>78</v>
      </c>
      <c r="F87" s="105" t="s">
        <v>551</v>
      </c>
      <c r="G87" s="105" t="s">
        <v>519</v>
      </c>
      <c r="H87" s="105" t="s">
        <v>596</v>
      </c>
      <c r="I87" s="106" t="s">
        <v>101</v>
      </c>
      <c r="J87" s="104" t="s">
        <v>676</v>
      </c>
      <c r="K87" s="104" t="s">
        <v>81</v>
      </c>
      <c r="L87" s="107" t="s">
        <v>74</v>
      </c>
      <c r="M87" s="107">
        <v>760000</v>
      </c>
      <c r="N87" s="104">
        <v>760000</v>
      </c>
      <c r="O87" s="104">
        <v>1021690.8</v>
      </c>
      <c r="P87" s="104">
        <v>760000</v>
      </c>
      <c r="Q87" s="104">
        <v>760000</v>
      </c>
      <c r="R87" s="104">
        <v>1021690.8</v>
      </c>
      <c r="S87" s="104">
        <v>760000</v>
      </c>
      <c r="T87" s="104">
        <v>760000</v>
      </c>
      <c r="U87" s="112">
        <v>1021690.8</v>
      </c>
      <c r="V87" s="107" t="s">
        <v>81</v>
      </c>
      <c r="W87" s="104" t="s">
        <v>78</v>
      </c>
      <c r="X87" s="104" t="s">
        <v>81</v>
      </c>
      <c r="Y87" s="104" t="s">
        <v>78</v>
      </c>
      <c r="Z87" s="104" t="s">
        <v>81</v>
      </c>
      <c r="AA87" s="104">
        <v>0</v>
      </c>
      <c r="AB87" s="108" t="s">
        <v>78</v>
      </c>
      <c r="AC87" s="104">
        <v>0</v>
      </c>
      <c r="AD87" s="105" t="s">
        <v>78</v>
      </c>
      <c r="AE87" s="104">
        <v>0</v>
      </c>
      <c r="AF87" s="104" t="s">
        <v>78</v>
      </c>
      <c r="AG87" s="104">
        <v>0</v>
      </c>
      <c r="AH87" s="109" t="s">
        <v>81</v>
      </c>
      <c r="AI87" s="109" t="s">
        <v>78</v>
      </c>
      <c r="AJ87" s="109" t="s">
        <v>81</v>
      </c>
      <c r="AK87" s="109" t="s">
        <v>78</v>
      </c>
      <c r="AL87" s="109" t="s">
        <v>78</v>
      </c>
      <c r="AM87" s="109" t="s">
        <v>81</v>
      </c>
      <c r="AN87" s="109" t="s">
        <v>81</v>
      </c>
      <c r="AO87" s="109" t="s">
        <v>78</v>
      </c>
      <c r="AP87" s="109" t="s">
        <v>81</v>
      </c>
      <c r="AQ87" s="109">
        <v>1</v>
      </c>
      <c r="AR87" s="109" t="s">
        <v>74</v>
      </c>
    </row>
    <row r="88" spans="1:44" ht="30.6" customHeight="1" x14ac:dyDescent="0.45">
      <c r="A88" s="104" t="s">
        <v>963</v>
      </c>
      <c r="B88" s="125" t="s">
        <v>964</v>
      </c>
      <c r="C88" s="105">
        <v>2017</v>
      </c>
      <c r="D88" s="105" t="s">
        <v>145</v>
      </c>
      <c r="E88" s="105" t="s">
        <v>78</v>
      </c>
      <c r="F88" s="105" t="s">
        <v>543</v>
      </c>
      <c r="G88" s="105" t="s">
        <v>522</v>
      </c>
      <c r="H88" s="105" t="s">
        <v>228</v>
      </c>
      <c r="I88" s="106" t="s">
        <v>228</v>
      </c>
      <c r="J88" s="104" t="s">
        <v>689</v>
      </c>
      <c r="K88" s="104" t="s">
        <v>81</v>
      </c>
      <c r="L88" s="107" t="s">
        <v>126</v>
      </c>
      <c r="M88" s="107">
        <v>1000000</v>
      </c>
      <c r="N88" s="104">
        <v>743864.97362998663</v>
      </c>
      <c r="O88" s="104">
        <v>1000000</v>
      </c>
      <c r="P88" s="104">
        <v>723227.91</v>
      </c>
      <c r="Q88" s="104">
        <v>723227.91</v>
      </c>
      <c r="R88" s="104">
        <v>972256.97625030007</v>
      </c>
      <c r="S88" s="104">
        <v>723227.91</v>
      </c>
      <c r="T88" s="104">
        <v>723227.91</v>
      </c>
      <c r="U88" s="112">
        <v>972256.97625030007</v>
      </c>
      <c r="V88" s="107" t="s">
        <v>75</v>
      </c>
      <c r="W88" s="104" t="s">
        <v>965</v>
      </c>
      <c r="X88" s="104" t="s">
        <v>75</v>
      </c>
      <c r="Y88" s="104" t="s">
        <v>966</v>
      </c>
      <c r="Z88" s="104" t="s">
        <v>75</v>
      </c>
      <c r="AA88" s="104">
        <v>999</v>
      </c>
      <c r="AB88" s="108" t="s">
        <v>967</v>
      </c>
      <c r="AC88" s="104">
        <v>0</v>
      </c>
      <c r="AD88" s="105" t="s">
        <v>78</v>
      </c>
      <c r="AE88" s="104">
        <v>0</v>
      </c>
      <c r="AF88" s="104" t="s">
        <v>78</v>
      </c>
      <c r="AG88" s="104">
        <v>1</v>
      </c>
      <c r="AH88" s="109" t="s">
        <v>75</v>
      </c>
      <c r="AI88" s="109" t="s">
        <v>968</v>
      </c>
      <c r="AJ88" s="109" t="s">
        <v>75</v>
      </c>
      <c r="AK88" s="109" t="s">
        <v>795</v>
      </c>
      <c r="AL88" s="109" t="s">
        <v>796</v>
      </c>
      <c r="AM88" s="109" t="s">
        <v>81</v>
      </c>
      <c r="AN88" s="109" t="s">
        <v>81</v>
      </c>
      <c r="AO88" s="109" t="s">
        <v>78</v>
      </c>
      <c r="AP88" s="109" t="s">
        <v>75</v>
      </c>
      <c r="AQ88" s="109">
        <v>1</v>
      </c>
      <c r="AR88" s="109" t="s">
        <v>126</v>
      </c>
    </row>
    <row r="89" spans="1:44" ht="30.6" customHeight="1" x14ac:dyDescent="0.45">
      <c r="A89" s="104" t="s">
        <v>969</v>
      </c>
      <c r="B89" s="125" t="s">
        <v>970</v>
      </c>
      <c r="C89" s="105">
        <v>2017</v>
      </c>
      <c r="D89" s="105" t="s">
        <v>87</v>
      </c>
      <c r="E89" s="105" t="s">
        <v>937</v>
      </c>
      <c r="F89" s="105" t="s">
        <v>87</v>
      </c>
      <c r="G89" s="105" t="s">
        <v>87</v>
      </c>
      <c r="H89" s="105" t="s">
        <v>584</v>
      </c>
      <c r="I89" s="106" t="s">
        <v>228</v>
      </c>
      <c r="J89" s="104" t="s">
        <v>689</v>
      </c>
      <c r="K89" s="104" t="s">
        <v>81</v>
      </c>
      <c r="L89" s="107" t="s">
        <v>126</v>
      </c>
      <c r="M89" s="107">
        <v>100000000</v>
      </c>
      <c r="N89" s="104">
        <v>74386497.362998664</v>
      </c>
      <c r="O89" s="104">
        <v>100000000</v>
      </c>
      <c r="P89" s="104">
        <v>72322791.079999998</v>
      </c>
      <c r="Q89" s="104">
        <v>72322791.079999998</v>
      </c>
      <c r="R89" s="104">
        <v>97225697.7325764</v>
      </c>
      <c r="S89" s="104">
        <v>72322791.079999998</v>
      </c>
      <c r="T89" s="104">
        <v>72322791.079999998</v>
      </c>
      <c r="U89" s="112">
        <v>97225697.7325764</v>
      </c>
      <c r="V89" s="107" t="s">
        <v>81</v>
      </c>
      <c r="W89" s="104" t="s">
        <v>78</v>
      </c>
      <c r="X89" s="104" t="s">
        <v>81</v>
      </c>
      <c r="Y89" s="104" t="s">
        <v>78</v>
      </c>
      <c r="Z89" s="104" t="s">
        <v>81</v>
      </c>
      <c r="AA89" s="104">
        <v>0</v>
      </c>
      <c r="AB89" s="108" t="s">
        <v>78</v>
      </c>
      <c r="AC89" s="104">
        <v>0</v>
      </c>
      <c r="AD89" s="105" t="s">
        <v>78</v>
      </c>
      <c r="AE89" s="104">
        <v>0</v>
      </c>
      <c r="AF89" s="104" t="s">
        <v>78</v>
      </c>
      <c r="AG89" s="104">
        <v>0</v>
      </c>
      <c r="AH89" s="109" t="s">
        <v>81</v>
      </c>
      <c r="AI89" s="109" t="s">
        <v>78</v>
      </c>
      <c r="AJ89" s="109" t="s">
        <v>81</v>
      </c>
      <c r="AK89" s="109" t="s">
        <v>78</v>
      </c>
      <c r="AL89" s="109" t="s">
        <v>78</v>
      </c>
      <c r="AM89" s="109" t="s">
        <v>81</v>
      </c>
      <c r="AN89" s="109" t="s">
        <v>81</v>
      </c>
      <c r="AO89" s="109" t="s">
        <v>78</v>
      </c>
      <c r="AP89" s="109" t="s">
        <v>81</v>
      </c>
      <c r="AQ89" s="109">
        <v>1</v>
      </c>
      <c r="AR89" s="109" t="s">
        <v>126</v>
      </c>
    </row>
    <row r="90" spans="1:44" ht="30.6" customHeight="1" x14ac:dyDescent="0.45">
      <c r="A90" s="104" t="s">
        <v>971</v>
      </c>
      <c r="B90" s="125" t="s">
        <v>972</v>
      </c>
      <c r="C90" s="105">
        <v>2017</v>
      </c>
      <c r="D90" s="105" t="s">
        <v>445</v>
      </c>
      <c r="E90" s="105" t="s">
        <v>78</v>
      </c>
      <c r="F90" s="105" t="s">
        <v>552</v>
      </c>
      <c r="G90" s="105" t="s">
        <v>519</v>
      </c>
      <c r="H90" s="105" t="s">
        <v>598</v>
      </c>
      <c r="I90" s="106" t="s">
        <v>101</v>
      </c>
      <c r="J90" s="104" t="s">
        <v>679</v>
      </c>
      <c r="K90" s="104" t="s">
        <v>75</v>
      </c>
      <c r="L90" s="107" t="s">
        <v>126</v>
      </c>
      <c r="M90" s="107">
        <v>1000000</v>
      </c>
      <c r="N90" s="104">
        <v>743864.97362998663</v>
      </c>
      <c r="O90" s="104">
        <v>1000000</v>
      </c>
      <c r="P90" s="104">
        <v>723227.91</v>
      </c>
      <c r="Q90" s="104">
        <v>723227.91</v>
      </c>
      <c r="R90" s="104">
        <v>972256.97625030007</v>
      </c>
      <c r="S90" s="104">
        <v>0</v>
      </c>
      <c r="T90" s="104">
        <v>0</v>
      </c>
      <c r="U90" s="112">
        <v>0</v>
      </c>
      <c r="V90" s="107" t="s">
        <v>81</v>
      </c>
      <c r="W90" s="104" t="s">
        <v>78</v>
      </c>
      <c r="X90" s="104" t="s">
        <v>81</v>
      </c>
      <c r="Y90" s="104" t="s">
        <v>78</v>
      </c>
      <c r="Z90" s="104" t="s">
        <v>81</v>
      </c>
      <c r="AA90" s="104">
        <v>0</v>
      </c>
      <c r="AB90" s="108" t="s">
        <v>78</v>
      </c>
      <c r="AC90" s="104">
        <v>0</v>
      </c>
      <c r="AD90" s="105" t="s">
        <v>78</v>
      </c>
      <c r="AE90" s="104">
        <v>0</v>
      </c>
      <c r="AF90" s="104" t="s">
        <v>78</v>
      </c>
      <c r="AG90" s="104">
        <v>0</v>
      </c>
      <c r="AH90" s="109" t="s">
        <v>81</v>
      </c>
      <c r="AI90" s="109" t="s">
        <v>78</v>
      </c>
      <c r="AJ90" s="109" t="s">
        <v>81</v>
      </c>
      <c r="AK90" s="109" t="s">
        <v>78</v>
      </c>
      <c r="AL90" s="109" t="s">
        <v>78</v>
      </c>
      <c r="AM90" s="109" t="s">
        <v>81</v>
      </c>
      <c r="AN90" s="109" t="s">
        <v>81</v>
      </c>
      <c r="AO90" s="109" t="s">
        <v>78</v>
      </c>
      <c r="AP90" s="109" t="s">
        <v>81</v>
      </c>
      <c r="AQ90" s="109">
        <v>1</v>
      </c>
      <c r="AR90" s="109" t="s">
        <v>126</v>
      </c>
    </row>
    <row r="91" spans="1:44" ht="30.6" customHeight="1" x14ac:dyDescent="0.45">
      <c r="A91" s="104" t="s">
        <v>973</v>
      </c>
      <c r="B91" s="125" t="s">
        <v>974</v>
      </c>
      <c r="C91" s="105">
        <v>2017</v>
      </c>
      <c r="D91" s="105" t="s">
        <v>184</v>
      </c>
      <c r="E91" s="105" t="s">
        <v>78</v>
      </c>
      <c r="F91" s="105" t="s">
        <v>554</v>
      </c>
      <c r="G91" s="105" t="s">
        <v>520</v>
      </c>
      <c r="H91" s="105" t="s">
        <v>466</v>
      </c>
      <c r="I91" s="106" t="s">
        <v>466</v>
      </c>
      <c r="J91" s="104" t="s">
        <v>689</v>
      </c>
      <c r="K91" s="104" t="s">
        <v>81</v>
      </c>
      <c r="L91" s="107" t="s">
        <v>74</v>
      </c>
      <c r="M91" s="107">
        <v>740000</v>
      </c>
      <c r="N91" s="104">
        <v>740000</v>
      </c>
      <c r="O91" s="104">
        <v>994804.20000000007</v>
      </c>
      <c r="P91" s="104">
        <v>740000</v>
      </c>
      <c r="Q91" s="104">
        <v>740000</v>
      </c>
      <c r="R91" s="104">
        <v>994804.20000000007</v>
      </c>
      <c r="S91" s="104">
        <v>740000</v>
      </c>
      <c r="T91" s="104">
        <v>740000</v>
      </c>
      <c r="U91" s="112">
        <v>994804.20000000007</v>
      </c>
      <c r="V91" s="107" t="s">
        <v>81</v>
      </c>
      <c r="W91" s="104" t="s">
        <v>78</v>
      </c>
      <c r="X91" s="104" t="s">
        <v>81</v>
      </c>
      <c r="Y91" s="104" t="s">
        <v>78</v>
      </c>
      <c r="Z91" s="104" t="s">
        <v>81</v>
      </c>
      <c r="AA91" s="104">
        <v>0</v>
      </c>
      <c r="AB91" s="108" t="s">
        <v>78</v>
      </c>
      <c r="AC91" s="104">
        <v>0</v>
      </c>
      <c r="AD91" s="105" t="s">
        <v>78</v>
      </c>
      <c r="AE91" s="110">
        <v>0</v>
      </c>
      <c r="AF91" s="104" t="s">
        <v>78</v>
      </c>
      <c r="AG91" s="104">
        <v>0</v>
      </c>
      <c r="AH91" s="109" t="s">
        <v>81</v>
      </c>
      <c r="AI91" s="109" t="s">
        <v>78</v>
      </c>
      <c r="AJ91" s="109" t="s">
        <v>81</v>
      </c>
      <c r="AK91" s="109" t="s">
        <v>78</v>
      </c>
      <c r="AL91" s="109" t="s">
        <v>78</v>
      </c>
      <c r="AM91" s="109" t="s">
        <v>81</v>
      </c>
      <c r="AN91" s="109" t="s">
        <v>81</v>
      </c>
      <c r="AO91" s="109" t="s">
        <v>78</v>
      </c>
      <c r="AP91" s="109" t="s">
        <v>81</v>
      </c>
      <c r="AQ91" s="109">
        <v>1</v>
      </c>
      <c r="AR91" s="109" t="s">
        <v>74</v>
      </c>
    </row>
    <row r="92" spans="1:44" ht="30.6" customHeight="1" x14ac:dyDescent="0.45">
      <c r="A92" s="104" t="s">
        <v>975</v>
      </c>
      <c r="B92" s="125" t="s">
        <v>976</v>
      </c>
      <c r="C92" s="105">
        <v>2017</v>
      </c>
      <c r="D92" s="105" t="s">
        <v>501</v>
      </c>
      <c r="E92" s="105" t="s">
        <v>78</v>
      </c>
      <c r="F92" s="105" t="s">
        <v>551</v>
      </c>
      <c r="G92" s="105" t="s">
        <v>519</v>
      </c>
      <c r="H92" s="105" t="s">
        <v>598</v>
      </c>
      <c r="I92" s="106" t="s">
        <v>101</v>
      </c>
      <c r="J92" s="104" t="s">
        <v>679</v>
      </c>
      <c r="K92" s="104" t="s">
        <v>75</v>
      </c>
      <c r="L92" s="107" t="s">
        <v>126</v>
      </c>
      <c r="M92" s="107">
        <v>1000000</v>
      </c>
      <c r="N92" s="104">
        <v>743864.97362998663</v>
      </c>
      <c r="O92" s="104">
        <v>1000000</v>
      </c>
      <c r="P92" s="104">
        <v>723227.91</v>
      </c>
      <c r="Q92" s="104">
        <v>723227.91</v>
      </c>
      <c r="R92" s="104">
        <v>972256.97625030007</v>
      </c>
      <c r="S92" s="104">
        <v>0</v>
      </c>
      <c r="T92" s="104">
        <v>0</v>
      </c>
      <c r="U92" s="112">
        <v>0</v>
      </c>
      <c r="V92" s="107" t="s">
        <v>81</v>
      </c>
      <c r="W92" s="104" t="s">
        <v>78</v>
      </c>
      <c r="X92" s="104" t="s">
        <v>81</v>
      </c>
      <c r="Y92" s="104" t="s">
        <v>78</v>
      </c>
      <c r="Z92" s="104" t="s">
        <v>81</v>
      </c>
      <c r="AA92" s="104">
        <v>0</v>
      </c>
      <c r="AB92" s="108" t="s">
        <v>78</v>
      </c>
      <c r="AC92" s="104">
        <v>0</v>
      </c>
      <c r="AD92" s="105" t="s">
        <v>78</v>
      </c>
      <c r="AE92" s="104">
        <v>0</v>
      </c>
      <c r="AF92" s="104" t="s">
        <v>78</v>
      </c>
      <c r="AG92" s="104">
        <v>0</v>
      </c>
      <c r="AH92" s="109" t="s">
        <v>81</v>
      </c>
      <c r="AI92" s="109" t="s">
        <v>78</v>
      </c>
      <c r="AJ92" s="109" t="s">
        <v>81</v>
      </c>
      <c r="AK92" s="109" t="s">
        <v>78</v>
      </c>
      <c r="AL92" s="109" t="s">
        <v>78</v>
      </c>
      <c r="AM92" s="109" t="s">
        <v>81</v>
      </c>
      <c r="AN92" s="109" t="s">
        <v>81</v>
      </c>
      <c r="AO92" s="109" t="s">
        <v>78</v>
      </c>
      <c r="AP92" s="109" t="s">
        <v>81</v>
      </c>
      <c r="AQ92" s="109">
        <v>1</v>
      </c>
      <c r="AR92" s="109" t="s">
        <v>126</v>
      </c>
    </row>
    <row r="93" spans="1:44" ht="30.6" customHeight="1" x14ac:dyDescent="0.45">
      <c r="A93" s="104" t="s">
        <v>977</v>
      </c>
      <c r="B93" s="125" t="s">
        <v>978</v>
      </c>
      <c r="C93" s="105">
        <v>2017</v>
      </c>
      <c r="D93" s="105" t="s">
        <v>353</v>
      </c>
      <c r="E93" s="105" t="s">
        <v>78</v>
      </c>
      <c r="F93" s="105" t="s">
        <v>78</v>
      </c>
      <c r="G93" s="105" t="s">
        <v>519</v>
      </c>
      <c r="H93" s="105" t="s">
        <v>596</v>
      </c>
      <c r="I93" s="106" t="s">
        <v>101</v>
      </c>
      <c r="J93" s="104" t="s">
        <v>689</v>
      </c>
      <c r="K93" s="104" t="s">
        <v>81</v>
      </c>
      <c r="L93" s="107" t="s">
        <v>74</v>
      </c>
      <c r="M93" s="107">
        <v>166572275.69999999</v>
      </c>
      <c r="N93" s="104">
        <v>166572275.69999999</v>
      </c>
      <c r="O93" s="104">
        <v>223928107.391781</v>
      </c>
      <c r="P93" s="104">
        <v>151402746.5</v>
      </c>
      <c r="Q93" s="104">
        <v>151402746.5</v>
      </c>
      <c r="R93" s="104">
        <v>203535254.20234501</v>
      </c>
      <c r="S93" s="104">
        <v>151402746.5</v>
      </c>
      <c r="T93" s="104">
        <v>151402746.5</v>
      </c>
      <c r="U93" s="112">
        <v>203535254.20234501</v>
      </c>
      <c r="V93" s="107" t="s">
        <v>81</v>
      </c>
      <c r="W93" s="104" t="s">
        <v>78</v>
      </c>
      <c r="X93" s="104" t="s">
        <v>81</v>
      </c>
      <c r="Y93" s="104" t="s">
        <v>78</v>
      </c>
      <c r="Z93" s="104" t="s">
        <v>81</v>
      </c>
      <c r="AA93" s="104">
        <v>0</v>
      </c>
      <c r="AB93" s="108" t="s">
        <v>78</v>
      </c>
      <c r="AC93" s="104">
        <v>0</v>
      </c>
      <c r="AD93" s="105" t="s">
        <v>78</v>
      </c>
      <c r="AE93" s="104">
        <v>0</v>
      </c>
      <c r="AF93" s="104" t="s">
        <v>78</v>
      </c>
      <c r="AG93" s="104">
        <v>0</v>
      </c>
      <c r="AH93" s="109" t="s">
        <v>81</v>
      </c>
      <c r="AI93" s="109" t="s">
        <v>78</v>
      </c>
      <c r="AJ93" s="109" t="s">
        <v>81</v>
      </c>
      <c r="AK93" s="109" t="s">
        <v>78</v>
      </c>
      <c r="AL93" s="109" t="s">
        <v>78</v>
      </c>
      <c r="AM93" s="109" t="s">
        <v>81</v>
      </c>
      <c r="AN93" s="109" t="s">
        <v>81</v>
      </c>
      <c r="AO93" s="109" t="s">
        <v>78</v>
      </c>
      <c r="AP93" s="109" t="s">
        <v>81</v>
      </c>
      <c r="AQ93" s="109">
        <v>1</v>
      </c>
      <c r="AR93" s="109" t="s">
        <v>74</v>
      </c>
    </row>
    <row r="94" spans="1:44" ht="30.6" customHeight="1" x14ac:dyDescent="0.45">
      <c r="A94" s="104" t="s">
        <v>979</v>
      </c>
      <c r="B94" s="125" t="s">
        <v>980</v>
      </c>
      <c r="C94" s="105">
        <v>2017</v>
      </c>
      <c r="D94" s="105" t="s">
        <v>509</v>
      </c>
      <c r="E94" s="105" t="s">
        <v>78</v>
      </c>
      <c r="F94" s="105" t="s">
        <v>560</v>
      </c>
      <c r="G94" s="105" t="s">
        <v>522</v>
      </c>
      <c r="H94" s="105" t="s">
        <v>580</v>
      </c>
      <c r="I94" s="106" t="s">
        <v>115</v>
      </c>
      <c r="J94" s="104" t="s">
        <v>689</v>
      </c>
      <c r="K94" s="104" t="s">
        <v>81</v>
      </c>
      <c r="L94" s="107" t="s">
        <v>126</v>
      </c>
      <c r="M94" s="107">
        <v>1000000</v>
      </c>
      <c r="N94" s="104">
        <v>743864.97362998663</v>
      </c>
      <c r="O94" s="104">
        <v>1000000</v>
      </c>
      <c r="P94" s="104">
        <v>723227.91</v>
      </c>
      <c r="Q94" s="104">
        <v>723227.91</v>
      </c>
      <c r="R94" s="104">
        <v>972256.97625030007</v>
      </c>
      <c r="S94" s="104">
        <v>723227.91</v>
      </c>
      <c r="T94" s="104">
        <v>723227.91</v>
      </c>
      <c r="U94" s="112">
        <v>972256.97625030007</v>
      </c>
      <c r="V94" s="107" t="s">
        <v>75</v>
      </c>
      <c r="W94" s="104" t="s">
        <v>981</v>
      </c>
      <c r="X94" s="104" t="s">
        <v>75</v>
      </c>
      <c r="Y94" s="104" t="s">
        <v>982</v>
      </c>
      <c r="Z94" s="104" t="s">
        <v>75</v>
      </c>
      <c r="AA94" s="104">
        <v>999</v>
      </c>
      <c r="AB94" s="108" t="s">
        <v>983</v>
      </c>
      <c r="AC94" s="104">
        <v>0</v>
      </c>
      <c r="AD94" s="105" t="s">
        <v>78</v>
      </c>
      <c r="AE94" s="104">
        <v>0</v>
      </c>
      <c r="AF94" s="104" t="s">
        <v>78</v>
      </c>
      <c r="AG94" s="104">
        <v>1</v>
      </c>
      <c r="AH94" s="109" t="s">
        <v>75</v>
      </c>
      <c r="AI94" s="109" t="s">
        <v>984</v>
      </c>
      <c r="AJ94" s="109" t="s">
        <v>75</v>
      </c>
      <c r="AK94" s="109" t="s">
        <v>795</v>
      </c>
      <c r="AL94" s="109" t="s">
        <v>704</v>
      </c>
      <c r="AM94" s="109" t="s">
        <v>81</v>
      </c>
      <c r="AN94" s="109" t="s">
        <v>81</v>
      </c>
      <c r="AO94" s="109" t="s">
        <v>78</v>
      </c>
      <c r="AP94" s="109" t="s">
        <v>75</v>
      </c>
      <c r="AQ94" s="109">
        <v>1</v>
      </c>
      <c r="AR94" s="109" t="s">
        <v>126</v>
      </c>
    </row>
    <row r="95" spans="1:44" ht="30.6" customHeight="1" x14ac:dyDescent="0.45">
      <c r="A95" s="104" t="s">
        <v>985</v>
      </c>
      <c r="B95" s="125" t="s">
        <v>986</v>
      </c>
      <c r="C95" s="105">
        <v>2017</v>
      </c>
      <c r="D95" s="105" t="s">
        <v>179</v>
      </c>
      <c r="E95" s="105" t="s">
        <v>78</v>
      </c>
      <c r="F95" s="105" t="s">
        <v>561</v>
      </c>
      <c r="G95" s="105" t="s">
        <v>522</v>
      </c>
      <c r="H95" s="105" t="s">
        <v>595</v>
      </c>
      <c r="I95" s="106" t="s">
        <v>101</v>
      </c>
      <c r="J95" s="104" t="s">
        <v>676</v>
      </c>
      <c r="K95" s="104" t="s">
        <v>81</v>
      </c>
      <c r="L95" s="107" t="s">
        <v>74</v>
      </c>
      <c r="M95" s="107">
        <v>13380000</v>
      </c>
      <c r="N95" s="104">
        <v>13380000</v>
      </c>
      <c r="O95" s="104">
        <v>17987135.399999999</v>
      </c>
      <c r="P95" s="104">
        <v>13379999.720000001</v>
      </c>
      <c r="Q95" s="104">
        <v>13379999.720000001</v>
      </c>
      <c r="R95" s="104">
        <v>17987135.023587599</v>
      </c>
      <c r="S95" s="104">
        <v>13379999.720000001</v>
      </c>
      <c r="T95" s="104">
        <v>13379999.720000001</v>
      </c>
      <c r="U95" s="112">
        <v>17987135.023587599</v>
      </c>
      <c r="V95" s="107" t="s">
        <v>81</v>
      </c>
      <c r="W95" s="104" t="s">
        <v>78</v>
      </c>
      <c r="X95" s="104" t="s">
        <v>81</v>
      </c>
      <c r="Y95" s="104" t="s">
        <v>78</v>
      </c>
      <c r="Z95" s="104" t="s">
        <v>81</v>
      </c>
      <c r="AA95" s="104">
        <v>0</v>
      </c>
      <c r="AB95" s="108" t="s">
        <v>78</v>
      </c>
      <c r="AC95" s="104">
        <v>0</v>
      </c>
      <c r="AD95" s="105" t="s">
        <v>78</v>
      </c>
      <c r="AE95" s="104">
        <v>0</v>
      </c>
      <c r="AF95" s="104" t="s">
        <v>78</v>
      </c>
      <c r="AG95" s="104">
        <v>0</v>
      </c>
      <c r="AH95" s="109" t="s">
        <v>81</v>
      </c>
      <c r="AI95" s="109" t="s">
        <v>78</v>
      </c>
      <c r="AJ95" s="109" t="s">
        <v>81</v>
      </c>
      <c r="AK95" s="109" t="s">
        <v>78</v>
      </c>
      <c r="AL95" s="109" t="s">
        <v>78</v>
      </c>
      <c r="AM95" s="109" t="s">
        <v>81</v>
      </c>
      <c r="AN95" s="109" t="s">
        <v>81</v>
      </c>
      <c r="AO95" s="109" t="s">
        <v>78</v>
      </c>
      <c r="AP95" s="109" t="s">
        <v>81</v>
      </c>
      <c r="AQ95" s="109">
        <v>1</v>
      </c>
      <c r="AR95" s="109" t="s">
        <v>74</v>
      </c>
    </row>
    <row r="96" spans="1:44" ht="30.6" customHeight="1" x14ac:dyDescent="0.45">
      <c r="A96" s="104" t="s">
        <v>987</v>
      </c>
      <c r="B96" s="125" t="s">
        <v>988</v>
      </c>
      <c r="C96" s="105">
        <v>2017</v>
      </c>
      <c r="D96" s="105" t="s">
        <v>195</v>
      </c>
      <c r="E96" s="105" t="s">
        <v>78</v>
      </c>
      <c r="F96" s="105" t="s">
        <v>536</v>
      </c>
      <c r="G96" s="105" t="s">
        <v>522</v>
      </c>
      <c r="H96" s="105" t="s">
        <v>587</v>
      </c>
      <c r="I96" s="106" t="s">
        <v>256</v>
      </c>
      <c r="J96" s="104" t="s">
        <v>676</v>
      </c>
      <c r="K96" s="104" t="s">
        <v>81</v>
      </c>
      <c r="L96" s="107" t="s">
        <v>74</v>
      </c>
      <c r="M96" s="107">
        <v>4120000</v>
      </c>
      <c r="N96" s="104">
        <v>4120000</v>
      </c>
      <c r="O96" s="104">
        <v>5538639.6000000006</v>
      </c>
      <c r="P96" s="104">
        <v>4120000</v>
      </c>
      <c r="Q96" s="104">
        <v>4120000</v>
      </c>
      <c r="R96" s="104">
        <v>5538639.6000000006</v>
      </c>
      <c r="S96" s="104">
        <v>4120000</v>
      </c>
      <c r="T96" s="104">
        <v>4120000</v>
      </c>
      <c r="U96" s="112">
        <v>5538639.6000000006</v>
      </c>
      <c r="V96" s="107" t="s">
        <v>75</v>
      </c>
      <c r="W96" s="104" t="s">
        <v>989</v>
      </c>
      <c r="X96" s="104" t="s">
        <v>81</v>
      </c>
      <c r="Y96" s="104" t="s">
        <v>78</v>
      </c>
      <c r="Z96" s="104" t="s">
        <v>75</v>
      </c>
      <c r="AA96" s="104">
        <v>999</v>
      </c>
      <c r="AB96" s="108" t="s">
        <v>990</v>
      </c>
      <c r="AC96" s="104">
        <v>999</v>
      </c>
      <c r="AD96" s="105" t="s">
        <v>991</v>
      </c>
      <c r="AE96" s="104">
        <v>0</v>
      </c>
      <c r="AF96" s="104" t="s">
        <v>78</v>
      </c>
      <c r="AG96" s="104">
        <v>2</v>
      </c>
      <c r="AH96" s="109" t="s">
        <v>75</v>
      </c>
      <c r="AI96" s="109" t="s">
        <v>992</v>
      </c>
      <c r="AJ96" s="109" t="s">
        <v>75</v>
      </c>
      <c r="AK96" s="109" t="s">
        <v>466</v>
      </c>
      <c r="AL96" s="109" t="s">
        <v>796</v>
      </c>
      <c r="AM96" s="109" t="s">
        <v>81</v>
      </c>
      <c r="AN96" s="109" t="s">
        <v>81</v>
      </c>
      <c r="AO96" s="109" t="s">
        <v>78</v>
      </c>
      <c r="AP96" s="109" t="s">
        <v>81</v>
      </c>
      <c r="AQ96" s="109">
        <v>1</v>
      </c>
      <c r="AR96" s="109" t="s">
        <v>74</v>
      </c>
    </row>
    <row r="97" spans="1:44" ht="30.6" customHeight="1" x14ac:dyDescent="0.45">
      <c r="A97" s="104" t="s">
        <v>993</v>
      </c>
      <c r="B97" s="125" t="s">
        <v>994</v>
      </c>
      <c r="C97" s="105">
        <v>2017</v>
      </c>
      <c r="D97" s="105" t="s">
        <v>513</v>
      </c>
      <c r="E97" s="105" t="s">
        <v>78</v>
      </c>
      <c r="F97" s="105" t="s">
        <v>539</v>
      </c>
      <c r="G97" s="105" t="s">
        <v>520</v>
      </c>
      <c r="H97" s="105" t="s">
        <v>599</v>
      </c>
      <c r="I97" s="106" t="s">
        <v>101</v>
      </c>
      <c r="J97" s="104" t="s">
        <v>676</v>
      </c>
      <c r="K97" s="104" t="s">
        <v>81</v>
      </c>
      <c r="L97" s="107" t="s">
        <v>74</v>
      </c>
      <c r="M97" s="107">
        <v>3665000</v>
      </c>
      <c r="N97" s="104">
        <v>3665000</v>
      </c>
      <c r="O97" s="104">
        <v>4926969.45</v>
      </c>
      <c r="P97" s="104">
        <v>3665000</v>
      </c>
      <c r="Q97" s="104">
        <v>3665000</v>
      </c>
      <c r="R97" s="104">
        <v>4926969.45</v>
      </c>
      <c r="S97" s="104">
        <v>3665000</v>
      </c>
      <c r="T97" s="104">
        <v>3665000</v>
      </c>
      <c r="U97" s="112">
        <v>4926969.45</v>
      </c>
      <c r="V97" s="107" t="s">
        <v>81</v>
      </c>
      <c r="W97" s="104" t="s">
        <v>78</v>
      </c>
      <c r="X97" s="104" t="s">
        <v>81</v>
      </c>
      <c r="Y97" s="104" t="s">
        <v>78</v>
      </c>
      <c r="Z97" s="104" t="s">
        <v>81</v>
      </c>
      <c r="AA97" s="104">
        <v>0</v>
      </c>
      <c r="AB97" s="108" t="s">
        <v>78</v>
      </c>
      <c r="AC97" s="104">
        <v>0</v>
      </c>
      <c r="AD97" s="105" t="s">
        <v>78</v>
      </c>
      <c r="AE97" s="104">
        <v>0</v>
      </c>
      <c r="AF97" s="104" t="s">
        <v>78</v>
      </c>
      <c r="AG97" s="104">
        <v>0</v>
      </c>
      <c r="AH97" s="109" t="s">
        <v>81</v>
      </c>
      <c r="AI97" s="109" t="s">
        <v>78</v>
      </c>
      <c r="AJ97" s="109" t="s">
        <v>81</v>
      </c>
      <c r="AK97" s="109" t="s">
        <v>78</v>
      </c>
      <c r="AL97" s="109" t="s">
        <v>78</v>
      </c>
      <c r="AM97" s="109" t="s">
        <v>81</v>
      </c>
      <c r="AN97" s="109" t="s">
        <v>81</v>
      </c>
      <c r="AO97" s="109" t="s">
        <v>78</v>
      </c>
      <c r="AP97" s="109" t="s">
        <v>81</v>
      </c>
      <c r="AQ97" s="109">
        <v>1</v>
      </c>
      <c r="AR97" s="109" t="s">
        <v>74</v>
      </c>
    </row>
    <row r="98" spans="1:44" ht="30.6" customHeight="1" x14ac:dyDescent="0.45">
      <c r="A98" s="104" t="s">
        <v>995</v>
      </c>
      <c r="B98" s="125" t="s">
        <v>996</v>
      </c>
      <c r="C98" s="105">
        <v>2017</v>
      </c>
      <c r="D98" s="105" t="s">
        <v>184</v>
      </c>
      <c r="E98" s="105" t="s">
        <v>78</v>
      </c>
      <c r="F98" s="105" t="s">
        <v>554</v>
      </c>
      <c r="G98" s="105" t="s">
        <v>520</v>
      </c>
      <c r="H98" s="105" t="s">
        <v>228</v>
      </c>
      <c r="I98" s="106" t="s">
        <v>228</v>
      </c>
      <c r="J98" s="104" t="s">
        <v>676</v>
      </c>
      <c r="K98" s="104" t="s">
        <v>81</v>
      </c>
      <c r="L98" s="107" t="s">
        <v>74</v>
      </c>
      <c r="M98" s="107">
        <v>10000000</v>
      </c>
      <c r="N98" s="104">
        <v>10000000</v>
      </c>
      <c r="O98" s="104">
        <v>13443300</v>
      </c>
      <c r="P98" s="104">
        <v>8000000</v>
      </c>
      <c r="Q98" s="104">
        <v>8000000</v>
      </c>
      <c r="R98" s="104">
        <v>10754640</v>
      </c>
      <c r="S98" s="104">
        <v>8000000</v>
      </c>
      <c r="T98" s="104">
        <v>8000000</v>
      </c>
      <c r="U98" s="112">
        <v>10754640</v>
      </c>
      <c r="V98" s="107" t="s">
        <v>81</v>
      </c>
      <c r="W98" s="104" t="s">
        <v>78</v>
      </c>
      <c r="X98" s="104" t="s">
        <v>81</v>
      </c>
      <c r="Y98" s="104" t="s">
        <v>78</v>
      </c>
      <c r="Z98" s="104" t="s">
        <v>81</v>
      </c>
      <c r="AA98" s="104">
        <v>0</v>
      </c>
      <c r="AB98" s="108" t="s">
        <v>78</v>
      </c>
      <c r="AC98" s="104">
        <v>0</v>
      </c>
      <c r="AD98" s="105" t="s">
        <v>78</v>
      </c>
      <c r="AE98" s="104">
        <v>0</v>
      </c>
      <c r="AF98" s="104" t="s">
        <v>78</v>
      </c>
      <c r="AG98" s="104">
        <v>0</v>
      </c>
      <c r="AH98" s="109" t="s">
        <v>81</v>
      </c>
      <c r="AI98" s="109" t="s">
        <v>78</v>
      </c>
      <c r="AJ98" s="109" t="s">
        <v>81</v>
      </c>
      <c r="AK98" s="109" t="s">
        <v>78</v>
      </c>
      <c r="AL98" s="109" t="s">
        <v>78</v>
      </c>
      <c r="AM98" s="109" t="s">
        <v>81</v>
      </c>
      <c r="AN98" s="109" t="s">
        <v>81</v>
      </c>
      <c r="AO98" s="109" t="s">
        <v>78</v>
      </c>
      <c r="AP98" s="109" t="s">
        <v>81</v>
      </c>
      <c r="AQ98" s="109">
        <v>1</v>
      </c>
      <c r="AR98" s="109" t="s">
        <v>74</v>
      </c>
    </row>
    <row r="99" spans="1:44" ht="30.6" customHeight="1" x14ac:dyDescent="0.45">
      <c r="A99" s="104" t="s">
        <v>997</v>
      </c>
      <c r="B99" s="125" t="s">
        <v>998</v>
      </c>
      <c r="C99" s="105">
        <v>2017</v>
      </c>
      <c r="D99" s="105" t="s">
        <v>508</v>
      </c>
      <c r="E99" s="105" t="s">
        <v>78</v>
      </c>
      <c r="F99" s="105" t="s">
        <v>558</v>
      </c>
      <c r="G99" s="105" t="s">
        <v>520</v>
      </c>
      <c r="H99" s="105" t="s">
        <v>587</v>
      </c>
      <c r="I99" s="106" t="s">
        <v>256</v>
      </c>
      <c r="J99" s="104" t="s">
        <v>676</v>
      </c>
      <c r="K99" s="104" t="s">
        <v>81</v>
      </c>
      <c r="L99" s="107" t="s">
        <v>74</v>
      </c>
      <c r="M99" s="107">
        <v>13890000</v>
      </c>
      <c r="N99" s="104">
        <v>13890000</v>
      </c>
      <c r="O99" s="104">
        <v>18672743.699999999</v>
      </c>
      <c r="P99" s="104">
        <v>10250447.029999999</v>
      </c>
      <c r="Q99" s="104">
        <v>10250447.029999999</v>
      </c>
      <c r="R99" s="104">
        <v>13779983.455839898</v>
      </c>
      <c r="S99" s="104">
        <v>740000</v>
      </c>
      <c r="T99" s="104">
        <v>740000</v>
      </c>
      <c r="U99" s="112">
        <v>994804.20000000007</v>
      </c>
      <c r="V99" s="107" t="s">
        <v>75</v>
      </c>
      <c r="W99" s="104" t="s">
        <v>999</v>
      </c>
      <c r="X99" s="104" t="s">
        <v>81</v>
      </c>
      <c r="Y99" s="104" t="s">
        <v>78</v>
      </c>
      <c r="Z99" s="104" t="s">
        <v>81</v>
      </c>
      <c r="AA99" s="104">
        <v>0</v>
      </c>
      <c r="AB99" s="108" t="s">
        <v>78</v>
      </c>
      <c r="AC99" s="104">
        <v>0</v>
      </c>
      <c r="AD99" s="105" t="s">
        <v>78</v>
      </c>
      <c r="AE99" s="104">
        <v>0</v>
      </c>
      <c r="AF99" s="104" t="s">
        <v>78</v>
      </c>
      <c r="AG99" s="104">
        <v>0</v>
      </c>
      <c r="AH99" s="109" t="s">
        <v>81</v>
      </c>
      <c r="AI99" s="109" t="s">
        <v>78</v>
      </c>
      <c r="AJ99" s="109" t="s">
        <v>75</v>
      </c>
      <c r="AK99" s="109" t="s">
        <v>466</v>
      </c>
      <c r="AL99" s="109" t="s">
        <v>704</v>
      </c>
      <c r="AM99" s="109" t="s">
        <v>81</v>
      </c>
      <c r="AN99" s="109" t="s">
        <v>81</v>
      </c>
      <c r="AO99" s="109" t="s">
        <v>78</v>
      </c>
      <c r="AP99" s="109" t="s">
        <v>81</v>
      </c>
      <c r="AQ99" s="109">
        <v>1</v>
      </c>
      <c r="AR99" s="109" t="s">
        <v>74</v>
      </c>
    </row>
    <row r="100" spans="1:44" ht="30.6" customHeight="1" x14ac:dyDescent="0.45">
      <c r="A100" s="104" t="s">
        <v>1000</v>
      </c>
      <c r="B100" s="125" t="s">
        <v>1001</v>
      </c>
      <c r="C100" s="105">
        <v>2017</v>
      </c>
      <c r="D100" s="105" t="s">
        <v>179</v>
      </c>
      <c r="E100" s="105" t="s">
        <v>78</v>
      </c>
      <c r="F100" s="105" t="s">
        <v>561</v>
      </c>
      <c r="G100" s="105" t="s">
        <v>522</v>
      </c>
      <c r="H100" s="105" t="s">
        <v>228</v>
      </c>
      <c r="I100" s="106" t="s">
        <v>228</v>
      </c>
      <c r="J100" s="104" t="s">
        <v>689</v>
      </c>
      <c r="K100" s="104" t="s">
        <v>81</v>
      </c>
      <c r="L100" s="107" t="s">
        <v>126</v>
      </c>
      <c r="M100" s="107">
        <v>1000000</v>
      </c>
      <c r="N100" s="104">
        <v>743864.97362998663</v>
      </c>
      <c r="O100" s="104">
        <v>1000000</v>
      </c>
      <c r="P100" s="104">
        <v>723227.91</v>
      </c>
      <c r="Q100" s="104">
        <v>723227.91</v>
      </c>
      <c r="R100" s="104">
        <v>972256.97625030007</v>
      </c>
      <c r="S100" s="104">
        <v>723227.91</v>
      </c>
      <c r="T100" s="104">
        <v>723227.91</v>
      </c>
      <c r="U100" s="112">
        <v>972256.97625030007</v>
      </c>
      <c r="V100" s="107" t="s">
        <v>75</v>
      </c>
      <c r="W100" s="104" t="s">
        <v>1002</v>
      </c>
      <c r="X100" s="104" t="s">
        <v>75</v>
      </c>
      <c r="Y100" s="104" t="s">
        <v>1003</v>
      </c>
      <c r="Z100" s="104" t="s">
        <v>75</v>
      </c>
      <c r="AA100" s="104">
        <v>999</v>
      </c>
      <c r="AB100" s="108" t="s">
        <v>1004</v>
      </c>
      <c r="AC100" s="104">
        <v>0</v>
      </c>
      <c r="AD100" s="105" t="s">
        <v>78</v>
      </c>
      <c r="AE100" s="104">
        <v>0</v>
      </c>
      <c r="AF100" s="104" t="s">
        <v>78</v>
      </c>
      <c r="AG100" s="104">
        <v>1</v>
      </c>
      <c r="AH100" s="109" t="s">
        <v>75</v>
      </c>
      <c r="AI100" s="109" t="s">
        <v>1005</v>
      </c>
      <c r="AJ100" s="109" t="s">
        <v>75</v>
      </c>
      <c r="AK100" s="109" t="s">
        <v>795</v>
      </c>
      <c r="AL100" s="109" t="s">
        <v>704</v>
      </c>
      <c r="AM100" s="109" t="s">
        <v>81</v>
      </c>
      <c r="AN100" s="109" t="s">
        <v>81</v>
      </c>
      <c r="AO100" s="109" t="s">
        <v>78</v>
      </c>
      <c r="AP100" s="109" t="s">
        <v>75</v>
      </c>
      <c r="AQ100" s="109">
        <v>1</v>
      </c>
      <c r="AR100" s="109" t="s">
        <v>126</v>
      </c>
    </row>
    <row r="101" spans="1:44" ht="30.6" customHeight="1" x14ac:dyDescent="0.45">
      <c r="A101" s="104" t="s">
        <v>1006</v>
      </c>
      <c r="B101" s="125" t="s">
        <v>1007</v>
      </c>
      <c r="C101" s="105">
        <v>2017</v>
      </c>
      <c r="D101" s="105" t="s">
        <v>179</v>
      </c>
      <c r="E101" s="105" t="s">
        <v>78</v>
      </c>
      <c r="F101" s="105" t="s">
        <v>561</v>
      </c>
      <c r="G101" s="105" t="s">
        <v>522</v>
      </c>
      <c r="H101" s="105" t="s">
        <v>599</v>
      </c>
      <c r="I101" s="106" t="s">
        <v>101</v>
      </c>
      <c r="J101" s="104" t="s">
        <v>676</v>
      </c>
      <c r="K101" s="104" t="s">
        <v>81</v>
      </c>
      <c r="L101" s="107" t="s">
        <v>74</v>
      </c>
      <c r="M101" s="107">
        <v>10650000</v>
      </c>
      <c r="N101" s="104">
        <v>10650000</v>
      </c>
      <c r="O101" s="104">
        <v>14317114.5</v>
      </c>
      <c r="P101" s="104">
        <v>10650000</v>
      </c>
      <c r="Q101" s="104">
        <v>10650000</v>
      </c>
      <c r="R101" s="104">
        <v>14317114.5</v>
      </c>
      <c r="S101" s="104">
        <v>10650000</v>
      </c>
      <c r="T101" s="104">
        <v>10650000</v>
      </c>
      <c r="U101" s="112">
        <v>14317114.5</v>
      </c>
      <c r="V101" s="107" t="s">
        <v>81</v>
      </c>
      <c r="W101" s="104" t="s">
        <v>78</v>
      </c>
      <c r="X101" s="104" t="s">
        <v>81</v>
      </c>
      <c r="Y101" s="104" t="s">
        <v>78</v>
      </c>
      <c r="Z101" s="104" t="s">
        <v>81</v>
      </c>
      <c r="AA101" s="104">
        <v>0</v>
      </c>
      <c r="AB101" s="108" t="s">
        <v>78</v>
      </c>
      <c r="AC101" s="104">
        <v>0</v>
      </c>
      <c r="AD101" s="105" t="s">
        <v>78</v>
      </c>
      <c r="AE101" s="104">
        <v>0</v>
      </c>
      <c r="AF101" s="104" t="s">
        <v>78</v>
      </c>
      <c r="AG101" s="104">
        <v>0</v>
      </c>
      <c r="AH101" s="109" t="s">
        <v>81</v>
      </c>
      <c r="AI101" s="109" t="s">
        <v>78</v>
      </c>
      <c r="AJ101" s="109" t="s">
        <v>81</v>
      </c>
      <c r="AK101" s="109" t="s">
        <v>78</v>
      </c>
      <c r="AL101" s="109" t="s">
        <v>78</v>
      </c>
      <c r="AM101" s="109" t="s">
        <v>81</v>
      </c>
      <c r="AN101" s="109" t="s">
        <v>81</v>
      </c>
      <c r="AO101" s="109" t="s">
        <v>78</v>
      </c>
      <c r="AP101" s="109" t="s">
        <v>81</v>
      </c>
      <c r="AQ101" s="109">
        <v>1</v>
      </c>
      <c r="AR101" s="109" t="s">
        <v>74</v>
      </c>
    </row>
    <row r="102" spans="1:44" ht="30.6" customHeight="1" x14ac:dyDescent="0.45">
      <c r="A102" s="104" t="s">
        <v>1008</v>
      </c>
      <c r="B102" s="125" t="s">
        <v>1009</v>
      </c>
      <c r="C102" s="105">
        <v>2017</v>
      </c>
      <c r="D102" s="105" t="s">
        <v>297</v>
      </c>
      <c r="E102" s="105" t="s">
        <v>78</v>
      </c>
      <c r="F102" s="105" t="s">
        <v>566</v>
      </c>
      <c r="G102" s="105" t="s">
        <v>522</v>
      </c>
      <c r="H102" s="105" t="s">
        <v>599</v>
      </c>
      <c r="I102" s="106" t="s">
        <v>101</v>
      </c>
      <c r="J102" s="104" t="s">
        <v>676</v>
      </c>
      <c r="K102" s="104" t="s">
        <v>81</v>
      </c>
      <c r="L102" s="107" t="s">
        <v>74</v>
      </c>
      <c r="M102" s="107">
        <v>21750000</v>
      </c>
      <c r="N102" s="104">
        <v>21750000</v>
      </c>
      <c r="O102" s="104">
        <v>29239177.5</v>
      </c>
      <c r="P102" s="104">
        <v>19580000</v>
      </c>
      <c r="Q102" s="104">
        <v>19580000</v>
      </c>
      <c r="R102" s="104">
        <v>26321981.400000002</v>
      </c>
      <c r="S102" s="104">
        <v>19580000</v>
      </c>
      <c r="T102" s="104">
        <v>19580000</v>
      </c>
      <c r="U102" s="112">
        <v>26321981.400000002</v>
      </c>
      <c r="V102" s="107" t="s">
        <v>81</v>
      </c>
      <c r="W102" s="104" t="s">
        <v>78</v>
      </c>
      <c r="X102" s="104" t="s">
        <v>81</v>
      </c>
      <c r="Y102" s="104" t="s">
        <v>78</v>
      </c>
      <c r="Z102" s="104" t="s">
        <v>81</v>
      </c>
      <c r="AA102" s="104">
        <v>0</v>
      </c>
      <c r="AB102" s="108" t="s">
        <v>78</v>
      </c>
      <c r="AC102" s="104">
        <v>0</v>
      </c>
      <c r="AD102" s="105" t="s">
        <v>78</v>
      </c>
      <c r="AE102" s="104">
        <v>0</v>
      </c>
      <c r="AF102" s="104" t="s">
        <v>78</v>
      </c>
      <c r="AG102" s="104">
        <v>0</v>
      </c>
      <c r="AH102" s="109" t="s">
        <v>81</v>
      </c>
      <c r="AI102" s="109" t="s">
        <v>78</v>
      </c>
      <c r="AJ102" s="109" t="s">
        <v>81</v>
      </c>
      <c r="AK102" s="109" t="s">
        <v>78</v>
      </c>
      <c r="AL102" s="109" t="s">
        <v>78</v>
      </c>
      <c r="AM102" s="109" t="s">
        <v>81</v>
      </c>
      <c r="AN102" s="109" t="s">
        <v>81</v>
      </c>
      <c r="AO102" s="109" t="s">
        <v>78</v>
      </c>
      <c r="AP102" s="109" t="s">
        <v>81</v>
      </c>
      <c r="AQ102" s="109">
        <v>1</v>
      </c>
      <c r="AR102" s="109" t="s">
        <v>74</v>
      </c>
    </row>
    <row r="103" spans="1:44" ht="30.6" customHeight="1" x14ac:dyDescent="0.45">
      <c r="A103" s="104" t="s">
        <v>1010</v>
      </c>
      <c r="B103" s="125" t="s">
        <v>1011</v>
      </c>
      <c r="C103" s="105">
        <v>2017</v>
      </c>
      <c r="D103" s="105" t="s">
        <v>497</v>
      </c>
      <c r="E103" s="105" t="s">
        <v>78</v>
      </c>
      <c r="F103" s="105" t="s">
        <v>538</v>
      </c>
      <c r="G103" s="105" t="s">
        <v>520</v>
      </c>
      <c r="H103" s="105" t="s">
        <v>588</v>
      </c>
      <c r="I103" s="106" t="s">
        <v>256</v>
      </c>
      <c r="J103" s="104" t="s">
        <v>676</v>
      </c>
      <c r="K103" s="104" t="s">
        <v>81</v>
      </c>
      <c r="L103" s="107" t="s">
        <v>74</v>
      </c>
      <c r="M103" s="107">
        <v>80000000</v>
      </c>
      <c r="N103" s="104">
        <v>80000000</v>
      </c>
      <c r="O103" s="104">
        <v>107546400</v>
      </c>
      <c r="P103" s="104">
        <v>35950000</v>
      </c>
      <c r="Q103" s="104">
        <v>35950000</v>
      </c>
      <c r="R103" s="104">
        <v>48328663.5</v>
      </c>
      <c r="S103" s="104">
        <v>35950000</v>
      </c>
      <c r="T103" s="104">
        <v>35950000</v>
      </c>
      <c r="U103" s="112">
        <v>48328663.5</v>
      </c>
      <c r="V103" s="107" t="s">
        <v>75</v>
      </c>
      <c r="W103" s="104" t="s">
        <v>1012</v>
      </c>
      <c r="X103" s="104" t="s">
        <v>81</v>
      </c>
      <c r="Y103" s="104" t="s">
        <v>78</v>
      </c>
      <c r="Z103" s="104" t="s">
        <v>75</v>
      </c>
      <c r="AA103" s="104">
        <v>999</v>
      </c>
      <c r="AB103" s="108" t="s">
        <v>990</v>
      </c>
      <c r="AC103" s="104">
        <v>999</v>
      </c>
      <c r="AD103" s="105" t="s">
        <v>1013</v>
      </c>
      <c r="AE103" s="104">
        <v>0</v>
      </c>
      <c r="AF103" s="104" t="s">
        <v>78</v>
      </c>
      <c r="AG103" s="104">
        <v>2</v>
      </c>
      <c r="AH103" s="109" t="s">
        <v>75</v>
      </c>
      <c r="AI103" s="109" t="s">
        <v>1014</v>
      </c>
      <c r="AJ103" s="109" t="s">
        <v>75</v>
      </c>
      <c r="AK103" s="109" t="s">
        <v>256</v>
      </c>
      <c r="AL103" s="109" t="s">
        <v>704</v>
      </c>
      <c r="AM103" s="109" t="s">
        <v>81</v>
      </c>
      <c r="AN103" s="109" t="s">
        <v>81</v>
      </c>
      <c r="AO103" s="109" t="s">
        <v>78</v>
      </c>
      <c r="AP103" s="109" t="s">
        <v>81</v>
      </c>
      <c r="AQ103" s="109">
        <v>1</v>
      </c>
      <c r="AR103" s="109" t="s">
        <v>74</v>
      </c>
    </row>
    <row r="104" spans="1:44" ht="30.6" customHeight="1" x14ac:dyDescent="0.45">
      <c r="A104" s="104" t="s">
        <v>1015</v>
      </c>
      <c r="B104" s="125" t="s">
        <v>1016</v>
      </c>
      <c r="C104" s="105">
        <v>2017</v>
      </c>
      <c r="D104" s="105" t="s">
        <v>513</v>
      </c>
      <c r="E104" s="105" t="s">
        <v>78</v>
      </c>
      <c r="F104" s="105" t="s">
        <v>539</v>
      </c>
      <c r="G104" s="105" t="s">
        <v>520</v>
      </c>
      <c r="H104" s="105" t="s">
        <v>587</v>
      </c>
      <c r="I104" s="106" t="s">
        <v>256</v>
      </c>
      <c r="J104" s="104" t="s">
        <v>679</v>
      </c>
      <c r="K104" s="104" t="s">
        <v>75</v>
      </c>
      <c r="L104" s="107" t="s">
        <v>74</v>
      </c>
      <c r="M104" s="107">
        <v>398276.26</v>
      </c>
      <c r="N104" s="104">
        <v>398276.26</v>
      </c>
      <c r="O104" s="104">
        <v>535414.7246058</v>
      </c>
      <c r="P104" s="104">
        <v>410104.99</v>
      </c>
      <c r="Q104" s="104">
        <v>410104.99</v>
      </c>
      <c r="R104" s="104">
        <v>551316.44120670005</v>
      </c>
      <c r="S104" s="104">
        <v>0</v>
      </c>
      <c r="T104" s="104">
        <v>0</v>
      </c>
      <c r="U104" s="112">
        <v>0</v>
      </c>
      <c r="V104" s="107" t="s">
        <v>75</v>
      </c>
      <c r="W104" s="104" t="s">
        <v>1017</v>
      </c>
      <c r="X104" s="104" t="s">
        <v>81</v>
      </c>
      <c r="Y104" s="104" t="s">
        <v>78</v>
      </c>
      <c r="Z104" s="104" t="s">
        <v>81</v>
      </c>
      <c r="AA104" s="104">
        <v>0</v>
      </c>
      <c r="AB104" s="108" t="s">
        <v>78</v>
      </c>
      <c r="AC104" s="104">
        <v>0</v>
      </c>
      <c r="AD104" s="105" t="s">
        <v>78</v>
      </c>
      <c r="AE104" s="104">
        <v>0</v>
      </c>
      <c r="AF104" s="104" t="s">
        <v>78</v>
      </c>
      <c r="AG104" s="104">
        <v>0</v>
      </c>
      <c r="AH104" s="109" t="s">
        <v>75</v>
      </c>
      <c r="AI104" s="109">
        <v>0</v>
      </c>
      <c r="AJ104" s="109" t="s">
        <v>75</v>
      </c>
      <c r="AK104" s="109" t="s">
        <v>466</v>
      </c>
      <c r="AL104" s="109" t="s">
        <v>78</v>
      </c>
      <c r="AM104" s="109" t="s">
        <v>81</v>
      </c>
      <c r="AN104" s="109" t="s">
        <v>81</v>
      </c>
      <c r="AO104" s="109" t="s">
        <v>78</v>
      </c>
      <c r="AP104" s="109" t="s">
        <v>81</v>
      </c>
      <c r="AQ104" s="109">
        <v>1</v>
      </c>
      <c r="AR104" s="109" t="s">
        <v>74</v>
      </c>
    </row>
    <row r="105" spans="1:44" ht="30.6" customHeight="1" x14ac:dyDescent="0.45">
      <c r="A105" s="104" t="s">
        <v>1018</v>
      </c>
      <c r="B105" s="125" t="s">
        <v>1019</v>
      </c>
      <c r="C105" s="105">
        <v>2017</v>
      </c>
      <c r="D105" s="105" t="s">
        <v>377</v>
      </c>
      <c r="E105" s="105" t="s">
        <v>78</v>
      </c>
      <c r="F105" s="105" t="s">
        <v>544</v>
      </c>
      <c r="G105" s="105" t="s">
        <v>520</v>
      </c>
      <c r="H105" s="105" t="s">
        <v>596</v>
      </c>
      <c r="I105" s="106" t="s">
        <v>101</v>
      </c>
      <c r="J105" s="104" t="s">
        <v>676</v>
      </c>
      <c r="K105" s="104" t="s">
        <v>81</v>
      </c>
      <c r="L105" s="107" t="s">
        <v>74</v>
      </c>
      <c r="M105" s="107">
        <v>6263000</v>
      </c>
      <c r="N105" s="104">
        <v>6263000</v>
      </c>
      <c r="O105" s="104">
        <v>8419538.790000001</v>
      </c>
      <c r="P105" s="104">
        <v>6263000</v>
      </c>
      <c r="Q105" s="104">
        <v>6263000</v>
      </c>
      <c r="R105" s="104">
        <v>8419538.790000001</v>
      </c>
      <c r="S105" s="104">
        <v>6263000</v>
      </c>
      <c r="T105" s="104">
        <v>6263000</v>
      </c>
      <c r="U105" s="112">
        <v>8419538.790000001</v>
      </c>
      <c r="V105" s="107" t="s">
        <v>81</v>
      </c>
      <c r="W105" s="104" t="s">
        <v>78</v>
      </c>
      <c r="X105" s="104" t="s">
        <v>81</v>
      </c>
      <c r="Y105" s="104" t="s">
        <v>78</v>
      </c>
      <c r="Z105" s="104" t="s">
        <v>81</v>
      </c>
      <c r="AA105" s="104">
        <v>0</v>
      </c>
      <c r="AB105" s="108" t="s">
        <v>78</v>
      </c>
      <c r="AC105" s="104">
        <v>0</v>
      </c>
      <c r="AD105" s="105" t="s">
        <v>78</v>
      </c>
      <c r="AE105" s="104">
        <v>0</v>
      </c>
      <c r="AF105" s="104" t="s">
        <v>78</v>
      </c>
      <c r="AG105" s="104">
        <v>0</v>
      </c>
      <c r="AH105" s="109" t="s">
        <v>81</v>
      </c>
      <c r="AI105" s="109" t="s">
        <v>78</v>
      </c>
      <c r="AJ105" s="109" t="s">
        <v>81</v>
      </c>
      <c r="AK105" s="109" t="s">
        <v>78</v>
      </c>
      <c r="AL105" s="109" t="s">
        <v>78</v>
      </c>
      <c r="AM105" s="109" t="s">
        <v>81</v>
      </c>
      <c r="AN105" s="109" t="s">
        <v>81</v>
      </c>
      <c r="AO105" s="109" t="s">
        <v>78</v>
      </c>
      <c r="AP105" s="109" t="s">
        <v>81</v>
      </c>
      <c r="AQ105" s="109">
        <v>1</v>
      </c>
      <c r="AR105" s="109" t="s">
        <v>74</v>
      </c>
    </row>
    <row r="106" spans="1:44" ht="30.6" customHeight="1" x14ac:dyDescent="0.45">
      <c r="A106" s="104" t="s">
        <v>1020</v>
      </c>
      <c r="B106" s="125" t="s">
        <v>1021</v>
      </c>
      <c r="C106" s="105">
        <v>2017</v>
      </c>
      <c r="D106" s="105" t="s">
        <v>496</v>
      </c>
      <c r="E106" s="105" t="s">
        <v>78</v>
      </c>
      <c r="F106" s="105" t="s">
        <v>535</v>
      </c>
      <c r="G106" s="105" t="s">
        <v>522</v>
      </c>
      <c r="H106" s="105" t="s">
        <v>585</v>
      </c>
      <c r="I106" s="106" t="s">
        <v>228</v>
      </c>
      <c r="J106" s="104" t="s">
        <v>676</v>
      </c>
      <c r="K106" s="104" t="s">
        <v>81</v>
      </c>
      <c r="L106" s="107" t="s">
        <v>74</v>
      </c>
      <c r="M106" s="107">
        <v>5310000</v>
      </c>
      <c r="N106" s="104">
        <v>5310000</v>
      </c>
      <c r="O106" s="104">
        <v>7138392.2999999998</v>
      </c>
      <c r="P106" s="104">
        <v>5310000</v>
      </c>
      <c r="Q106" s="104">
        <v>5310000</v>
      </c>
      <c r="R106" s="104">
        <v>7138392.2999999998</v>
      </c>
      <c r="S106" s="104">
        <v>5310000</v>
      </c>
      <c r="T106" s="104">
        <v>5310000</v>
      </c>
      <c r="U106" s="112">
        <v>7138392.2999999998</v>
      </c>
      <c r="V106" s="107" t="s">
        <v>75</v>
      </c>
      <c r="W106" s="104" t="s">
        <v>1022</v>
      </c>
      <c r="X106" s="104" t="s">
        <v>75</v>
      </c>
      <c r="Y106" s="104" t="s">
        <v>1023</v>
      </c>
      <c r="Z106" s="104" t="s">
        <v>75</v>
      </c>
      <c r="AA106" s="104">
        <v>0</v>
      </c>
      <c r="AB106" s="108" t="s">
        <v>78</v>
      </c>
      <c r="AC106" s="104">
        <v>999</v>
      </c>
      <c r="AD106" s="105" t="s">
        <v>1024</v>
      </c>
      <c r="AE106" s="110">
        <v>0</v>
      </c>
      <c r="AF106" s="104" t="s">
        <v>78</v>
      </c>
      <c r="AG106" s="104">
        <v>1</v>
      </c>
      <c r="AH106" s="109" t="s">
        <v>75</v>
      </c>
      <c r="AI106" s="109" t="s">
        <v>1025</v>
      </c>
      <c r="AJ106" s="109" t="s">
        <v>75</v>
      </c>
      <c r="AK106" s="109" t="s">
        <v>228</v>
      </c>
      <c r="AL106" s="109" t="s">
        <v>704</v>
      </c>
      <c r="AM106" s="109" t="s">
        <v>81</v>
      </c>
      <c r="AN106" s="109" t="s">
        <v>81</v>
      </c>
      <c r="AO106" s="109" t="s">
        <v>78</v>
      </c>
      <c r="AP106" s="109" t="s">
        <v>75</v>
      </c>
      <c r="AQ106" s="109">
        <v>1</v>
      </c>
      <c r="AR106" s="109" t="s">
        <v>74</v>
      </c>
    </row>
    <row r="107" spans="1:44" ht="30.6" customHeight="1" x14ac:dyDescent="0.45">
      <c r="A107" s="104" t="s">
        <v>1026</v>
      </c>
      <c r="B107" s="125" t="s">
        <v>1027</v>
      </c>
      <c r="C107" s="105">
        <v>2017</v>
      </c>
      <c r="D107" s="105" t="s">
        <v>184</v>
      </c>
      <c r="E107" s="105" t="s">
        <v>78</v>
      </c>
      <c r="F107" s="105" t="s">
        <v>554</v>
      </c>
      <c r="G107" s="105" t="s">
        <v>520</v>
      </c>
      <c r="H107" s="105" t="s">
        <v>599</v>
      </c>
      <c r="I107" s="106" t="s">
        <v>101</v>
      </c>
      <c r="J107" s="104" t="s">
        <v>689</v>
      </c>
      <c r="K107" s="104" t="s">
        <v>81</v>
      </c>
      <c r="L107" s="107" t="s">
        <v>74</v>
      </c>
      <c r="M107" s="107">
        <v>795789.48</v>
      </c>
      <c r="N107" s="104">
        <v>795789.48</v>
      </c>
      <c r="O107" s="104">
        <v>1069803.6716483999</v>
      </c>
      <c r="P107" s="104">
        <v>795789</v>
      </c>
      <c r="Q107" s="104">
        <v>795789</v>
      </c>
      <c r="R107" s="104">
        <v>1069803.0263700001</v>
      </c>
      <c r="S107" s="104">
        <v>795789</v>
      </c>
      <c r="T107" s="104">
        <v>795789</v>
      </c>
      <c r="U107" s="112">
        <v>1069803.0263700001</v>
      </c>
      <c r="V107" s="107" t="s">
        <v>81</v>
      </c>
      <c r="W107" s="104" t="s">
        <v>78</v>
      </c>
      <c r="X107" s="104" t="s">
        <v>81</v>
      </c>
      <c r="Y107" s="104" t="s">
        <v>78</v>
      </c>
      <c r="Z107" s="104" t="s">
        <v>81</v>
      </c>
      <c r="AA107" s="104">
        <v>0</v>
      </c>
      <c r="AB107" s="108" t="s">
        <v>78</v>
      </c>
      <c r="AC107" s="104">
        <v>0</v>
      </c>
      <c r="AD107" s="105" t="s">
        <v>78</v>
      </c>
      <c r="AE107" s="110">
        <v>0</v>
      </c>
      <c r="AF107" s="104" t="s">
        <v>78</v>
      </c>
      <c r="AG107" s="104">
        <v>0</v>
      </c>
      <c r="AH107" s="109" t="s">
        <v>81</v>
      </c>
      <c r="AI107" s="109" t="s">
        <v>78</v>
      </c>
      <c r="AJ107" s="109" t="s">
        <v>81</v>
      </c>
      <c r="AK107" s="109" t="s">
        <v>78</v>
      </c>
      <c r="AL107" s="109" t="s">
        <v>78</v>
      </c>
      <c r="AM107" s="109" t="s">
        <v>81</v>
      </c>
      <c r="AN107" s="109" t="s">
        <v>81</v>
      </c>
      <c r="AO107" s="109" t="s">
        <v>78</v>
      </c>
      <c r="AP107" s="109" t="s">
        <v>81</v>
      </c>
      <c r="AQ107" s="109">
        <v>1</v>
      </c>
      <c r="AR107" s="109" t="s">
        <v>74</v>
      </c>
    </row>
    <row r="108" spans="1:44" ht="30.6" customHeight="1" x14ac:dyDescent="0.45">
      <c r="A108" s="104" t="s">
        <v>1028</v>
      </c>
      <c r="B108" s="125" t="s">
        <v>1029</v>
      </c>
      <c r="C108" s="105">
        <v>2017</v>
      </c>
      <c r="D108" s="105" t="s">
        <v>70</v>
      </c>
      <c r="E108" s="105" t="s">
        <v>78</v>
      </c>
      <c r="F108" s="105" t="s">
        <v>570</v>
      </c>
      <c r="G108" s="105" t="s">
        <v>519</v>
      </c>
      <c r="H108" s="105" t="s">
        <v>599</v>
      </c>
      <c r="I108" s="106" t="s">
        <v>101</v>
      </c>
      <c r="J108" s="104" t="s">
        <v>676</v>
      </c>
      <c r="K108" s="104" t="s">
        <v>81</v>
      </c>
      <c r="L108" s="107" t="s">
        <v>74</v>
      </c>
      <c r="M108" s="107">
        <v>3000000</v>
      </c>
      <c r="N108" s="104">
        <v>3000000</v>
      </c>
      <c r="O108" s="104">
        <v>4032990</v>
      </c>
      <c r="P108" s="104">
        <v>3000000</v>
      </c>
      <c r="Q108" s="104">
        <v>3000000</v>
      </c>
      <c r="R108" s="104">
        <v>4032990</v>
      </c>
      <c r="S108" s="104">
        <v>3000000</v>
      </c>
      <c r="T108" s="104">
        <v>3000000</v>
      </c>
      <c r="U108" s="112">
        <v>4032990</v>
      </c>
      <c r="V108" s="107" t="s">
        <v>81</v>
      </c>
      <c r="W108" s="104" t="s">
        <v>78</v>
      </c>
      <c r="X108" s="104" t="s">
        <v>81</v>
      </c>
      <c r="Y108" s="104" t="s">
        <v>78</v>
      </c>
      <c r="Z108" s="104" t="s">
        <v>81</v>
      </c>
      <c r="AA108" s="104">
        <v>0</v>
      </c>
      <c r="AB108" s="108" t="s">
        <v>78</v>
      </c>
      <c r="AC108" s="104">
        <v>0</v>
      </c>
      <c r="AD108" s="105" t="s">
        <v>78</v>
      </c>
      <c r="AE108" s="110">
        <v>0</v>
      </c>
      <c r="AF108" s="104" t="s">
        <v>78</v>
      </c>
      <c r="AG108" s="104">
        <v>0</v>
      </c>
      <c r="AH108" s="109" t="s">
        <v>81</v>
      </c>
      <c r="AI108" s="109" t="s">
        <v>78</v>
      </c>
      <c r="AJ108" s="109" t="s">
        <v>81</v>
      </c>
      <c r="AK108" s="109" t="s">
        <v>78</v>
      </c>
      <c r="AL108" s="109" t="s">
        <v>78</v>
      </c>
      <c r="AM108" s="109" t="s">
        <v>81</v>
      </c>
      <c r="AN108" s="109" t="s">
        <v>81</v>
      </c>
      <c r="AO108" s="109" t="s">
        <v>78</v>
      </c>
      <c r="AP108" s="109" t="s">
        <v>81</v>
      </c>
      <c r="AQ108" s="109">
        <v>1</v>
      </c>
      <c r="AR108" s="109" t="s">
        <v>74</v>
      </c>
    </row>
    <row r="109" spans="1:44" ht="30.6" customHeight="1" x14ac:dyDescent="0.45">
      <c r="A109" s="104" t="s">
        <v>1030</v>
      </c>
      <c r="B109" s="125" t="s">
        <v>1031</v>
      </c>
      <c r="C109" s="105">
        <v>2017</v>
      </c>
      <c r="D109" s="105" t="s">
        <v>87</v>
      </c>
      <c r="E109" s="105" t="s">
        <v>1032</v>
      </c>
      <c r="F109" s="105" t="s">
        <v>87</v>
      </c>
      <c r="G109" s="105" t="s">
        <v>87</v>
      </c>
      <c r="H109" s="105" t="s">
        <v>585</v>
      </c>
      <c r="I109" s="106" t="s">
        <v>228</v>
      </c>
      <c r="J109" s="104" t="s">
        <v>689</v>
      </c>
      <c r="K109" s="104" t="s">
        <v>81</v>
      </c>
      <c r="L109" s="107" t="s">
        <v>126</v>
      </c>
      <c r="M109" s="107">
        <v>20000000</v>
      </c>
      <c r="N109" s="104">
        <v>14877299.472599734</v>
      </c>
      <c r="O109" s="104">
        <v>20000000</v>
      </c>
      <c r="P109" s="104">
        <v>14464558.220000001</v>
      </c>
      <c r="Q109" s="104">
        <v>14464558.220000001</v>
      </c>
      <c r="R109" s="104">
        <v>19445139.551892601</v>
      </c>
      <c r="S109" s="104">
        <v>14464558.220000001</v>
      </c>
      <c r="T109" s="104">
        <v>14464558.220000001</v>
      </c>
      <c r="U109" s="112">
        <v>19445139.551892601</v>
      </c>
      <c r="V109" s="107" t="s">
        <v>81</v>
      </c>
      <c r="W109" s="104" t="s">
        <v>78</v>
      </c>
      <c r="X109" s="104" t="s">
        <v>81</v>
      </c>
      <c r="Y109" s="104" t="s">
        <v>78</v>
      </c>
      <c r="Z109" s="104" t="s">
        <v>81</v>
      </c>
      <c r="AA109" s="104">
        <v>0</v>
      </c>
      <c r="AB109" s="108" t="s">
        <v>78</v>
      </c>
      <c r="AC109" s="104">
        <v>0</v>
      </c>
      <c r="AD109" s="105" t="s">
        <v>78</v>
      </c>
      <c r="AE109" s="104">
        <v>0</v>
      </c>
      <c r="AF109" s="104" t="s">
        <v>78</v>
      </c>
      <c r="AG109" s="104">
        <v>0</v>
      </c>
      <c r="AH109" s="109" t="s">
        <v>81</v>
      </c>
      <c r="AI109" s="109" t="s">
        <v>78</v>
      </c>
      <c r="AJ109" s="109" t="s">
        <v>81</v>
      </c>
      <c r="AK109" s="109" t="s">
        <v>78</v>
      </c>
      <c r="AL109" s="109" t="s">
        <v>78</v>
      </c>
      <c r="AM109" s="109" t="s">
        <v>81</v>
      </c>
      <c r="AN109" s="109" t="s">
        <v>81</v>
      </c>
      <c r="AO109" s="109" t="s">
        <v>78</v>
      </c>
      <c r="AP109" s="109" t="s">
        <v>81</v>
      </c>
      <c r="AQ109" s="109">
        <v>1</v>
      </c>
      <c r="AR109" s="109" t="s">
        <v>126</v>
      </c>
    </row>
    <row r="110" spans="1:44" ht="30.6" customHeight="1" x14ac:dyDescent="0.45">
      <c r="A110" s="104" t="s">
        <v>1033</v>
      </c>
      <c r="B110" s="125" t="s">
        <v>1034</v>
      </c>
      <c r="C110" s="105">
        <v>2017</v>
      </c>
      <c r="D110" s="105" t="s">
        <v>297</v>
      </c>
      <c r="E110" s="105" t="s">
        <v>78</v>
      </c>
      <c r="F110" s="105" t="s">
        <v>566</v>
      </c>
      <c r="G110" s="105" t="s">
        <v>522</v>
      </c>
      <c r="H110" s="105" t="s">
        <v>596</v>
      </c>
      <c r="I110" s="106" t="s">
        <v>101</v>
      </c>
      <c r="J110" s="104" t="s">
        <v>689</v>
      </c>
      <c r="K110" s="104" t="s">
        <v>81</v>
      </c>
      <c r="L110" s="107" t="s">
        <v>74</v>
      </c>
      <c r="M110" s="107">
        <v>740000</v>
      </c>
      <c r="N110" s="104">
        <v>740000</v>
      </c>
      <c r="O110" s="104">
        <v>994804.20000000007</v>
      </c>
      <c r="P110" s="104">
        <v>723227.91</v>
      </c>
      <c r="Q110" s="104">
        <v>723227.91</v>
      </c>
      <c r="R110" s="104">
        <v>972256.97625030007</v>
      </c>
      <c r="S110" s="104">
        <v>723227.91</v>
      </c>
      <c r="T110" s="104">
        <v>723227.91</v>
      </c>
      <c r="U110" s="112">
        <v>972256.97625030007</v>
      </c>
      <c r="V110" s="107" t="s">
        <v>81</v>
      </c>
      <c r="W110" s="104" t="s">
        <v>78</v>
      </c>
      <c r="X110" s="104" t="s">
        <v>81</v>
      </c>
      <c r="Y110" s="104" t="s">
        <v>78</v>
      </c>
      <c r="Z110" s="104" t="s">
        <v>81</v>
      </c>
      <c r="AA110" s="104">
        <v>0</v>
      </c>
      <c r="AB110" s="108" t="s">
        <v>78</v>
      </c>
      <c r="AC110" s="104">
        <v>0</v>
      </c>
      <c r="AD110" s="105" t="s">
        <v>78</v>
      </c>
      <c r="AE110" s="104">
        <v>0</v>
      </c>
      <c r="AF110" s="104" t="s">
        <v>78</v>
      </c>
      <c r="AG110" s="104">
        <v>0</v>
      </c>
      <c r="AH110" s="109" t="s">
        <v>81</v>
      </c>
      <c r="AI110" s="109" t="s">
        <v>78</v>
      </c>
      <c r="AJ110" s="109" t="s">
        <v>81</v>
      </c>
      <c r="AK110" s="109" t="s">
        <v>78</v>
      </c>
      <c r="AL110" s="109" t="s">
        <v>78</v>
      </c>
      <c r="AM110" s="109" t="s">
        <v>81</v>
      </c>
      <c r="AN110" s="109" t="s">
        <v>81</v>
      </c>
      <c r="AO110" s="109" t="s">
        <v>78</v>
      </c>
      <c r="AP110" s="109" t="s">
        <v>81</v>
      </c>
      <c r="AQ110" s="109">
        <v>1</v>
      </c>
      <c r="AR110" s="109" t="s">
        <v>74</v>
      </c>
    </row>
    <row r="111" spans="1:44" ht="30.6" customHeight="1" x14ac:dyDescent="0.45">
      <c r="A111" s="104" t="s">
        <v>1035</v>
      </c>
      <c r="B111" s="125" t="s">
        <v>1036</v>
      </c>
      <c r="C111" s="105">
        <v>2017</v>
      </c>
      <c r="D111" s="105" t="s">
        <v>87</v>
      </c>
      <c r="E111" s="105" t="s">
        <v>1037</v>
      </c>
      <c r="F111" s="105" t="s">
        <v>87</v>
      </c>
      <c r="G111" s="105" t="s">
        <v>87</v>
      </c>
      <c r="H111" s="105" t="s">
        <v>584</v>
      </c>
      <c r="I111" s="106" t="s">
        <v>228</v>
      </c>
      <c r="J111" s="104" t="s">
        <v>689</v>
      </c>
      <c r="K111" s="104" t="s">
        <v>81</v>
      </c>
      <c r="L111" s="107" t="s">
        <v>126</v>
      </c>
      <c r="M111" s="107">
        <v>250000000</v>
      </c>
      <c r="N111" s="104">
        <v>185966243.40749666</v>
      </c>
      <c r="O111" s="104">
        <v>250000000</v>
      </c>
      <c r="P111" s="104">
        <v>77385386.459999993</v>
      </c>
      <c r="Q111" s="104">
        <v>77385386.459999993</v>
      </c>
      <c r="R111" s="104">
        <v>104031496.57977179</v>
      </c>
      <c r="S111" s="104">
        <v>77385386.459999993</v>
      </c>
      <c r="T111" s="104">
        <v>77385386.459999993</v>
      </c>
      <c r="U111" s="112">
        <v>104031496.57977179</v>
      </c>
      <c r="V111" s="107" t="s">
        <v>81</v>
      </c>
      <c r="W111" s="104" t="s">
        <v>78</v>
      </c>
      <c r="X111" s="104" t="s">
        <v>81</v>
      </c>
      <c r="Y111" s="104" t="s">
        <v>78</v>
      </c>
      <c r="Z111" s="104" t="s">
        <v>81</v>
      </c>
      <c r="AA111" s="104">
        <v>0</v>
      </c>
      <c r="AB111" s="108" t="s">
        <v>78</v>
      </c>
      <c r="AC111" s="104">
        <v>0</v>
      </c>
      <c r="AD111" s="105" t="s">
        <v>78</v>
      </c>
      <c r="AE111" s="110">
        <v>0</v>
      </c>
      <c r="AF111" s="104" t="s">
        <v>78</v>
      </c>
      <c r="AG111" s="104">
        <v>0</v>
      </c>
      <c r="AH111" s="109" t="s">
        <v>81</v>
      </c>
      <c r="AI111" s="109" t="s">
        <v>78</v>
      </c>
      <c r="AJ111" s="109" t="s">
        <v>81</v>
      </c>
      <c r="AK111" s="109" t="s">
        <v>78</v>
      </c>
      <c r="AL111" s="109" t="s">
        <v>78</v>
      </c>
      <c r="AM111" s="109" t="s">
        <v>81</v>
      </c>
      <c r="AN111" s="109" t="s">
        <v>81</v>
      </c>
      <c r="AO111" s="109" t="s">
        <v>78</v>
      </c>
      <c r="AP111" s="109" t="s">
        <v>81</v>
      </c>
      <c r="AQ111" s="109">
        <v>1</v>
      </c>
      <c r="AR111" s="109" t="s">
        <v>126</v>
      </c>
    </row>
    <row r="112" spans="1:44" ht="30.6" customHeight="1" x14ac:dyDescent="0.45">
      <c r="A112" s="104" t="s">
        <v>1038</v>
      </c>
      <c r="B112" s="125" t="s">
        <v>1039</v>
      </c>
      <c r="C112" s="105">
        <v>2017</v>
      </c>
      <c r="D112" s="105" t="s">
        <v>151</v>
      </c>
      <c r="E112" s="105" t="s">
        <v>78</v>
      </c>
      <c r="F112" s="105" t="s">
        <v>546</v>
      </c>
      <c r="G112" s="105" t="s">
        <v>518</v>
      </c>
      <c r="H112" s="105" t="s">
        <v>596</v>
      </c>
      <c r="I112" s="106" t="s">
        <v>101</v>
      </c>
      <c r="J112" s="104" t="s">
        <v>676</v>
      </c>
      <c r="K112" s="104" t="s">
        <v>81</v>
      </c>
      <c r="L112" s="107" t="s">
        <v>126</v>
      </c>
      <c r="M112" s="107">
        <v>200000000</v>
      </c>
      <c r="N112" s="104">
        <v>148772994.72599733</v>
      </c>
      <c r="O112" s="104">
        <v>200000000</v>
      </c>
      <c r="P112" s="104">
        <v>144645582.19999999</v>
      </c>
      <c r="Q112" s="104">
        <v>144645582.19999999</v>
      </c>
      <c r="R112" s="104">
        <v>194451395.51892599</v>
      </c>
      <c r="S112" s="104">
        <v>144645582.19999999</v>
      </c>
      <c r="T112" s="104">
        <v>144645582.19999999</v>
      </c>
      <c r="U112" s="112">
        <v>194451395.51892599</v>
      </c>
      <c r="V112" s="107" t="s">
        <v>81</v>
      </c>
      <c r="W112" s="104" t="s">
        <v>78</v>
      </c>
      <c r="X112" s="104" t="s">
        <v>81</v>
      </c>
      <c r="Y112" s="104" t="s">
        <v>78</v>
      </c>
      <c r="Z112" s="104" t="s">
        <v>81</v>
      </c>
      <c r="AA112" s="104">
        <v>0</v>
      </c>
      <c r="AB112" s="108" t="s">
        <v>78</v>
      </c>
      <c r="AC112" s="104">
        <v>0</v>
      </c>
      <c r="AD112" s="105" t="s">
        <v>78</v>
      </c>
      <c r="AE112" s="104">
        <v>0</v>
      </c>
      <c r="AF112" s="104" t="s">
        <v>78</v>
      </c>
      <c r="AG112" s="104">
        <v>0</v>
      </c>
      <c r="AH112" s="109" t="s">
        <v>81</v>
      </c>
      <c r="AI112" s="109" t="s">
        <v>78</v>
      </c>
      <c r="AJ112" s="109" t="s">
        <v>81</v>
      </c>
      <c r="AK112" s="109" t="s">
        <v>78</v>
      </c>
      <c r="AL112" s="109" t="s">
        <v>78</v>
      </c>
      <c r="AM112" s="109" t="s">
        <v>81</v>
      </c>
      <c r="AN112" s="109" t="s">
        <v>81</v>
      </c>
      <c r="AO112" s="109" t="s">
        <v>78</v>
      </c>
      <c r="AP112" s="109" t="s">
        <v>81</v>
      </c>
      <c r="AQ112" s="109">
        <v>1</v>
      </c>
      <c r="AR112" s="109" t="s">
        <v>126</v>
      </c>
    </row>
    <row r="113" spans="1:44" ht="30.6" customHeight="1" x14ac:dyDescent="0.45">
      <c r="A113" s="104" t="s">
        <v>1040</v>
      </c>
      <c r="B113" s="125" t="s">
        <v>1041</v>
      </c>
      <c r="C113" s="105">
        <v>2017</v>
      </c>
      <c r="D113" s="105" t="s">
        <v>151</v>
      </c>
      <c r="E113" s="105" t="s">
        <v>78</v>
      </c>
      <c r="F113" s="105" t="s">
        <v>546</v>
      </c>
      <c r="G113" s="105" t="s">
        <v>518</v>
      </c>
      <c r="H113" s="105" t="s">
        <v>575</v>
      </c>
      <c r="I113" s="106" t="s">
        <v>72</v>
      </c>
      <c r="J113" s="104" t="s">
        <v>689</v>
      </c>
      <c r="K113" s="104" t="s">
        <v>81</v>
      </c>
      <c r="L113" s="107" t="s">
        <v>74</v>
      </c>
      <c r="M113" s="107">
        <v>95000000</v>
      </c>
      <c r="N113" s="104">
        <v>95000000</v>
      </c>
      <c r="O113" s="104">
        <v>127711350</v>
      </c>
      <c r="P113" s="104">
        <v>97382638.189999998</v>
      </c>
      <c r="Q113" s="104">
        <v>97382638.189999998</v>
      </c>
      <c r="R113" s="104">
        <v>130914401.9979627</v>
      </c>
      <c r="S113" s="104">
        <v>97382638.189999998</v>
      </c>
      <c r="T113" s="104">
        <v>97382638.189999998</v>
      </c>
      <c r="U113" s="112">
        <v>130914401.9979627</v>
      </c>
      <c r="V113" s="107" t="s">
        <v>81</v>
      </c>
      <c r="W113" s="104" t="s">
        <v>1042</v>
      </c>
      <c r="X113" s="104" t="s">
        <v>81</v>
      </c>
      <c r="Y113" s="104" t="s">
        <v>78</v>
      </c>
      <c r="Z113" s="104" t="s">
        <v>81</v>
      </c>
      <c r="AA113" s="104">
        <v>0</v>
      </c>
      <c r="AB113" s="108" t="s">
        <v>78</v>
      </c>
      <c r="AC113" s="104">
        <v>0</v>
      </c>
      <c r="AD113" s="105" t="s">
        <v>78</v>
      </c>
      <c r="AE113" s="104">
        <v>0</v>
      </c>
      <c r="AF113" s="104" t="s">
        <v>78</v>
      </c>
      <c r="AG113" s="104">
        <v>0</v>
      </c>
      <c r="AH113" s="109" t="s">
        <v>81</v>
      </c>
      <c r="AI113" s="109" t="s">
        <v>78</v>
      </c>
      <c r="AJ113" s="109" t="s">
        <v>81</v>
      </c>
      <c r="AK113" s="109" t="s">
        <v>78</v>
      </c>
      <c r="AL113" s="109" t="s">
        <v>78</v>
      </c>
      <c r="AM113" s="109" t="s">
        <v>81</v>
      </c>
      <c r="AN113" s="109" t="s">
        <v>81</v>
      </c>
      <c r="AO113" s="109" t="s">
        <v>78</v>
      </c>
      <c r="AP113" s="109" t="s">
        <v>81</v>
      </c>
      <c r="AQ113" s="109">
        <v>1</v>
      </c>
      <c r="AR113" s="109" t="s">
        <v>74</v>
      </c>
    </row>
    <row r="114" spans="1:44" ht="30.6" customHeight="1" x14ac:dyDescent="0.45">
      <c r="A114" s="104" t="s">
        <v>1043</v>
      </c>
      <c r="B114" s="125" t="s">
        <v>1044</v>
      </c>
      <c r="C114" s="105">
        <v>2017</v>
      </c>
      <c r="D114" s="105" t="s">
        <v>151</v>
      </c>
      <c r="E114" s="105" t="s">
        <v>78</v>
      </c>
      <c r="F114" s="105" t="s">
        <v>546</v>
      </c>
      <c r="G114" s="105" t="s">
        <v>518</v>
      </c>
      <c r="H114" s="105" t="s">
        <v>581</v>
      </c>
      <c r="I114" s="106" t="s">
        <v>228</v>
      </c>
      <c r="J114" s="104" t="s">
        <v>689</v>
      </c>
      <c r="K114" s="104" t="s">
        <v>81</v>
      </c>
      <c r="L114" s="107" t="s">
        <v>126</v>
      </c>
      <c r="M114" s="107">
        <v>96934000</v>
      </c>
      <c r="N114" s="104">
        <v>72105807.353849128</v>
      </c>
      <c r="O114" s="104">
        <v>96934000</v>
      </c>
      <c r="P114" s="104">
        <v>63685280.140000001</v>
      </c>
      <c r="Q114" s="104">
        <v>63685280.140000001</v>
      </c>
      <c r="R114" s="104">
        <v>85614032.6506062</v>
      </c>
      <c r="S114" s="104">
        <v>63685280.140000001</v>
      </c>
      <c r="T114" s="104">
        <v>63685280.140000001</v>
      </c>
      <c r="U114" s="112">
        <v>85614032.6506062</v>
      </c>
      <c r="V114" s="107" t="s">
        <v>81</v>
      </c>
      <c r="W114" s="104" t="s">
        <v>78</v>
      </c>
      <c r="X114" s="104" t="s">
        <v>81</v>
      </c>
      <c r="Y114" s="104" t="s">
        <v>78</v>
      </c>
      <c r="Z114" s="104" t="s">
        <v>81</v>
      </c>
      <c r="AA114" s="104">
        <v>0</v>
      </c>
      <c r="AB114" s="108" t="s">
        <v>78</v>
      </c>
      <c r="AC114" s="104">
        <v>0</v>
      </c>
      <c r="AD114" s="105" t="s">
        <v>78</v>
      </c>
      <c r="AE114" s="104">
        <v>0</v>
      </c>
      <c r="AF114" s="104" t="s">
        <v>78</v>
      </c>
      <c r="AG114" s="104">
        <v>0</v>
      </c>
      <c r="AH114" s="109" t="s">
        <v>81</v>
      </c>
      <c r="AI114" s="109" t="s">
        <v>78</v>
      </c>
      <c r="AJ114" s="109" t="s">
        <v>81</v>
      </c>
      <c r="AK114" s="109" t="s">
        <v>78</v>
      </c>
      <c r="AL114" s="109" t="s">
        <v>78</v>
      </c>
      <c r="AM114" s="109" t="s">
        <v>81</v>
      </c>
      <c r="AN114" s="109" t="s">
        <v>81</v>
      </c>
      <c r="AO114" s="109" t="s">
        <v>78</v>
      </c>
      <c r="AP114" s="109" t="s">
        <v>81</v>
      </c>
      <c r="AQ114" s="109">
        <v>1</v>
      </c>
      <c r="AR114" s="109" t="s">
        <v>126</v>
      </c>
    </row>
    <row r="115" spans="1:44" ht="30.6" customHeight="1" x14ac:dyDescent="0.45">
      <c r="A115" s="104" t="s">
        <v>1045</v>
      </c>
      <c r="B115" s="125" t="s">
        <v>1046</v>
      </c>
      <c r="C115" s="105">
        <v>2017</v>
      </c>
      <c r="D115" s="105" t="s">
        <v>113</v>
      </c>
      <c r="E115" s="105" t="s">
        <v>78</v>
      </c>
      <c r="F115" s="105" t="s">
        <v>565</v>
      </c>
      <c r="G115" s="105" t="s">
        <v>518</v>
      </c>
      <c r="H115" s="105" t="s">
        <v>573</v>
      </c>
      <c r="I115" s="106" t="s">
        <v>466</v>
      </c>
      <c r="J115" s="104" t="s">
        <v>689</v>
      </c>
      <c r="K115" s="104" t="s">
        <v>81</v>
      </c>
      <c r="L115" s="107" t="s">
        <v>104</v>
      </c>
      <c r="M115" s="107">
        <v>122000000</v>
      </c>
      <c r="N115" s="104">
        <v>95660764.972477928</v>
      </c>
      <c r="O115" s="104">
        <v>128599636.17545125</v>
      </c>
      <c r="P115" s="104">
        <v>100065616.8</v>
      </c>
      <c r="Q115" s="104">
        <v>100065616.8</v>
      </c>
      <c r="R115" s="104">
        <v>134521210.63274398</v>
      </c>
      <c r="S115" s="104">
        <v>100065616.8</v>
      </c>
      <c r="T115" s="104">
        <v>100065616.8</v>
      </c>
      <c r="U115" s="112">
        <v>134521210.63274398</v>
      </c>
      <c r="V115" s="107" t="s">
        <v>81</v>
      </c>
      <c r="W115" s="104" t="s">
        <v>78</v>
      </c>
      <c r="X115" s="104" t="s">
        <v>81</v>
      </c>
      <c r="Y115" s="104" t="s">
        <v>78</v>
      </c>
      <c r="Z115" s="104" t="s">
        <v>81</v>
      </c>
      <c r="AA115" s="104">
        <v>0</v>
      </c>
      <c r="AB115" s="108" t="s">
        <v>78</v>
      </c>
      <c r="AC115" s="104">
        <v>0</v>
      </c>
      <c r="AD115" s="105" t="s">
        <v>78</v>
      </c>
      <c r="AE115" s="104">
        <v>0</v>
      </c>
      <c r="AF115" s="104" t="s">
        <v>78</v>
      </c>
      <c r="AG115" s="104">
        <v>0</v>
      </c>
      <c r="AH115" s="109" t="s">
        <v>81</v>
      </c>
      <c r="AI115" s="109" t="s">
        <v>78</v>
      </c>
      <c r="AJ115" s="109" t="s">
        <v>81</v>
      </c>
      <c r="AK115" s="109" t="s">
        <v>78</v>
      </c>
      <c r="AL115" s="109" t="s">
        <v>78</v>
      </c>
      <c r="AM115" s="109" t="s">
        <v>81</v>
      </c>
      <c r="AN115" s="109" t="s">
        <v>81</v>
      </c>
      <c r="AO115" s="109" t="s">
        <v>78</v>
      </c>
      <c r="AP115" s="109" t="s">
        <v>81</v>
      </c>
      <c r="AQ115" s="109">
        <v>1</v>
      </c>
      <c r="AR115" s="109" t="s">
        <v>104</v>
      </c>
    </row>
    <row r="116" spans="1:44" ht="30.6" customHeight="1" x14ac:dyDescent="0.45">
      <c r="A116" s="104" t="s">
        <v>1047</v>
      </c>
      <c r="B116" s="125" t="s">
        <v>1048</v>
      </c>
      <c r="C116" s="105">
        <v>2017</v>
      </c>
      <c r="D116" s="105" t="s">
        <v>113</v>
      </c>
      <c r="E116" s="105" t="s">
        <v>78</v>
      </c>
      <c r="F116" s="105" t="s">
        <v>565</v>
      </c>
      <c r="G116" s="105" t="s">
        <v>518</v>
      </c>
      <c r="H116" s="105" t="s">
        <v>228</v>
      </c>
      <c r="I116" s="106" t="s">
        <v>228</v>
      </c>
      <c r="J116" s="104" t="s">
        <v>689</v>
      </c>
      <c r="K116" s="104" t="s">
        <v>81</v>
      </c>
      <c r="L116" s="107" t="s">
        <v>74</v>
      </c>
      <c r="M116" s="107">
        <v>48355326</v>
      </c>
      <c r="N116" s="104">
        <v>48355326</v>
      </c>
      <c r="O116" s="104">
        <v>65005515.401579998</v>
      </c>
      <c r="P116" s="104">
        <v>31681430.449999999</v>
      </c>
      <c r="Q116" s="104">
        <v>31681430.449999999</v>
      </c>
      <c r="R116" s="104">
        <v>42590297.3968485</v>
      </c>
      <c r="S116" s="104">
        <v>23127460.629999999</v>
      </c>
      <c r="T116" s="104">
        <v>23127460.629999999</v>
      </c>
      <c r="U116" s="112">
        <v>31090939.148727898</v>
      </c>
      <c r="V116" s="107" t="s">
        <v>81</v>
      </c>
      <c r="W116" s="104" t="s">
        <v>78</v>
      </c>
      <c r="X116" s="104" t="s">
        <v>81</v>
      </c>
      <c r="Y116" s="104" t="s">
        <v>78</v>
      </c>
      <c r="Z116" s="104" t="s">
        <v>81</v>
      </c>
      <c r="AA116" s="104">
        <v>0</v>
      </c>
      <c r="AB116" s="108" t="s">
        <v>78</v>
      </c>
      <c r="AC116" s="104">
        <v>0</v>
      </c>
      <c r="AD116" s="105" t="s">
        <v>78</v>
      </c>
      <c r="AE116" s="104">
        <v>0</v>
      </c>
      <c r="AF116" s="104" t="s">
        <v>78</v>
      </c>
      <c r="AG116" s="104">
        <v>0</v>
      </c>
      <c r="AH116" s="109" t="s">
        <v>81</v>
      </c>
      <c r="AI116" s="109" t="s">
        <v>78</v>
      </c>
      <c r="AJ116" s="109" t="s">
        <v>81</v>
      </c>
      <c r="AK116" s="109" t="s">
        <v>78</v>
      </c>
      <c r="AL116" s="109" t="s">
        <v>78</v>
      </c>
      <c r="AM116" s="109" t="s">
        <v>81</v>
      </c>
      <c r="AN116" s="109" t="s">
        <v>81</v>
      </c>
      <c r="AO116" s="109" t="s">
        <v>78</v>
      </c>
      <c r="AP116" s="109" t="s">
        <v>81</v>
      </c>
      <c r="AQ116" s="109">
        <v>1</v>
      </c>
      <c r="AR116" s="109" t="s">
        <v>74</v>
      </c>
    </row>
    <row r="117" spans="1:44" ht="30.6" customHeight="1" x14ac:dyDescent="0.45">
      <c r="A117" s="104" t="s">
        <v>1049</v>
      </c>
      <c r="B117" s="125" t="s">
        <v>1050</v>
      </c>
      <c r="C117" s="105">
        <v>2017</v>
      </c>
      <c r="D117" s="105" t="s">
        <v>113</v>
      </c>
      <c r="E117" s="105" t="s">
        <v>78</v>
      </c>
      <c r="F117" s="105" t="s">
        <v>565</v>
      </c>
      <c r="G117" s="105" t="s">
        <v>518</v>
      </c>
      <c r="H117" s="105" t="s">
        <v>590</v>
      </c>
      <c r="I117" s="106" t="s">
        <v>256</v>
      </c>
      <c r="J117" s="104" t="s">
        <v>676</v>
      </c>
      <c r="K117" s="104" t="s">
        <v>81</v>
      </c>
      <c r="L117" s="107" t="s">
        <v>104</v>
      </c>
      <c r="M117" s="107">
        <v>171000000</v>
      </c>
      <c r="N117" s="104">
        <v>134081891.8876535</v>
      </c>
      <c r="O117" s="104">
        <v>180250309.72132924</v>
      </c>
      <c r="P117" s="104">
        <v>62335958</v>
      </c>
      <c r="Q117" s="104">
        <v>62335958</v>
      </c>
      <c r="R117" s="104">
        <v>83800098.418139994</v>
      </c>
      <c r="S117" s="104">
        <v>61515748.030000001</v>
      </c>
      <c r="T117" s="104">
        <v>61515748.030000001</v>
      </c>
      <c r="U117" s="112">
        <v>82697465.549169898</v>
      </c>
      <c r="V117" s="107" t="s">
        <v>75</v>
      </c>
      <c r="W117" s="104" t="s">
        <v>1051</v>
      </c>
      <c r="X117" s="104" t="s">
        <v>81</v>
      </c>
      <c r="Y117" s="104" t="s">
        <v>78</v>
      </c>
      <c r="Z117" s="104" t="s">
        <v>75</v>
      </c>
      <c r="AA117" s="104">
        <v>0</v>
      </c>
      <c r="AB117" s="108" t="s">
        <v>78</v>
      </c>
      <c r="AC117" s="104">
        <v>999</v>
      </c>
      <c r="AD117" s="105" t="s">
        <v>1052</v>
      </c>
      <c r="AE117" s="104">
        <v>0</v>
      </c>
      <c r="AF117" s="104" t="s">
        <v>78</v>
      </c>
      <c r="AG117" s="104">
        <v>1</v>
      </c>
      <c r="AH117" s="109" t="s">
        <v>81</v>
      </c>
      <c r="AI117" s="109" t="s">
        <v>78</v>
      </c>
      <c r="AJ117" s="109" t="s">
        <v>75</v>
      </c>
      <c r="AK117" s="109" t="s">
        <v>256</v>
      </c>
      <c r="AL117" s="109" t="s">
        <v>78</v>
      </c>
      <c r="AM117" s="109" t="s">
        <v>81</v>
      </c>
      <c r="AN117" s="109" t="s">
        <v>81</v>
      </c>
      <c r="AO117" s="109" t="s">
        <v>78</v>
      </c>
      <c r="AP117" s="109" t="s">
        <v>81</v>
      </c>
      <c r="AQ117" s="109">
        <v>1</v>
      </c>
      <c r="AR117" s="109" t="s">
        <v>104</v>
      </c>
    </row>
    <row r="118" spans="1:44" ht="30.6" customHeight="1" x14ac:dyDescent="0.45">
      <c r="A118" s="104" t="s">
        <v>1053</v>
      </c>
      <c r="B118" s="125" t="s">
        <v>1054</v>
      </c>
      <c r="C118" s="105">
        <v>2017</v>
      </c>
      <c r="D118" s="105" t="s">
        <v>343</v>
      </c>
      <c r="E118" s="105" t="s">
        <v>78</v>
      </c>
      <c r="F118" s="105" t="s">
        <v>528</v>
      </c>
      <c r="G118" s="105" t="s">
        <v>521</v>
      </c>
      <c r="H118" s="105" t="s">
        <v>579</v>
      </c>
      <c r="I118" s="106" t="s">
        <v>115</v>
      </c>
      <c r="J118" s="104" t="s">
        <v>689</v>
      </c>
      <c r="K118" s="104" t="s">
        <v>81</v>
      </c>
      <c r="L118" s="107" t="s">
        <v>74</v>
      </c>
      <c r="M118" s="107">
        <v>6510000</v>
      </c>
      <c r="N118" s="104">
        <v>6510000</v>
      </c>
      <c r="O118" s="104">
        <v>8751588.3000000007</v>
      </c>
      <c r="P118" s="104">
        <v>6312992.1299999999</v>
      </c>
      <c r="Q118" s="104">
        <v>6312992.1299999999</v>
      </c>
      <c r="R118" s="104">
        <v>8486744.7101229001</v>
      </c>
      <c r="S118" s="104">
        <v>4000000</v>
      </c>
      <c r="T118" s="104">
        <v>4000000</v>
      </c>
      <c r="U118" s="112">
        <v>5377320</v>
      </c>
      <c r="V118" s="107" t="s">
        <v>75</v>
      </c>
      <c r="W118" s="104" t="s">
        <v>1055</v>
      </c>
      <c r="X118" s="104" t="s">
        <v>81</v>
      </c>
      <c r="Y118" s="104" t="s">
        <v>78</v>
      </c>
      <c r="Z118" s="104" t="s">
        <v>75</v>
      </c>
      <c r="AA118" s="104">
        <v>0</v>
      </c>
      <c r="AB118" s="108" t="s">
        <v>78</v>
      </c>
      <c r="AC118" s="104">
        <v>999</v>
      </c>
      <c r="AD118" s="105" t="s">
        <v>1056</v>
      </c>
      <c r="AE118" s="104">
        <v>0</v>
      </c>
      <c r="AF118" s="104" t="s">
        <v>78</v>
      </c>
      <c r="AG118" s="104">
        <v>2</v>
      </c>
      <c r="AH118" s="109" t="s">
        <v>81</v>
      </c>
      <c r="AI118" s="109" t="s">
        <v>78</v>
      </c>
      <c r="AJ118" s="109" t="s">
        <v>75</v>
      </c>
      <c r="AK118" s="109" t="s">
        <v>795</v>
      </c>
      <c r="AL118" s="109" t="s">
        <v>78</v>
      </c>
      <c r="AM118" s="109" t="s">
        <v>81</v>
      </c>
      <c r="AN118" s="109" t="s">
        <v>81</v>
      </c>
      <c r="AO118" s="109" t="s">
        <v>78</v>
      </c>
      <c r="AP118" s="109" t="s">
        <v>81</v>
      </c>
      <c r="AQ118" s="109">
        <v>1</v>
      </c>
      <c r="AR118" s="109" t="s">
        <v>74</v>
      </c>
    </row>
    <row r="119" spans="1:44" ht="30.6" customHeight="1" x14ac:dyDescent="0.45">
      <c r="A119" s="104" t="s">
        <v>1057</v>
      </c>
      <c r="B119" s="125" t="s">
        <v>1058</v>
      </c>
      <c r="C119" s="105">
        <v>2017</v>
      </c>
      <c r="D119" s="105" t="s">
        <v>172</v>
      </c>
      <c r="E119" s="105" t="s">
        <v>78</v>
      </c>
      <c r="F119" s="105" t="s">
        <v>537</v>
      </c>
      <c r="G119" s="105" t="s">
        <v>521</v>
      </c>
      <c r="H119" s="105" t="s">
        <v>228</v>
      </c>
      <c r="I119" s="106" t="s">
        <v>228</v>
      </c>
      <c r="J119" s="104" t="s">
        <v>689</v>
      </c>
      <c r="K119" s="104" t="s">
        <v>81</v>
      </c>
      <c r="L119" s="107" t="s">
        <v>104</v>
      </c>
      <c r="M119" s="107">
        <v>115984000</v>
      </c>
      <c r="N119" s="104">
        <v>90943591.512851477</v>
      </c>
      <c r="O119" s="104">
        <v>122258198.37847163</v>
      </c>
      <c r="P119" s="104">
        <v>80824311.019999996</v>
      </c>
      <c r="Q119" s="104">
        <v>80824311.019999996</v>
      </c>
      <c r="R119" s="104">
        <v>108654546.0335166</v>
      </c>
      <c r="S119" s="104">
        <v>80824311.019999996</v>
      </c>
      <c r="T119" s="104">
        <v>80824311.019999996</v>
      </c>
      <c r="U119" s="112">
        <v>108654546.0335166</v>
      </c>
      <c r="V119" s="107" t="s">
        <v>81</v>
      </c>
      <c r="W119" s="104" t="s">
        <v>1042</v>
      </c>
      <c r="X119" s="104" t="s">
        <v>81</v>
      </c>
      <c r="Y119" s="104" t="s">
        <v>78</v>
      </c>
      <c r="Z119" s="104" t="s">
        <v>81</v>
      </c>
      <c r="AA119" s="104">
        <v>0</v>
      </c>
      <c r="AB119" s="108" t="s">
        <v>78</v>
      </c>
      <c r="AC119" s="104">
        <v>0</v>
      </c>
      <c r="AD119" s="105" t="s">
        <v>78</v>
      </c>
      <c r="AE119" s="104">
        <v>0</v>
      </c>
      <c r="AF119" s="104" t="s">
        <v>78</v>
      </c>
      <c r="AG119" s="104">
        <v>0</v>
      </c>
      <c r="AH119" s="109" t="s">
        <v>81</v>
      </c>
      <c r="AI119" s="109" t="s">
        <v>78</v>
      </c>
      <c r="AJ119" s="109" t="s">
        <v>81</v>
      </c>
      <c r="AK119" s="109" t="s">
        <v>78</v>
      </c>
      <c r="AL119" s="109" t="s">
        <v>78</v>
      </c>
      <c r="AM119" s="109" t="s">
        <v>81</v>
      </c>
      <c r="AN119" s="109" t="s">
        <v>81</v>
      </c>
      <c r="AO119" s="109" t="s">
        <v>78</v>
      </c>
      <c r="AP119" s="109" t="s">
        <v>81</v>
      </c>
      <c r="AQ119" s="109">
        <v>1</v>
      </c>
      <c r="AR119" s="109" t="s">
        <v>104</v>
      </c>
    </row>
    <row r="120" spans="1:44" ht="30.6" customHeight="1" x14ac:dyDescent="0.45">
      <c r="A120" s="104" t="s">
        <v>1059</v>
      </c>
      <c r="B120" s="125" t="s">
        <v>1060</v>
      </c>
      <c r="C120" s="105">
        <v>2017</v>
      </c>
      <c r="D120" s="105" t="s">
        <v>172</v>
      </c>
      <c r="E120" s="105" t="s">
        <v>78</v>
      </c>
      <c r="F120" s="105" t="s">
        <v>537</v>
      </c>
      <c r="G120" s="105" t="s">
        <v>521</v>
      </c>
      <c r="H120" s="105" t="s">
        <v>228</v>
      </c>
      <c r="I120" s="106" t="s">
        <v>228</v>
      </c>
      <c r="J120" s="104" t="s">
        <v>689</v>
      </c>
      <c r="K120" s="104" t="s">
        <v>81</v>
      </c>
      <c r="L120" s="107" t="s">
        <v>74</v>
      </c>
      <c r="M120" s="107">
        <v>991095</v>
      </c>
      <c r="N120" s="104">
        <v>991095</v>
      </c>
      <c r="O120" s="104">
        <v>1332358.74135</v>
      </c>
      <c r="P120" s="104">
        <v>991095</v>
      </c>
      <c r="Q120" s="104">
        <v>991095</v>
      </c>
      <c r="R120" s="104">
        <v>1332358.74135</v>
      </c>
      <c r="S120" s="104">
        <v>991095</v>
      </c>
      <c r="T120" s="104">
        <v>991095</v>
      </c>
      <c r="U120" s="112">
        <v>1332358.74135</v>
      </c>
      <c r="V120" s="107" t="s">
        <v>81</v>
      </c>
      <c r="W120" s="104" t="s">
        <v>78</v>
      </c>
      <c r="X120" s="104" t="s">
        <v>81</v>
      </c>
      <c r="Y120" s="104" t="s">
        <v>78</v>
      </c>
      <c r="Z120" s="104" t="s">
        <v>81</v>
      </c>
      <c r="AA120" s="104">
        <v>0</v>
      </c>
      <c r="AB120" s="108" t="s">
        <v>78</v>
      </c>
      <c r="AC120" s="104">
        <v>0</v>
      </c>
      <c r="AD120" s="105" t="s">
        <v>78</v>
      </c>
      <c r="AE120" s="104">
        <v>0</v>
      </c>
      <c r="AF120" s="104" t="s">
        <v>78</v>
      </c>
      <c r="AG120" s="104">
        <v>0</v>
      </c>
      <c r="AH120" s="109" t="s">
        <v>81</v>
      </c>
      <c r="AI120" s="109" t="s">
        <v>78</v>
      </c>
      <c r="AJ120" s="109" t="s">
        <v>81</v>
      </c>
      <c r="AK120" s="109" t="s">
        <v>78</v>
      </c>
      <c r="AL120" s="109" t="s">
        <v>78</v>
      </c>
      <c r="AM120" s="109" t="s">
        <v>81</v>
      </c>
      <c r="AN120" s="109" t="s">
        <v>81</v>
      </c>
      <c r="AO120" s="109" t="s">
        <v>78</v>
      </c>
      <c r="AP120" s="109" t="s">
        <v>81</v>
      </c>
      <c r="AQ120" s="109">
        <v>1</v>
      </c>
      <c r="AR120" s="109" t="s">
        <v>74</v>
      </c>
    </row>
    <row r="121" spans="1:44" ht="30.6" customHeight="1" x14ac:dyDescent="0.45">
      <c r="A121" s="104" t="s">
        <v>1061</v>
      </c>
      <c r="B121" s="125" t="s">
        <v>1062</v>
      </c>
      <c r="C121" s="105">
        <v>2017</v>
      </c>
      <c r="D121" s="105" t="s">
        <v>172</v>
      </c>
      <c r="E121" s="105" t="s">
        <v>78</v>
      </c>
      <c r="F121" s="105" t="s">
        <v>537</v>
      </c>
      <c r="G121" s="105" t="s">
        <v>521</v>
      </c>
      <c r="H121" s="105" t="s">
        <v>572</v>
      </c>
      <c r="I121" s="106" t="s">
        <v>466</v>
      </c>
      <c r="J121" s="104" t="s">
        <v>689</v>
      </c>
      <c r="K121" s="104" t="s">
        <v>81</v>
      </c>
      <c r="L121" s="107" t="s">
        <v>104</v>
      </c>
      <c r="M121" s="107">
        <v>94040000</v>
      </c>
      <c r="N121" s="104">
        <v>73737199.491900206</v>
      </c>
      <c r="O121" s="104">
        <v>99127129.392946199</v>
      </c>
      <c r="P121" s="104">
        <v>69414370.079999998</v>
      </c>
      <c r="Q121" s="104">
        <v>69414370.079999998</v>
      </c>
      <c r="R121" s="104">
        <v>93315820.129646406</v>
      </c>
      <c r="S121" s="104">
        <v>69414370.079999998</v>
      </c>
      <c r="T121" s="104">
        <v>69414370.079999998</v>
      </c>
      <c r="U121" s="112">
        <v>93315820.129646406</v>
      </c>
      <c r="V121" s="107" t="s">
        <v>75</v>
      </c>
      <c r="W121" s="104" t="s">
        <v>1063</v>
      </c>
      <c r="X121" s="104" t="s">
        <v>81</v>
      </c>
      <c r="Y121" s="104" t="s">
        <v>78</v>
      </c>
      <c r="Z121" s="104" t="s">
        <v>81</v>
      </c>
      <c r="AA121" s="104">
        <v>0</v>
      </c>
      <c r="AB121" s="108" t="s">
        <v>78</v>
      </c>
      <c r="AC121" s="104">
        <v>0</v>
      </c>
      <c r="AD121" s="105" t="s">
        <v>78</v>
      </c>
      <c r="AE121" s="104">
        <v>0</v>
      </c>
      <c r="AF121" s="104" t="s">
        <v>78</v>
      </c>
      <c r="AG121" s="104">
        <v>0</v>
      </c>
      <c r="AH121" s="109" t="s">
        <v>81</v>
      </c>
      <c r="AI121" s="109" t="s">
        <v>78</v>
      </c>
      <c r="AJ121" s="109" t="s">
        <v>75</v>
      </c>
      <c r="AK121" s="109" t="s">
        <v>72</v>
      </c>
      <c r="AL121" s="109" t="s">
        <v>1064</v>
      </c>
      <c r="AM121" s="109" t="s">
        <v>75</v>
      </c>
      <c r="AN121" s="109" t="s">
        <v>81</v>
      </c>
      <c r="AO121" s="109" t="s">
        <v>78</v>
      </c>
      <c r="AP121" s="109" t="s">
        <v>81</v>
      </c>
      <c r="AQ121" s="109">
        <v>1</v>
      </c>
      <c r="AR121" s="109" t="s">
        <v>104</v>
      </c>
    </row>
    <row r="122" spans="1:44" ht="30.6" customHeight="1" x14ac:dyDescent="0.45">
      <c r="A122" s="104" t="s">
        <v>1065</v>
      </c>
      <c r="B122" s="125" t="s">
        <v>1066</v>
      </c>
      <c r="C122" s="105">
        <v>2017</v>
      </c>
      <c r="D122" s="105" t="s">
        <v>172</v>
      </c>
      <c r="E122" s="105" t="s">
        <v>78</v>
      </c>
      <c r="F122" s="105" t="s">
        <v>537</v>
      </c>
      <c r="G122" s="105" t="s">
        <v>521</v>
      </c>
      <c r="H122" s="105" t="s">
        <v>587</v>
      </c>
      <c r="I122" s="106" t="s">
        <v>256</v>
      </c>
      <c r="J122" s="104" t="s">
        <v>689</v>
      </c>
      <c r="K122" s="104" t="s">
        <v>81</v>
      </c>
      <c r="L122" s="107" t="s">
        <v>104</v>
      </c>
      <c r="M122" s="107">
        <v>117400000</v>
      </c>
      <c r="N122" s="104">
        <v>92053883.67023696</v>
      </c>
      <c r="O122" s="104">
        <v>123750797.43440965</v>
      </c>
      <c r="P122" s="104">
        <v>96292650.920000002</v>
      </c>
      <c r="Q122" s="104">
        <v>96292650.920000002</v>
      </c>
      <c r="R122" s="104">
        <v>129449099.41128361</v>
      </c>
      <c r="S122" s="104">
        <v>96292650.920000002</v>
      </c>
      <c r="T122" s="104">
        <v>96292650.920000002</v>
      </c>
      <c r="U122" s="112">
        <v>129449099.41128361</v>
      </c>
      <c r="V122" s="107" t="s">
        <v>75</v>
      </c>
      <c r="W122" s="104" t="s">
        <v>1067</v>
      </c>
      <c r="X122" s="104" t="s">
        <v>81</v>
      </c>
      <c r="Y122" s="104" t="s">
        <v>78</v>
      </c>
      <c r="Z122" s="104" t="s">
        <v>75</v>
      </c>
      <c r="AA122" s="104">
        <v>999</v>
      </c>
      <c r="AB122" s="108" t="s">
        <v>1068</v>
      </c>
      <c r="AC122" s="104">
        <v>999</v>
      </c>
      <c r="AD122" s="105" t="s">
        <v>1069</v>
      </c>
      <c r="AE122" s="104">
        <v>0</v>
      </c>
      <c r="AF122" s="104" t="s">
        <v>78</v>
      </c>
      <c r="AG122" s="104">
        <v>2</v>
      </c>
      <c r="AH122" s="109" t="s">
        <v>81</v>
      </c>
      <c r="AI122" s="109" t="s">
        <v>78</v>
      </c>
      <c r="AJ122" s="109" t="s">
        <v>81</v>
      </c>
      <c r="AK122" s="109" t="s">
        <v>78</v>
      </c>
      <c r="AL122" s="109" t="s">
        <v>78</v>
      </c>
      <c r="AM122" s="109" t="s">
        <v>81</v>
      </c>
      <c r="AN122" s="109" t="s">
        <v>81</v>
      </c>
      <c r="AO122" s="109" t="s">
        <v>78</v>
      </c>
      <c r="AP122" s="109" t="s">
        <v>81</v>
      </c>
      <c r="AQ122" s="109">
        <v>1</v>
      </c>
      <c r="AR122" s="109" t="s">
        <v>104</v>
      </c>
    </row>
    <row r="123" spans="1:44" ht="30.6" customHeight="1" x14ac:dyDescent="0.45">
      <c r="A123" s="104" t="s">
        <v>1070</v>
      </c>
      <c r="B123" s="125" t="s">
        <v>1071</v>
      </c>
      <c r="C123" s="105">
        <v>2017</v>
      </c>
      <c r="D123" s="105" t="s">
        <v>433</v>
      </c>
      <c r="E123" s="105" t="s">
        <v>78</v>
      </c>
      <c r="F123" s="105" t="s">
        <v>564</v>
      </c>
      <c r="G123" s="105" t="s">
        <v>520</v>
      </c>
      <c r="H123" s="105" t="s">
        <v>597</v>
      </c>
      <c r="I123" s="106" t="s">
        <v>101</v>
      </c>
      <c r="J123" s="104" t="s">
        <v>676</v>
      </c>
      <c r="K123" s="104" t="s">
        <v>81</v>
      </c>
      <c r="L123" s="107" t="s">
        <v>74</v>
      </c>
      <c r="M123" s="107">
        <v>9530000</v>
      </c>
      <c r="N123" s="104">
        <v>9530000</v>
      </c>
      <c r="O123" s="104">
        <v>12811464.9</v>
      </c>
      <c r="P123" s="104">
        <v>9530000</v>
      </c>
      <c r="Q123" s="104">
        <v>9530000</v>
      </c>
      <c r="R123" s="104">
        <v>12811464.9</v>
      </c>
      <c r="S123" s="104">
        <v>9530000</v>
      </c>
      <c r="T123" s="104">
        <v>9530000</v>
      </c>
      <c r="U123" s="112">
        <v>12811464.9</v>
      </c>
      <c r="V123" s="107" t="s">
        <v>81</v>
      </c>
      <c r="W123" s="104" t="s">
        <v>78</v>
      </c>
      <c r="X123" s="104" t="s">
        <v>81</v>
      </c>
      <c r="Y123" s="104" t="s">
        <v>78</v>
      </c>
      <c r="Z123" s="104" t="s">
        <v>81</v>
      </c>
      <c r="AA123" s="104">
        <v>0</v>
      </c>
      <c r="AB123" s="108" t="s">
        <v>78</v>
      </c>
      <c r="AC123" s="104">
        <v>0</v>
      </c>
      <c r="AD123" s="105" t="s">
        <v>78</v>
      </c>
      <c r="AE123" s="104">
        <v>0</v>
      </c>
      <c r="AF123" s="104" t="s">
        <v>78</v>
      </c>
      <c r="AG123" s="104">
        <v>0</v>
      </c>
      <c r="AH123" s="109" t="s">
        <v>81</v>
      </c>
      <c r="AI123" s="109" t="s">
        <v>78</v>
      </c>
      <c r="AJ123" s="109" t="s">
        <v>81</v>
      </c>
      <c r="AK123" s="109" t="s">
        <v>78</v>
      </c>
      <c r="AL123" s="109" t="s">
        <v>78</v>
      </c>
      <c r="AM123" s="109" t="s">
        <v>81</v>
      </c>
      <c r="AN123" s="109" t="s">
        <v>81</v>
      </c>
      <c r="AO123" s="109" t="s">
        <v>78</v>
      </c>
      <c r="AP123" s="109" t="s">
        <v>81</v>
      </c>
      <c r="AQ123" s="109">
        <v>1</v>
      </c>
      <c r="AR123" s="109" t="s">
        <v>74</v>
      </c>
    </row>
    <row r="124" spans="1:44" ht="30.6" customHeight="1" x14ac:dyDescent="0.45">
      <c r="A124" s="104" t="s">
        <v>1072</v>
      </c>
      <c r="B124" s="125" t="s">
        <v>1073</v>
      </c>
      <c r="C124" s="105">
        <v>2017</v>
      </c>
      <c r="D124" s="105" t="s">
        <v>500</v>
      </c>
      <c r="E124" s="105" t="s">
        <v>78</v>
      </c>
      <c r="F124" s="105" t="s">
        <v>547</v>
      </c>
      <c r="G124" s="105" t="s">
        <v>519</v>
      </c>
      <c r="H124" s="105" t="s">
        <v>597</v>
      </c>
      <c r="I124" s="106" t="s">
        <v>101</v>
      </c>
      <c r="J124" s="104" t="s">
        <v>676</v>
      </c>
      <c r="K124" s="104" t="s">
        <v>81</v>
      </c>
      <c r="L124" s="107" t="s">
        <v>74</v>
      </c>
      <c r="M124" s="107">
        <v>10000000</v>
      </c>
      <c r="N124" s="104">
        <v>10000000</v>
      </c>
      <c r="O124" s="104">
        <v>13443300</v>
      </c>
      <c r="P124" s="104">
        <v>10000000</v>
      </c>
      <c r="Q124" s="104">
        <v>10000000</v>
      </c>
      <c r="R124" s="104">
        <v>13443300</v>
      </c>
      <c r="S124" s="104">
        <v>10000000</v>
      </c>
      <c r="T124" s="104">
        <v>10000000</v>
      </c>
      <c r="U124" s="112">
        <v>13443300</v>
      </c>
      <c r="V124" s="107" t="s">
        <v>75</v>
      </c>
      <c r="W124" s="104" t="s">
        <v>1074</v>
      </c>
      <c r="X124" s="104" t="s">
        <v>81</v>
      </c>
      <c r="Y124" s="104" t="s">
        <v>78</v>
      </c>
      <c r="Z124" s="104" t="s">
        <v>81</v>
      </c>
      <c r="AA124" s="104">
        <v>0</v>
      </c>
      <c r="AB124" s="108" t="s">
        <v>78</v>
      </c>
      <c r="AC124" s="104">
        <v>0</v>
      </c>
      <c r="AD124" s="105" t="s">
        <v>78</v>
      </c>
      <c r="AE124" s="104">
        <v>0</v>
      </c>
      <c r="AF124" s="104" t="s">
        <v>78</v>
      </c>
      <c r="AG124" s="104">
        <v>0</v>
      </c>
      <c r="AH124" s="109" t="s">
        <v>81</v>
      </c>
      <c r="AI124" s="109" t="s">
        <v>78</v>
      </c>
      <c r="AJ124" s="109" t="s">
        <v>75</v>
      </c>
      <c r="AK124" s="109" t="s">
        <v>256</v>
      </c>
      <c r="AL124" s="109" t="s">
        <v>78</v>
      </c>
      <c r="AM124" s="109" t="s">
        <v>81</v>
      </c>
      <c r="AN124" s="109" t="s">
        <v>81</v>
      </c>
      <c r="AO124" s="109" t="s">
        <v>78</v>
      </c>
      <c r="AP124" s="109" t="s">
        <v>81</v>
      </c>
      <c r="AQ124" s="109">
        <v>1</v>
      </c>
      <c r="AR124" s="109" t="s">
        <v>74</v>
      </c>
    </row>
    <row r="125" spans="1:44" ht="30.6" customHeight="1" x14ac:dyDescent="0.45">
      <c r="A125" s="104" t="s">
        <v>1075</v>
      </c>
      <c r="B125" s="125" t="s">
        <v>1076</v>
      </c>
      <c r="C125" s="105">
        <v>2017</v>
      </c>
      <c r="D125" s="105" t="s">
        <v>502</v>
      </c>
      <c r="E125" s="105" t="s">
        <v>78</v>
      </c>
      <c r="F125" s="105" t="s">
        <v>548</v>
      </c>
      <c r="G125" s="105" t="s">
        <v>520</v>
      </c>
      <c r="H125" s="105" t="s">
        <v>590</v>
      </c>
      <c r="I125" s="106" t="s">
        <v>256</v>
      </c>
      <c r="J125" s="104" t="s">
        <v>676</v>
      </c>
      <c r="K125" s="104" t="s">
        <v>81</v>
      </c>
      <c r="L125" s="107" t="s">
        <v>74</v>
      </c>
      <c r="M125" s="107">
        <v>37879000</v>
      </c>
      <c r="N125" s="104">
        <v>37879000</v>
      </c>
      <c r="O125" s="104">
        <v>50921876.07</v>
      </c>
      <c r="P125" s="104">
        <v>30000000</v>
      </c>
      <c r="Q125" s="104">
        <v>30000000</v>
      </c>
      <c r="R125" s="104">
        <v>40329900</v>
      </c>
      <c r="S125" s="104">
        <v>30000000</v>
      </c>
      <c r="T125" s="104">
        <v>30000000</v>
      </c>
      <c r="U125" s="112">
        <v>40329900</v>
      </c>
      <c r="V125" s="107" t="s">
        <v>75</v>
      </c>
      <c r="W125" s="104" t="s">
        <v>1077</v>
      </c>
      <c r="X125" s="104" t="s">
        <v>81</v>
      </c>
      <c r="Y125" s="104" t="s">
        <v>78</v>
      </c>
      <c r="Z125" s="104" t="s">
        <v>75</v>
      </c>
      <c r="AA125" s="104">
        <v>999</v>
      </c>
      <c r="AB125" s="108" t="s">
        <v>1078</v>
      </c>
      <c r="AC125" s="104">
        <v>999</v>
      </c>
      <c r="AD125" s="105" t="s">
        <v>1079</v>
      </c>
      <c r="AE125" s="110">
        <v>0</v>
      </c>
      <c r="AF125" s="104" t="s">
        <v>78</v>
      </c>
      <c r="AG125" s="104">
        <v>2</v>
      </c>
      <c r="AH125" s="109" t="s">
        <v>81</v>
      </c>
      <c r="AI125" s="109" t="s">
        <v>78</v>
      </c>
      <c r="AJ125" s="109" t="s">
        <v>75</v>
      </c>
      <c r="AK125" s="109" t="s">
        <v>256</v>
      </c>
      <c r="AL125" s="109" t="s">
        <v>78</v>
      </c>
      <c r="AM125" s="109" t="s">
        <v>81</v>
      </c>
      <c r="AN125" s="109" t="s">
        <v>81</v>
      </c>
      <c r="AO125" s="109" t="s">
        <v>78</v>
      </c>
      <c r="AP125" s="109" t="s">
        <v>81</v>
      </c>
      <c r="AQ125" s="109">
        <v>1</v>
      </c>
      <c r="AR125" s="109" t="s">
        <v>74</v>
      </c>
    </row>
    <row r="126" spans="1:44" ht="30.6" customHeight="1" x14ac:dyDescent="0.45">
      <c r="A126" s="104" t="s">
        <v>1080</v>
      </c>
      <c r="B126" s="125" t="s">
        <v>1081</v>
      </c>
      <c r="C126" s="105">
        <v>2017</v>
      </c>
      <c r="D126" s="105" t="s">
        <v>502</v>
      </c>
      <c r="E126" s="105" t="s">
        <v>78</v>
      </c>
      <c r="F126" s="105" t="s">
        <v>548</v>
      </c>
      <c r="G126" s="105" t="s">
        <v>520</v>
      </c>
      <c r="H126" s="105" t="s">
        <v>597</v>
      </c>
      <c r="I126" s="106" t="s">
        <v>101</v>
      </c>
      <c r="J126" s="104" t="s">
        <v>676</v>
      </c>
      <c r="K126" s="104" t="s">
        <v>81</v>
      </c>
      <c r="L126" s="107" t="s">
        <v>74</v>
      </c>
      <c r="M126" s="107">
        <v>1642000</v>
      </c>
      <c r="N126" s="104">
        <v>1642000</v>
      </c>
      <c r="O126" s="104">
        <v>2207389.86</v>
      </c>
      <c r="P126" s="104">
        <v>1000000</v>
      </c>
      <c r="Q126" s="104">
        <v>1000000</v>
      </c>
      <c r="R126" s="104">
        <v>1344330</v>
      </c>
      <c r="S126" s="104">
        <v>1000000</v>
      </c>
      <c r="T126" s="104">
        <v>1000000</v>
      </c>
      <c r="U126" s="112">
        <v>1344330</v>
      </c>
      <c r="V126" s="107" t="s">
        <v>81</v>
      </c>
      <c r="W126" s="104" t="s">
        <v>78</v>
      </c>
      <c r="X126" s="104" t="s">
        <v>81</v>
      </c>
      <c r="Y126" s="104" t="s">
        <v>78</v>
      </c>
      <c r="Z126" s="104" t="s">
        <v>81</v>
      </c>
      <c r="AA126" s="104">
        <v>0</v>
      </c>
      <c r="AB126" s="108" t="s">
        <v>78</v>
      </c>
      <c r="AC126" s="104">
        <v>0</v>
      </c>
      <c r="AD126" s="105" t="s">
        <v>78</v>
      </c>
      <c r="AE126" s="110">
        <v>0</v>
      </c>
      <c r="AF126" s="104" t="s">
        <v>78</v>
      </c>
      <c r="AG126" s="104">
        <v>0</v>
      </c>
      <c r="AH126" s="109" t="s">
        <v>81</v>
      </c>
      <c r="AI126" s="109" t="s">
        <v>78</v>
      </c>
      <c r="AJ126" s="109" t="s">
        <v>81</v>
      </c>
      <c r="AK126" s="109" t="s">
        <v>78</v>
      </c>
      <c r="AL126" s="109" t="s">
        <v>78</v>
      </c>
      <c r="AM126" s="109" t="s">
        <v>81</v>
      </c>
      <c r="AN126" s="109" t="s">
        <v>81</v>
      </c>
      <c r="AO126" s="109" t="s">
        <v>78</v>
      </c>
      <c r="AP126" s="109" t="s">
        <v>81</v>
      </c>
      <c r="AQ126" s="109">
        <v>1</v>
      </c>
      <c r="AR126" s="109" t="s">
        <v>74</v>
      </c>
    </row>
    <row r="127" spans="1:44" ht="30.6" customHeight="1" x14ac:dyDescent="0.45">
      <c r="A127" s="104" t="s">
        <v>1082</v>
      </c>
      <c r="B127" s="125" t="s">
        <v>1083</v>
      </c>
      <c r="C127" s="105">
        <v>2017</v>
      </c>
      <c r="D127" s="105" t="s">
        <v>502</v>
      </c>
      <c r="E127" s="105" t="s">
        <v>78</v>
      </c>
      <c r="F127" s="105" t="s">
        <v>548</v>
      </c>
      <c r="G127" s="105" t="s">
        <v>520</v>
      </c>
      <c r="H127" s="105" t="s">
        <v>589</v>
      </c>
      <c r="I127" s="106" t="s">
        <v>256</v>
      </c>
      <c r="J127" s="104" t="s">
        <v>676</v>
      </c>
      <c r="K127" s="104" t="s">
        <v>75</v>
      </c>
      <c r="L127" s="107" t="s">
        <v>104</v>
      </c>
      <c r="M127" s="107">
        <v>2128644</v>
      </c>
      <c r="N127" s="104">
        <v>1669079.6179842239</v>
      </c>
      <c r="O127" s="104">
        <v>2243793.8028447316</v>
      </c>
      <c r="P127" s="104">
        <v>1636921.75</v>
      </c>
      <c r="Q127" s="104">
        <v>1636921.75</v>
      </c>
      <c r="R127" s="104">
        <v>2200563.0161775001</v>
      </c>
      <c r="S127" s="104">
        <v>0</v>
      </c>
      <c r="T127" s="104">
        <v>0</v>
      </c>
      <c r="U127" s="112">
        <v>0</v>
      </c>
      <c r="V127" s="107" t="s">
        <v>81</v>
      </c>
      <c r="W127" s="104" t="s">
        <v>78</v>
      </c>
      <c r="X127" s="104" t="s">
        <v>81</v>
      </c>
      <c r="Y127" s="104" t="s">
        <v>78</v>
      </c>
      <c r="Z127" s="104" t="s">
        <v>81</v>
      </c>
      <c r="AA127" s="104">
        <v>0</v>
      </c>
      <c r="AB127" s="108" t="s">
        <v>78</v>
      </c>
      <c r="AC127" s="104">
        <v>0</v>
      </c>
      <c r="AD127" s="105" t="s">
        <v>78</v>
      </c>
      <c r="AE127" s="110">
        <v>0</v>
      </c>
      <c r="AF127" s="104" t="s">
        <v>78</v>
      </c>
      <c r="AG127" s="104">
        <v>0</v>
      </c>
      <c r="AH127" s="109" t="s">
        <v>75</v>
      </c>
      <c r="AI127" s="109" t="s">
        <v>1084</v>
      </c>
      <c r="AJ127" s="109" t="s">
        <v>81</v>
      </c>
      <c r="AK127" s="109" t="s">
        <v>78</v>
      </c>
      <c r="AL127" s="109" t="s">
        <v>78</v>
      </c>
      <c r="AM127" s="109" t="s">
        <v>81</v>
      </c>
      <c r="AN127" s="109" t="s">
        <v>81</v>
      </c>
      <c r="AO127" s="109" t="s">
        <v>78</v>
      </c>
      <c r="AP127" s="109" t="s">
        <v>81</v>
      </c>
      <c r="AQ127" s="109">
        <v>1</v>
      </c>
      <c r="AR127" s="109" t="s">
        <v>104</v>
      </c>
    </row>
    <row r="128" spans="1:44" ht="30.6" customHeight="1" x14ac:dyDescent="0.45">
      <c r="A128" s="104" t="s">
        <v>1085</v>
      </c>
      <c r="B128" s="125" t="s">
        <v>1086</v>
      </c>
      <c r="C128" s="105">
        <v>2017</v>
      </c>
      <c r="D128" s="105" t="s">
        <v>87</v>
      </c>
      <c r="E128" s="105" t="s">
        <v>1087</v>
      </c>
      <c r="F128" s="105" t="s">
        <v>87</v>
      </c>
      <c r="G128" s="105" t="s">
        <v>87</v>
      </c>
      <c r="H128" s="105" t="s">
        <v>589</v>
      </c>
      <c r="I128" s="106" t="s">
        <v>256</v>
      </c>
      <c r="J128" s="104" t="s">
        <v>676</v>
      </c>
      <c r="K128" s="104" t="s">
        <v>75</v>
      </c>
      <c r="L128" s="107" t="s">
        <v>104</v>
      </c>
      <c r="M128" s="107">
        <v>1706070</v>
      </c>
      <c r="N128" s="104">
        <v>1337737.3876770118</v>
      </c>
      <c r="O128" s="104">
        <v>1798360.5023758372</v>
      </c>
      <c r="P128" s="104">
        <v>903213.58</v>
      </c>
      <c r="Q128" s="104">
        <v>903213.58</v>
      </c>
      <c r="R128" s="104">
        <v>1214217.1120014</v>
      </c>
      <c r="S128" s="104">
        <v>0</v>
      </c>
      <c r="T128" s="104">
        <v>0</v>
      </c>
      <c r="U128" s="112">
        <v>0</v>
      </c>
      <c r="V128" s="107" t="s">
        <v>81</v>
      </c>
      <c r="W128" s="104" t="s">
        <v>78</v>
      </c>
      <c r="X128" s="104" t="s">
        <v>81</v>
      </c>
      <c r="Y128" s="104" t="s">
        <v>78</v>
      </c>
      <c r="Z128" s="104" t="s">
        <v>81</v>
      </c>
      <c r="AA128" s="104">
        <v>0</v>
      </c>
      <c r="AB128" s="108" t="s">
        <v>78</v>
      </c>
      <c r="AC128" s="104">
        <v>0</v>
      </c>
      <c r="AD128" s="105" t="s">
        <v>78</v>
      </c>
      <c r="AE128" s="104">
        <v>0</v>
      </c>
      <c r="AF128" s="104" t="s">
        <v>78</v>
      </c>
      <c r="AG128" s="104">
        <v>0</v>
      </c>
      <c r="AH128" s="109" t="s">
        <v>81</v>
      </c>
      <c r="AI128" s="109" t="s">
        <v>78</v>
      </c>
      <c r="AJ128" s="109" t="s">
        <v>81</v>
      </c>
      <c r="AK128" s="109" t="s">
        <v>78</v>
      </c>
      <c r="AL128" s="109" t="s">
        <v>78</v>
      </c>
      <c r="AM128" s="109" t="s">
        <v>81</v>
      </c>
      <c r="AN128" s="109" t="s">
        <v>81</v>
      </c>
      <c r="AO128" s="109" t="s">
        <v>78</v>
      </c>
      <c r="AP128" s="109" t="s">
        <v>81</v>
      </c>
      <c r="AQ128" s="109">
        <v>1</v>
      </c>
      <c r="AR128" s="109" t="s">
        <v>104</v>
      </c>
    </row>
    <row r="129" spans="1:44" ht="30.6" customHeight="1" x14ac:dyDescent="0.45">
      <c r="A129" s="104" t="s">
        <v>1088</v>
      </c>
      <c r="B129" s="125" t="s">
        <v>1089</v>
      </c>
      <c r="C129" s="105">
        <v>2017</v>
      </c>
      <c r="D129" s="105" t="s">
        <v>87</v>
      </c>
      <c r="E129" s="105" t="s">
        <v>1090</v>
      </c>
      <c r="F129" s="105" t="s">
        <v>87</v>
      </c>
      <c r="G129" s="105" t="s">
        <v>87</v>
      </c>
      <c r="H129" s="105" t="s">
        <v>599</v>
      </c>
      <c r="I129" s="106" t="s">
        <v>101</v>
      </c>
      <c r="J129" s="104" t="s">
        <v>676</v>
      </c>
      <c r="K129" s="104" t="s">
        <v>81</v>
      </c>
      <c r="L129" s="107" t="s">
        <v>74</v>
      </c>
      <c r="M129" s="107">
        <v>479000</v>
      </c>
      <c r="N129" s="104">
        <v>479000</v>
      </c>
      <c r="O129" s="104">
        <v>643934.07000000007</v>
      </c>
      <c r="P129" s="104">
        <v>479000</v>
      </c>
      <c r="Q129" s="104">
        <v>479000</v>
      </c>
      <c r="R129" s="104">
        <v>643934.07000000007</v>
      </c>
      <c r="S129" s="104">
        <v>479000</v>
      </c>
      <c r="T129" s="104">
        <v>479000</v>
      </c>
      <c r="U129" s="112">
        <v>643934.07000000007</v>
      </c>
      <c r="V129" s="107" t="s">
        <v>81</v>
      </c>
      <c r="W129" s="104" t="s">
        <v>78</v>
      </c>
      <c r="X129" s="104" t="s">
        <v>81</v>
      </c>
      <c r="Y129" s="104" t="s">
        <v>78</v>
      </c>
      <c r="Z129" s="104" t="s">
        <v>81</v>
      </c>
      <c r="AA129" s="104">
        <v>0</v>
      </c>
      <c r="AB129" s="108" t="s">
        <v>78</v>
      </c>
      <c r="AC129" s="104">
        <v>0</v>
      </c>
      <c r="AD129" s="105" t="s">
        <v>78</v>
      </c>
      <c r="AE129" s="104">
        <v>0</v>
      </c>
      <c r="AF129" s="104" t="s">
        <v>78</v>
      </c>
      <c r="AG129" s="104">
        <v>0</v>
      </c>
      <c r="AH129" s="109" t="s">
        <v>81</v>
      </c>
      <c r="AI129" s="109" t="s">
        <v>78</v>
      </c>
      <c r="AJ129" s="109" t="s">
        <v>81</v>
      </c>
      <c r="AK129" s="109" t="s">
        <v>78</v>
      </c>
      <c r="AL129" s="109" t="s">
        <v>78</v>
      </c>
      <c r="AM129" s="109" t="s">
        <v>81</v>
      </c>
      <c r="AN129" s="109" t="s">
        <v>81</v>
      </c>
      <c r="AO129" s="109" t="s">
        <v>78</v>
      </c>
      <c r="AP129" s="109" t="s">
        <v>81</v>
      </c>
      <c r="AQ129" s="109">
        <v>1</v>
      </c>
      <c r="AR129" s="109" t="s">
        <v>74</v>
      </c>
    </row>
    <row r="130" spans="1:44" ht="30.6" customHeight="1" x14ac:dyDescent="0.45">
      <c r="A130" s="104" t="s">
        <v>1091</v>
      </c>
      <c r="B130" s="125" t="s">
        <v>1092</v>
      </c>
      <c r="C130" s="105">
        <v>2017</v>
      </c>
      <c r="D130" s="105" t="s">
        <v>371</v>
      </c>
      <c r="E130" s="105" t="s">
        <v>78</v>
      </c>
      <c r="F130" s="105" t="s">
        <v>542</v>
      </c>
      <c r="G130" s="105" t="s">
        <v>520</v>
      </c>
      <c r="H130" s="105" t="s">
        <v>599</v>
      </c>
      <c r="I130" s="106" t="s">
        <v>101</v>
      </c>
      <c r="J130" s="104" t="s">
        <v>676</v>
      </c>
      <c r="K130" s="104" t="s">
        <v>81</v>
      </c>
      <c r="L130" s="107" t="s">
        <v>74</v>
      </c>
      <c r="M130" s="107">
        <v>1256450</v>
      </c>
      <c r="N130" s="104">
        <v>1256450</v>
      </c>
      <c r="O130" s="104">
        <v>1689083.4284999999</v>
      </c>
      <c r="P130" s="104">
        <v>1256450</v>
      </c>
      <c r="Q130" s="104">
        <v>1256450</v>
      </c>
      <c r="R130" s="104">
        <v>1689083.4284999999</v>
      </c>
      <c r="S130" s="104">
        <v>1256450</v>
      </c>
      <c r="T130" s="104">
        <v>1256450</v>
      </c>
      <c r="U130" s="112">
        <v>1689083.4284999999</v>
      </c>
      <c r="V130" s="107" t="s">
        <v>81</v>
      </c>
      <c r="W130" s="104" t="s">
        <v>78</v>
      </c>
      <c r="X130" s="104" t="s">
        <v>81</v>
      </c>
      <c r="Y130" s="104" t="s">
        <v>78</v>
      </c>
      <c r="Z130" s="104" t="s">
        <v>81</v>
      </c>
      <c r="AA130" s="104">
        <v>0</v>
      </c>
      <c r="AB130" s="108" t="s">
        <v>78</v>
      </c>
      <c r="AC130" s="104">
        <v>0</v>
      </c>
      <c r="AD130" s="105" t="s">
        <v>78</v>
      </c>
      <c r="AE130" s="110">
        <v>0</v>
      </c>
      <c r="AF130" s="104" t="s">
        <v>78</v>
      </c>
      <c r="AG130" s="104">
        <v>0</v>
      </c>
      <c r="AH130" s="109" t="s">
        <v>81</v>
      </c>
      <c r="AI130" s="109" t="s">
        <v>78</v>
      </c>
      <c r="AJ130" s="109" t="s">
        <v>81</v>
      </c>
      <c r="AK130" s="109" t="s">
        <v>78</v>
      </c>
      <c r="AL130" s="109" t="s">
        <v>78</v>
      </c>
      <c r="AM130" s="109" t="s">
        <v>81</v>
      </c>
      <c r="AN130" s="109" t="s">
        <v>81</v>
      </c>
      <c r="AO130" s="109" t="s">
        <v>78</v>
      </c>
      <c r="AP130" s="109" t="s">
        <v>81</v>
      </c>
      <c r="AQ130" s="109">
        <v>1</v>
      </c>
      <c r="AR130" s="109" t="s">
        <v>74</v>
      </c>
    </row>
    <row r="131" spans="1:44" ht="30.6" customHeight="1" x14ac:dyDescent="0.45">
      <c r="A131" s="104" t="s">
        <v>1093</v>
      </c>
      <c r="B131" s="125" t="s">
        <v>1094</v>
      </c>
      <c r="C131" s="105">
        <v>2016</v>
      </c>
      <c r="D131" s="105" t="s">
        <v>497</v>
      </c>
      <c r="E131" s="105" t="s">
        <v>78</v>
      </c>
      <c r="F131" s="105" t="s">
        <v>538</v>
      </c>
      <c r="G131" s="105" t="s">
        <v>520</v>
      </c>
      <c r="H131" s="105" t="s">
        <v>597</v>
      </c>
      <c r="I131" s="106" t="s">
        <v>101</v>
      </c>
      <c r="J131" s="104" t="s">
        <v>676</v>
      </c>
      <c r="K131" s="104" t="s">
        <v>81</v>
      </c>
      <c r="L131" s="107" t="s">
        <v>74</v>
      </c>
      <c r="M131" s="107">
        <v>35000000</v>
      </c>
      <c r="N131" s="104">
        <v>35000000</v>
      </c>
      <c r="O131" s="104">
        <v>48500550</v>
      </c>
      <c r="P131" s="104">
        <v>35000000</v>
      </c>
      <c r="Q131" s="104">
        <v>35000000</v>
      </c>
      <c r="R131" s="104">
        <v>48500550</v>
      </c>
      <c r="S131" s="104">
        <v>35000000</v>
      </c>
      <c r="T131" s="104">
        <v>35000000</v>
      </c>
      <c r="U131" s="112">
        <v>48500550</v>
      </c>
      <c r="V131" s="107" t="s">
        <v>81</v>
      </c>
      <c r="W131" s="104" t="s">
        <v>78</v>
      </c>
      <c r="X131" s="104" t="s">
        <v>81</v>
      </c>
      <c r="Y131" s="104" t="s">
        <v>78</v>
      </c>
      <c r="Z131" s="104" t="s">
        <v>81</v>
      </c>
      <c r="AA131" s="104">
        <v>0</v>
      </c>
      <c r="AB131" s="108" t="s">
        <v>78</v>
      </c>
      <c r="AC131" s="104">
        <v>0</v>
      </c>
      <c r="AD131" s="105" t="s">
        <v>78</v>
      </c>
      <c r="AE131" s="104">
        <v>0</v>
      </c>
      <c r="AF131" s="104" t="s">
        <v>78</v>
      </c>
      <c r="AG131" s="104">
        <v>0</v>
      </c>
      <c r="AH131" s="109" t="s">
        <v>81</v>
      </c>
      <c r="AI131" s="109" t="s">
        <v>78</v>
      </c>
      <c r="AJ131" s="109" t="s">
        <v>81</v>
      </c>
      <c r="AK131" s="109" t="s">
        <v>78</v>
      </c>
      <c r="AL131" s="109" t="s">
        <v>78</v>
      </c>
      <c r="AM131" s="109" t="s">
        <v>81</v>
      </c>
      <c r="AN131" s="109" t="s">
        <v>81</v>
      </c>
      <c r="AO131" s="109" t="s">
        <v>78</v>
      </c>
      <c r="AP131" s="109" t="s">
        <v>81</v>
      </c>
      <c r="AQ131" s="109">
        <v>1</v>
      </c>
      <c r="AR131" s="109" t="s">
        <v>74</v>
      </c>
    </row>
    <row r="132" spans="1:44" ht="30.6" customHeight="1" x14ac:dyDescent="0.45">
      <c r="A132" s="104" t="s">
        <v>1095</v>
      </c>
      <c r="B132" s="125" t="s">
        <v>1096</v>
      </c>
      <c r="C132" s="105">
        <v>2016</v>
      </c>
      <c r="D132" s="105" t="s">
        <v>396</v>
      </c>
      <c r="E132" s="105" t="s">
        <v>78</v>
      </c>
      <c r="F132" s="105" t="s">
        <v>545</v>
      </c>
      <c r="G132" s="105" t="s">
        <v>519</v>
      </c>
      <c r="H132" s="105" t="s">
        <v>599</v>
      </c>
      <c r="I132" s="106" t="s">
        <v>101</v>
      </c>
      <c r="J132" s="104" t="s">
        <v>676</v>
      </c>
      <c r="K132" s="104" t="s">
        <v>81</v>
      </c>
      <c r="L132" s="107" t="s">
        <v>74</v>
      </c>
      <c r="M132" s="107">
        <v>7220000</v>
      </c>
      <c r="N132" s="104">
        <v>7220000</v>
      </c>
      <c r="O132" s="104">
        <v>10004970.6</v>
      </c>
      <c r="P132" s="104">
        <v>7220000</v>
      </c>
      <c r="Q132" s="104">
        <v>7220000</v>
      </c>
      <c r="R132" s="104">
        <v>10004970.6</v>
      </c>
      <c r="S132" s="104">
        <v>7220000</v>
      </c>
      <c r="T132" s="104">
        <v>7220000</v>
      </c>
      <c r="U132" s="112">
        <v>10004970.6</v>
      </c>
      <c r="V132" s="107" t="s">
        <v>81</v>
      </c>
      <c r="W132" s="104" t="s">
        <v>78</v>
      </c>
      <c r="X132" s="104" t="s">
        <v>81</v>
      </c>
      <c r="Y132" s="104" t="s">
        <v>78</v>
      </c>
      <c r="Z132" s="104" t="s">
        <v>81</v>
      </c>
      <c r="AA132" s="104">
        <v>0</v>
      </c>
      <c r="AB132" s="108" t="s">
        <v>78</v>
      </c>
      <c r="AC132" s="104">
        <v>0</v>
      </c>
      <c r="AD132" s="105" t="s">
        <v>78</v>
      </c>
      <c r="AE132" s="104">
        <v>0</v>
      </c>
      <c r="AF132" s="104" t="s">
        <v>78</v>
      </c>
      <c r="AG132" s="104">
        <v>0</v>
      </c>
      <c r="AH132" s="109" t="s">
        <v>81</v>
      </c>
      <c r="AI132" s="109" t="s">
        <v>78</v>
      </c>
      <c r="AJ132" s="109" t="s">
        <v>81</v>
      </c>
      <c r="AK132" s="109" t="s">
        <v>78</v>
      </c>
      <c r="AL132" s="109" t="s">
        <v>78</v>
      </c>
      <c r="AM132" s="109" t="s">
        <v>81</v>
      </c>
      <c r="AN132" s="109" t="s">
        <v>81</v>
      </c>
      <c r="AO132" s="109" t="s">
        <v>78</v>
      </c>
      <c r="AP132" s="109" t="s">
        <v>81</v>
      </c>
      <c r="AQ132" s="109">
        <v>1</v>
      </c>
      <c r="AR132" s="109" t="s">
        <v>74</v>
      </c>
    </row>
    <row r="133" spans="1:44" ht="30.6" customHeight="1" x14ac:dyDescent="0.45">
      <c r="A133" s="104" t="s">
        <v>1097</v>
      </c>
      <c r="B133" s="125" t="s">
        <v>1098</v>
      </c>
      <c r="C133" s="105">
        <v>2016</v>
      </c>
      <c r="D133" s="105" t="s">
        <v>509</v>
      </c>
      <c r="E133" s="105" t="s">
        <v>78</v>
      </c>
      <c r="F133" s="105" t="s">
        <v>560</v>
      </c>
      <c r="G133" s="105" t="s">
        <v>522</v>
      </c>
      <c r="H133" s="105" t="s">
        <v>587</v>
      </c>
      <c r="I133" s="106" t="s">
        <v>256</v>
      </c>
      <c r="J133" s="104" t="s">
        <v>676</v>
      </c>
      <c r="K133" s="104" t="s">
        <v>81</v>
      </c>
      <c r="L133" s="107" t="s">
        <v>74</v>
      </c>
      <c r="M133" s="107">
        <v>7589000</v>
      </c>
      <c r="N133" s="104">
        <v>7589000</v>
      </c>
      <c r="O133" s="104">
        <v>10516304.969999999</v>
      </c>
      <c r="P133" s="104">
        <v>7589000</v>
      </c>
      <c r="Q133" s="104">
        <v>7589000</v>
      </c>
      <c r="R133" s="104">
        <v>10516304.969999999</v>
      </c>
      <c r="S133" s="104">
        <v>7589000</v>
      </c>
      <c r="T133" s="104">
        <v>7589000</v>
      </c>
      <c r="U133" s="112">
        <v>10516304.969999999</v>
      </c>
      <c r="V133" s="107" t="s">
        <v>81</v>
      </c>
      <c r="W133" s="104" t="s">
        <v>78</v>
      </c>
      <c r="X133" s="104" t="s">
        <v>81</v>
      </c>
      <c r="Y133" s="104" t="s">
        <v>78</v>
      </c>
      <c r="Z133" s="104" t="s">
        <v>81</v>
      </c>
      <c r="AA133" s="104">
        <v>0</v>
      </c>
      <c r="AB133" s="108" t="s">
        <v>78</v>
      </c>
      <c r="AC133" s="104">
        <v>0</v>
      </c>
      <c r="AD133" s="105" t="s">
        <v>78</v>
      </c>
      <c r="AE133" s="104">
        <v>0</v>
      </c>
      <c r="AF133" s="104" t="s">
        <v>78</v>
      </c>
      <c r="AG133" s="104">
        <v>0</v>
      </c>
      <c r="AH133" s="109" t="s">
        <v>81</v>
      </c>
      <c r="AI133" s="109" t="s">
        <v>78</v>
      </c>
      <c r="AJ133" s="109" t="s">
        <v>81</v>
      </c>
      <c r="AK133" s="109" t="s">
        <v>78</v>
      </c>
      <c r="AL133" s="109" t="s">
        <v>78</v>
      </c>
      <c r="AM133" s="109" t="s">
        <v>81</v>
      </c>
      <c r="AN133" s="109" t="s">
        <v>81</v>
      </c>
      <c r="AO133" s="109" t="s">
        <v>78</v>
      </c>
      <c r="AP133" s="109" t="s">
        <v>81</v>
      </c>
      <c r="AQ133" s="109">
        <v>1</v>
      </c>
      <c r="AR133" s="109" t="s">
        <v>74</v>
      </c>
    </row>
    <row r="134" spans="1:44" ht="30.6" customHeight="1" x14ac:dyDescent="0.45">
      <c r="A134" s="104" t="s">
        <v>1099</v>
      </c>
      <c r="B134" s="125" t="s">
        <v>1100</v>
      </c>
      <c r="C134" s="105">
        <v>2016</v>
      </c>
      <c r="D134" s="105" t="s">
        <v>87</v>
      </c>
      <c r="E134" s="105" t="s">
        <v>1101</v>
      </c>
      <c r="F134" s="105" t="s">
        <v>87</v>
      </c>
      <c r="G134" s="105" t="s">
        <v>87</v>
      </c>
      <c r="H134" s="105" t="s">
        <v>585</v>
      </c>
      <c r="I134" s="106" t="s">
        <v>228</v>
      </c>
      <c r="J134" s="104" t="s">
        <v>679</v>
      </c>
      <c r="K134" s="104" t="s">
        <v>75</v>
      </c>
      <c r="L134" s="107" t="s">
        <v>126</v>
      </c>
      <c r="M134" s="107">
        <v>2577778</v>
      </c>
      <c r="N134" s="104">
        <v>1860231.0695445724</v>
      </c>
      <c r="O134" s="104">
        <v>2577778</v>
      </c>
      <c r="P134" s="104">
        <v>2013466.5</v>
      </c>
      <c r="Q134" s="104">
        <v>2013466.5</v>
      </c>
      <c r="R134" s="104">
        <v>2790120.9330449998</v>
      </c>
      <c r="S134" s="104">
        <v>0</v>
      </c>
      <c r="T134" s="104">
        <v>0</v>
      </c>
      <c r="U134" s="112">
        <v>0</v>
      </c>
      <c r="V134" s="107" t="s">
        <v>81</v>
      </c>
      <c r="W134" s="104" t="s">
        <v>78</v>
      </c>
      <c r="X134" s="104" t="s">
        <v>81</v>
      </c>
      <c r="Y134" s="104" t="s">
        <v>78</v>
      </c>
      <c r="Z134" s="104" t="s">
        <v>81</v>
      </c>
      <c r="AA134" s="104">
        <v>0</v>
      </c>
      <c r="AB134" s="108" t="s">
        <v>78</v>
      </c>
      <c r="AC134" s="104">
        <v>0</v>
      </c>
      <c r="AD134" s="105" t="s">
        <v>78</v>
      </c>
      <c r="AE134" s="104">
        <v>0</v>
      </c>
      <c r="AF134" s="104" t="s">
        <v>78</v>
      </c>
      <c r="AG134" s="104">
        <v>0</v>
      </c>
      <c r="AH134" s="109" t="s">
        <v>81</v>
      </c>
      <c r="AI134" s="109" t="s">
        <v>78</v>
      </c>
      <c r="AJ134" s="109" t="s">
        <v>81</v>
      </c>
      <c r="AK134" s="109" t="s">
        <v>78</v>
      </c>
      <c r="AL134" s="109" t="s">
        <v>78</v>
      </c>
      <c r="AM134" s="109" t="s">
        <v>81</v>
      </c>
      <c r="AN134" s="109" t="s">
        <v>81</v>
      </c>
      <c r="AO134" s="109" t="s">
        <v>78</v>
      </c>
      <c r="AP134" s="109" t="s">
        <v>81</v>
      </c>
      <c r="AQ134" s="109">
        <v>1</v>
      </c>
      <c r="AR134" s="109" t="s">
        <v>126</v>
      </c>
    </row>
    <row r="135" spans="1:44" ht="30.6" customHeight="1" x14ac:dyDescent="0.45">
      <c r="A135" s="104" t="s">
        <v>1102</v>
      </c>
      <c r="B135" s="125" t="s">
        <v>1103</v>
      </c>
      <c r="C135" s="105">
        <v>2016</v>
      </c>
      <c r="D135" s="105" t="s">
        <v>87</v>
      </c>
      <c r="E135" s="105" t="s">
        <v>1101</v>
      </c>
      <c r="F135" s="105" t="s">
        <v>87</v>
      </c>
      <c r="G135" s="105" t="s">
        <v>87</v>
      </c>
      <c r="H135" s="105" t="s">
        <v>585</v>
      </c>
      <c r="I135" s="106" t="s">
        <v>228</v>
      </c>
      <c r="J135" s="104" t="s">
        <v>679</v>
      </c>
      <c r="K135" s="104" t="s">
        <v>75</v>
      </c>
      <c r="L135" s="107" t="s">
        <v>126</v>
      </c>
      <c r="M135" s="107">
        <v>5484000</v>
      </c>
      <c r="N135" s="104">
        <v>3957480.8945465568</v>
      </c>
      <c r="O135" s="104">
        <v>5484000</v>
      </c>
      <c r="P135" s="104">
        <v>3966181.86</v>
      </c>
      <c r="Q135" s="104">
        <v>3966181.86</v>
      </c>
      <c r="R135" s="104">
        <v>5496057.1888577994</v>
      </c>
      <c r="S135" s="104">
        <v>0</v>
      </c>
      <c r="T135" s="104">
        <v>0</v>
      </c>
      <c r="U135" s="112">
        <v>0</v>
      </c>
      <c r="V135" s="107" t="s">
        <v>81</v>
      </c>
      <c r="W135" s="104" t="s">
        <v>78</v>
      </c>
      <c r="X135" s="104" t="s">
        <v>81</v>
      </c>
      <c r="Y135" s="104" t="s">
        <v>78</v>
      </c>
      <c r="Z135" s="104" t="s">
        <v>81</v>
      </c>
      <c r="AA135" s="104">
        <v>0</v>
      </c>
      <c r="AB135" s="108" t="s">
        <v>78</v>
      </c>
      <c r="AC135" s="104">
        <v>0</v>
      </c>
      <c r="AD135" s="105" t="s">
        <v>78</v>
      </c>
      <c r="AE135" s="104">
        <v>0</v>
      </c>
      <c r="AF135" s="104" t="s">
        <v>78</v>
      </c>
      <c r="AG135" s="104">
        <v>0</v>
      </c>
      <c r="AH135" s="109" t="s">
        <v>81</v>
      </c>
      <c r="AI135" s="109" t="s">
        <v>78</v>
      </c>
      <c r="AJ135" s="109" t="s">
        <v>81</v>
      </c>
      <c r="AK135" s="109" t="s">
        <v>78</v>
      </c>
      <c r="AL135" s="109" t="s">
        <v>78</v>
      </c>
      <c r="AM135" s="109" t="s">
        <v>81</v>
      </c>
      <c r="AN135" s="109" t="s">
        <v>81</v>
      </c>
      <c r="AO135" s="109" t="s">
        <v>78</v>
      </c>
      <c r="AP135" s="109" t="s">
        <v>81</v>
      </c>
      <c r="AQ135" s="109">
        <v>1</v>
      </c>
      <c r="AR135" s="109" t="s">
        <v>126</v>
      </c>
    </row>
    <row r="136" spans="1:44" ht="30.6" customHeight="1" x14ac:dyDescent="0.45">
      <c r="A136" s="104" t="s">
        <v>1104</v>
      </c>
      <c r="B136" s="125" t="s">
        <v>1105</v>
      </c>
      <c r="C136" s="105">
        <v>2016</v>
      </c>
      <c r="D136" s="105" t="s">
        <v>184</v>
      </c>
      <c r="E136" s="105" t="s">
        <v>78</v>
      </c>
      <c r="F136" s="105" t="s">
        <v>554</v>
      </c>
      <c r="G136" s="105" t="s">
        <v>520</v>
      </c>
      <c r="H136" s="105" t="s">
        <v>115</v>
      </c>
      <c r="I136" s="106" t="s">
        <v>115</v>
      </c>
      <c r="J136" s="104" t="s">
        <v>676</v>
      </c>
      <c r="K136" s="104" t="s">
        <v>81</v>
      </c>
      <c r="L136" s="107" t="s">
        <v>74</v>
      </c>
      <c r="M136" s="107">
        <v>197375833</v>
      </c>
      <c r="N136" s="104">
        <v>197375833</v>
      </c>
      <c r="O136" s="104">
        <v>273509613.06308997</v>
      </c>
      <c r="P136" s="104">
        <v>184353167.5</v>
      </c>
      <c r="Q136" s="104">
        <v>184353167.5</v>
      </c>
      <c r="R136" s="104">
        <v>255463714.79977497</v>
      </c>
      <c r="S136" s="104">
        <v>180252117.59999999</v>
      </c>
      <c r="T136" s="104">
        <v>180252117.59999999</v>
      </c>
      <c r="U136" s="112">
        <v>249780766.92184797</v>
      </c>
      <c r="V136" s="107" t="s">
        <v>75</v>
      </c>
      <c r="W136" s="104" t="s">
        <v>1849</v>
      </c>
      <c r="X136" s="104" t="s">
        <v>75</v>
      </c>
      <c r="Y136" s="104" t="s">
        <v>1850</v>
      </c>
      <c r="Z136" s="104" t="s">
        <v>75</v>
      </c>
      <c r="AA136" s="104" t="s">
        <v>1856</v>
      </c>
      <c r="AB136" s="108">
        <v>0</v>
      </c>
      <c r="AC136" s="104">
        <v>2</v>
      </c>
      <c r="AD136" s="105" t="s">
        <v>1851</v>
      </c>
      <c r="AE136" s="104">
        <v>3</v>
      </c>
      <c r="AF136" s="104" t="s">
        <v>1852</v>
      </c>
      <c r="AG136" s="104">
        <v>6</v>
      </c>
      <c r="AH136" s="109" t="s">
        <v>75</v>
      </c>
      <c r="AI136" s="109" t="s">
        <v>1853</v>
      </c>
      <c r="AJ136" s="109" t="s">
        <v>75</v>
      </c>
      <c r="AK136" s="109" t="s">
        <v>1854</v>
      </c>
      <c r="AL136" s="109" t="s">
        <v>934</v>
      </c>
      <c r="AM136" s="109" t="s">
        <v>75</v>
      </c>
      <c r="AN136" s="109" t="s">
        <v>75</v>
      </c>
      <c r="AO136" s="109" t="s">
        <v>78</v>
      </c>
      <c r="AP136" s="109" t="s">
        <v>75</v>
      </c>
      <c r="AQ136" s="109">
        <v>1</v>
      </c>
      <c r="AR136" s="109" t="s">
        <v>74</v>
      </c>
    </row>
    <row r="137" spans="1:44" ht="30.6" customHeight="1" x14ac:dyDescent="0.45">
      <c r="A137" s="104" t="s">
        <v>1109</v>
      </c>
      <c r="B137" s="125" t="s">
        <v>1110</v>
      </c>
      <c r="C137" s="105">
        <v>2016</v>
      </c>
      <c r="D137" s="105" t="s">
        <v>184</v>
      </c>
      <c r="E137" s="105" t="s">
        <v>78</v>
      </c>
      <c r="F137" s="105" t="s">
        <v>554</v>
      </c>
      <c r="G137" s="105" t="s">
        <v>520</v>
      </c>
      <c r="H137" s="105" t="s">
        <v>584</v>
      </c>
      <c r="I137" s="106" t="s">
        <v>228</v>
      </c>
      <c r="J137" s="104" t="s">
        <v>679</v>
      </c>
      <c r="K137" s="104" t="s">
        <v>81</v>
      </c>
      <c r="L137" s="107" t="s">
        <v>126</v>
      </c>
      <c r="M137" s="107">
        <v>280000000</v>
      </c>
      <c r="N137" s="104">
        <v>202059564.27298248</v>
      </c>
      <c r="O137" s="104">
        <v>280000000</v>
      </c>
      <c r="P137" s="104">
        <v>202503815</v>
      </c>
      <c r="Q137" s="104">
        <v>202503815</v>
      </c>
      <c r="R137" s="104">
        <v>280615611.55994999</v>
      </c>
      <c r="S137" s="104">
        <v>180806977.69999999</v>
      </c>
      <c r="T137" s="104">
        <v>180806977.69999999</v>
      </c>
      <c r="U137" s="112">
        <v>250549653.20822096</v>
      </c>
      <c r="V137" s="107" t="s">
        <v>81</v>
      </c>
      <c r="W137" s="104" t="s">
        <v>78</v>
      </c>
      <c r="X137" s="104" t="s">
        <v>81</v>
      </c>
      <c r="Y137" s="104" t="s">
        <v>78</v>
      </c>
      <c r="Z137" s="104" t="s">
        <v>81</v>
      </c>
      <c r="AA137" s="104">
        <v>0</v>
      </c>
      <c r="AB137" s="108" t="s">
        <v>78</v>
      </c>
      <c r="AC137" s="104">
        <v>0</v>
      </c>
      <c r="AD137" s="105" t="s">
        <v>78</v>
      </c>
      <c r="AE137" s="104" t="s">
        <v>1857</v>
      </c>
      <c r="AF137" s="104" t="s">
        <v>78</v>
      </c>
      <c r="AG137" s="104">
        <v>0</v>
      </c>
      <c r="AH137" s="109" t="s">
        <v>81</v>
      </c>
      <c r="AI137" s="109" t="s">
        <v>78</v>
      </c>
      <c r="AJ137" s="109" t="s">
        <v>81</v>
      </c>
      <c r="AK137" s="109" t="s">
        <v>78</v>
      </c>
      <c r="AL137" s="109" t="s">
        <v>78</v>
      </c>
      <c r="AM137" s="109" t="s">
        <v>81</v>
      </c>
      <c r="AN137" s="109" t="s">
        <v>81</v>
      </c>
      <c r="AO137" s="109" t="s">
        <v>78</v>
      </c>
      <c r="AP137" s="109" t="s">
        <v>81</v>
      </c>
      <c r="AQ137" s="109">
        <v>1</v>
      </c>
      <c r="AR137" s="109" t="s">
        <v>126</v>
      </c>
    </row>
    <row r="138" spans="1:44" ht="30.6" customHeight="1" x14ac:dyDescent="0.45">
      <c r="A138" s="104" t="s">
        <v>1111</v>
      </c>
      <c r="B138" s="125" t="s">
        <v>1112</v>
      </c>
      <c r="C138" s="105">
        <v>2016</v>
      </c>
      <c r="D138" s="105" t="s">
        <v>226</v>
      </c>
      <c r="E138" s="105" t="s">
        <v>78</v>
      </c>
      <c r="F138" s="105" t="s">
        <v>534</v>
      </c>
      <c r="G138" s="105" t="s">
        <v>518</v>
      </c>
      <c r="H138" s="105" t="s">
        <v>596</v>
      </c>
      <c r="I138" s="106" t="s">
        <v>101</v>
      </c>
      <c r="J138" s="104" t="s">
        <v>689</v>
      </c>
      <c r="K138" s="104" t="s">
        <v>81</v>
      </c>
      <c r="L138" s="107" t="s">
        <v>126</v>
      </c>
      <c r="M138" s="107">
        <v>500000000</v>
      </c>
      <c r="N138" s="104">
        <v>360820650.48746872</v>
      </c>
      <c r="O138" s="104">
        <v>500000000</v>
      </c>
      <c r="P138" s="104">
        <v>361613955.39999998</v>
      </c>
      <c r="Q138" s="104">
        <v>361613955.39999998</v>
      </c>
      <c r="R138" s="104">
        <v>501099306.41644192</v>
      </c>
      <c r="S138" s="104">
        <v>361613955.39999998</v>
      </c>
      <c r="T138" s="104">
        <v>361613955.39999998</v>
      </c>
      <c r="U138" s="112">
        <v>501099306.41644192</v>
      </c>
      <c r="V138" s="107" t="s">
        <v>81</v>
      </c>
      <c r="W138" s="104" t="s">
        <v>78</v>
      </c>
      <c r="X138" s="104" t="s">
        <v>81</v>
      </c>
      <c r="Y138" s="104" t="s">
        <v>78</v>
      </c>
      <c r="Z138" s="104" t="s">
        <v>81</v>
      </c>
      <c r="AA138" s="104">
        <v>0</v>
      </c>
      <c r="AB138" s="108" t="s">
        <v>78</v>
      </c>
      <c r="AC138" s="104">
        <v>0</v>
      </c>
      <c r="AD138" s="105" t="s">
        <v>78</v>
      </c>
      <c r="AE138" s="104" t="s">
        <v>1858</v>
      </c>
      <c r="AF138" s="104" t="s">
        <v>78</v>
      </c>
      <c r="AG138" s="104">
        <v>0</v>
      </c>
      <c r="AH138" s="109" t="s">
        <v>81</v>
      </c>
      <c r="AI138" s="109" t="s">
        <v>78</v>
      </c>
      <c r="AJ138" s="109" t="s">
        <v>81</v>
      </c>
      <c r="AK138" s="109" t="s">
        <v>78</v>
      </c>
      <c r="AL138" s="109" t="s">
        <v>78</v>
      </c>
      <c r="AM138" s="109" t="s">
        <v>81</v>
      </c>
      <c r="AN138" s="109" t="s">
        <v>81</v>
      </c>
      <c r="AO138" s="109" t="s">
        <v>78</v>
      </c>
      <c r="AP138" s="109" t="s">
        <v>81</v>
      </c>
      <c r="AQ138" s="109">
        <v>1</v>
      </c>
      <c r="AR138" s="109" t="s">
        <v>126</v>
      </c>
    </row>
    <row r="139" spans="1:44" ht="30.6" customHeight="1" x14ac:dyDescent="0.45">
      <c r="A139" s="104" t="s">
        <v>1113</v>
      </c>
      <c r="B139" s="125" t="s">
        <v>1114</v>
      </c>
      <c r="C139" s="105">
        <v>2016</v>
      </c>
      <c r="D139" s="105" t="s">
        <v>297</v>
      </c>
      <c r="E139" s="105" t="s">
        <v>78</v>
      </c>
      <c r="F139" s="105" t="s">
        <v>566</v>
      </c>
      <c r="G139" s="105" t="s">
        <v>522</v>
      </c>
      <c r="H139" s="105" t="s">
        <v>228</v>
      </c>
      <c r="I139" s="106" t="s">
        <v>228</v>
      </c>
      <c r="J139" s="104" t="s">
        <v>676</v>
      </c>
      <c r="K139" s="104" t="s">
        <v>81</v>
      </c>
      <c r="L139" s="107" t="s">
        <v>74</v>
      </c>
      <c r="M139" s="107">
        <v>263290000</v>
      </c>
      <c r="N139" s="104">
        <v>263290000</v>
      </c>
      <c r="O139" s="104">
        <v>364848851.69999999</v>
      </c>
      <c r="P139" s="104">
        <v>67270000</v>
      </c>
      <c r="Q139" s="104">
        <v>67270000</v>
      </c>
      <c r="R139" s="104">
        <v>93218057.099999994</v>
      </c>
      <c r="S139" s="104">
        <v>67270000</v>
      </c>
      <c r="T139" s="104">
        <v>67270000</v>
      </c>
      <c r="U139" s="112">
        <v>93218057.099999994</v>
      </c>
      <c r="V139" s="107" t="s">
        <v>81</v>
      </c>
      <c r="W139" s="104" t="s">
        <v>78</v>
      </c>
      <c r="X139" s="104" t="s">
        <v>81</v>
      </c>
      <c r="Y139" s="104" t="s">
        <v>78</v>
      </c>
      <c r="Z139" s="104" t="s">
        <v>81</v>
      </c>
      <c r="AA139" s="104">
        <v>0</v>
      </c>
      <c r="AB139" s="108" t="s">
        <v>78</v>
      </c>
      <c r="AC139" s="104">
        <v>0</v>
      </c>
      <c r="AD139" s="105" t="s">
        <v>78</v>
      </c>
      <c r="AE139" s="104">
        <v>0</v>
      </c>
      <c r="AF139" s="104" t="s">
        <v>78</v>
      </c>
      <c r="AG139" s="104">
        <v>0</v>
      </c>
      <c r="AH139" s="109" t="s">
        <v>81</v>
      </c>
      <c r="AI139" s="109" t="s">
        <v>78</v>
      </c>
      <c r="AJ139" s="109" t="s">
        <v>81</v>
      </c>
      <c r="AK139" s="109" t="s">
        <v>78</v>
      </c>
      <c r="AL139" s="109" t="s">
        <v>78</v>
      </c>
      <c r="AM139" s="109" t="s">
        <v>81</v>
      </c>
      <c r="AN139" s="109" t="s">
        <v>81</v>
      </c>
      <c r="AO139" s="109" t="s">
        <v>78</v>
      </c>
      <c r="AP139" s="109" t="s">
        <v>81</v>
      </c>
      <c r="AQ139" s="109">
        <v>1</v>
      </c>
      <c r="AR139" s="109" t="s">
        <v>74</v>
      </c>
    </row>
    <row r="140" spans="1:44" ht="30.6" customHeight="1" x14ac:dyDescent="0.45">
      <c r="A140" s="104" t="s">
        <v>1115</v>
      </c>
      <c r="B140" s="125" t="s">
        <v>1116</v>
      </c>
      <c r="C140" s="105">
        <v>2016</v>
      </c>
      <c r="D140" s="105" t="s">
        <v>501</v>
      </c>
      <c r="E140" s="105" t="s">
        <v>78</v>
      </c>
      <c r="F140" s="105" t="s">
        <v>551</v>
      </c>
      <c r="G140" s="105" t="s">
        <v>519</v>
      </c>
      <c r="H140" s="105" t="s">
        <v>466</v>
      </c>
      <c r="I140" s="106" t="s">
        <v>466</v>
      </c>
      <c r="J140" s="104" t="s">
        <v>676</v>
      </c>
      <c r="K140" s="104" t="s">
        <v>81</v>
      </c>
      <c r="L140" s="107" t="s">
        <v>74</v>
      </c>
      <c r="M140" s="107">
        <v>9700071</v>
      </c>
      <c r="N140" s="104">
        <v>9700071</v>
      </c>
      <c r="O140" s="104">
        <v>13441679.386829998</v>
      </c>
      <c r="P140" s="104">
        <v>8770071</v>
      </c>
      <c r="Q140" s="104">
        <v>8770071</v>
      </c>
      <c r="R140" s="104">
        <v>12152950.48683</v>
      </c>
      <c r="S140" s="104">
        <v>8770071</v>
      </c>
      <c r="T140" s="104">
        <v>8770071</v>
      </c>
      <c r="U140" s="112">
        <v>12152950.48683</v>
      </c>
      <c r="V140" s="107" t="s">
        <v>81</v>
      </c>
      <c r="W140" s="104" t="s">
        <v>78</v>
      </c>
      <c r="X140" s="104" t="s">
        <v>81</v>
      </c>
      <c r="Y140" s="104" t="s">
        <v>78</v>
      </c>
      <c r="Z140" s="104" t="s">
        <v>81</v>
      </c>
      <c r="AA140" s="104">
        <v>0</v>
      </c>
      <c r="AB140" s="108" t="s">
        <v>78</v>
      </c>
      <c r="AC140" s="104">
        <v>0</v>
      </c>
      <c r="AD140" s="105" t="s">
        <v>78</v>
      </c>
      <c r="AE140" s="104">
        <v>0</v>
      </c>
      <c r="AF140" s="104" t="s">
        <v>78</v>
      </c>
      <c r="AG140" s="104">
        <v>0</v>
      </c>
      <c r="AH140" s="109" t="s">
        <v>81</v>
      </c>
      <c r="AI140" s="109" t="s">
        <v>78</v>
      </c>
      <c r="AJ140" s="109" t="s">
        <v>81</v>
      </c>
      <c r="AK140" s="109" t="s">
        <v>78</v>
      </c>
      <c r="AL140" s="109" t="s">
        <v>78</v>
      </c>
      <c r="AM140" s="109" t="s">
        <v>81</v>
      </c>
      <c r="AN140" s="109" t="s">
        <v>81</v>
      </c>
      <c r="AO140" s="109" t="s">
        <v>78</v>
      </c>
      <c r="AP140" s="109" t="s">
        <v>81</v>
      </c>
      <c r="AQ140" s="109">
        <v>1</v>
      </c>
      <c r="AR140" s="109" t="s">
        <v>74</v>
      </c>
    </row>
    <row r="141" spans="1:44" ht="30.6" customHeight="1" x14ac:dyDescent="0.45">
      <c r="A141" s="104" t="s">
        <v>1117</v>
      </c>
      <c r="B141" s="125" t="s">
        <v>1118</v>
      </c>
      <c r="C141" s="105">
        <v>2016</v>
      </c>
      <c r="D141" s="105" t="s">
        <v>509</v>
      </c>
      <c r="E141" s="105" t="s">
        <v>78</v>
      </c>
      <c r="F141" s="105" t="s">
        <v>560</v>
      </c>
      <c r="G141" s="105" t="s">
        <v>522</v>
      </c>
      <c r="H141" s="105" t="s">
        <v>580</v>
      </c>
      <c r="I141" s="106" t="s">
        <v>115</v>
      </c>
      <c r="J141" s="104" t="s">
        <v>676</v>
      </c>
      <c r="K141" s="104" t="s">
        <v>81</v>
      </c>
      <c r="L141" s="107" t="s">
        <v>74</v>
      </c>
      <c r="M141" s="107">
        <v>6000000</v>
      </c>
      <c r="N141" s="104">
        <v>6000000</v>
      </c>
      <c r="O141" s="104">
        <v>8314379.9999999991</v>
      </c>
      <c r="P141" s="104">
        <v>5500000</v>
      </c>
      <c r="Q141" s="104">
        <v>5500000</v>
      </c>
      <c r="R141" s="104">
        <v>7621514.9999999991</v>
      </c>
      <c r="S141" s="104">
        <v>5500000</v>
      </c>
      <c r="T141" s="104">
        <v>5500000</v>
      </c>
      <c r="U141" s="112">
        <v>7621514.9999999991</v>
      </c>
      <c r="V141" s="107" t="s">
        <v>81</v>
      </c>
      <c r="W141" s="104" t="s">
        <v>78</v>
      </c>
      <c r="X141" s="104" t="s">
        <v>81</v>
      </c>
      <c r="Y141" s="104" t="s">
        <v>78</v>
      </c>
      <c r="Z141" s="104" t="s">
        <v>81</v>
      </c>
      <c r="AA141" s="104">
        <v>0</v>
      </c>
      <c r="AB141" s="108" t="s">
        <v>78</v>
      </c>
      <c r="AC141" s="104">
        <v>0</v>
      </c>
      <c r="AD141" s="105" t="s">
        <v>78</v>
      </c>
      <c r="AE141" s="104">
        <v>0</v>
      </c>
      <c r="AF141" s="104" t="s">
        <v>78</v>
      </c>
      <c r="AG141" s="104">
        <v>0</v>
      </c>
      <c r="AH141" s="109" t="s">
        <v>81</v>
      </c>
      <c r="AI141" s="109" t="s">
        <v>78</v>
      </c>
      <c r="AJ141" s="109" t="s">
        <v>81</v>
      </c>
      <c r="AK141" s="109" t="s">
        <v>78</v>
      </c>
      <c r="AL141" s="109" t="s">
        <v>78</v>
      </c>
      <c r="AM141" s="109" t="s">
        <v>81</v>
      </c>
      <c r="AN141" s="109" t="s">
        <v>81</v>
      </c>
      <c r="AO141" s="109" t="s">
        <v>78</v>
      </c>
      <c r="AP141" s="109" t="s">
        <v>81</v>
      </c>
      <c r="AQ141" s="109">
        <v>1</v>
      </c>
      <c r="AR141" s="109" t="s">
        <v>74</v>
      </c>
    </row>
    <row r="142" spans="1:44" ht="30.6" customHeight="1" x14ac:dyDescent="0.45">
      <c r="A142" s="104" t="s">
        <v>1119</v>
      </c>
      <c r="B142" s="125" t="s">
        <v>1120</v>
      </c>
      <c r="C142" s="105">
        <v>2016</v>
      </c>
      <c r="D142" s="105" t="s">
        <v>314</v>
      </c>
      <c r="E142" s="105" t="s">
        <v>78</v>
      </c>
      <c r="F142" s="105" t="s">
        <v>557</v>
      </c>
      <c r="G142" s="105" t="s">
        <v>522</v>
      </c>
      <c r="H142" s="105" t="s">
        <v>585</v>
      </c>
      <c r="I142" s="106" t="s">
        <v>228</v>
      </c>
      <c r="J142" s="104" t="s">
        <v>676</v>
      </c>
      <c r="K142" s="104" t="s">
        <v>81</v>
      </c>
      <c r="L142" s="107" t="s">
        <v>74</v>
      </c>
      <c r="M142" s="107">
        <v>23250000</v>
      </c>
      <c r="N142" s="104">
        <v>23250000</v>
      </c>
      <c r="O142" s="104">
        <v>32218222.499999996</v>
      </c>
      <c r="P142" s="104">
        <v>20950000</v>
      </c>
      <c r="Q142" s="104">
        <v>20950000</v>
      </c>
      <c r="R142" s="104">
        <v>29031043.499999996</v>
      </c>
      <c r="S142" s="104">
        <v>20950000</v>
      </c>
      <c r="T142" s="104">
        <v>20950000</v>
      </c>
      <c r="U142" s="112">
        <v>29031043.499999996</v>
      </c>
      <c r="V142" s="107" t="s">
        <v>75</v>
      </c>
      <c r="W142" s="104" t="s">
        <v>1121</v>
      </c>
      <c r="X142" s="104" t="s">
        <v>75</v>
      </c>
      <c r="Y142" s="104" t="s">
        <v>1122</v>
      </c>
      <c r="Z142" s="104" t="s">
        <v>81</v>
      </c>
      <c r="AA142" s="104">
        <v>0</v>
      </c>
      <c r="AB142" s="108" t="s">
        <v>78</v>
      </c>
      <c r="AC142" s="104">
        <v>0</v>
      </c>
      <c r="AD142" s="105" t="s">
        <v>78</v>
      </c>
      <c r="AE142" s="104">
        <v>0</v>
      </c>
      <c r="AF142" s="104" t="s">
        <v>78</v>
      </c>
      <c r="AG142" s="104">
        <v>0</v>
      </c>
      <c r="AH142" s="109" t="s">
        <v>75</v>
      </c>
      <c r="AI142" s="109" t="s">
        <v>1123</v>
      </c>
      <c r="AJ142" s="109" t="s">
        <v>75</v>
      </c>
      <c r="AK142" s="109" t="s">
        <v>795</v>
      </c>
      <c r="AL142" s="109" t="s">
        <v>934</v>
      </c>
      <c r="AM142" s="109" t="s">
        <v>75</v>
      </c>
      <c r="AN142" s="109" t="s">
        <v>81</v>
      </c>
      <c r="AO142" s="109" t="s">
        <v>78</v>
      </c>
      <c r="AP142" s="109" t="s">
        <v>81</v>
      </c>
      <c r="AQ142" s="109">
        <v>1</v>
      </c>
      <c r="AR142" s="109" t="s">
        <v>74</v>
      </c>
    </row>
    <row r="143" spans="1:44" ht="30.6" customHeight="1" x14ac:dyDescent="0.45">
      <c r="A143" s="104" t="s">
        <v>1124</v>
      </c>
      <c r="B143" s="125" t="s">
        <v>1125</v>
      </c>
      <c r="C143" s="105">
        <v>2016</v>
      </c>
      <c r="D143" s="105" t="s">
        <v>254</v>
      </c>
      <c r="E143" s="105" t="s">
        <v>78</v>
      </c>
      <c r="F143" s="105" t="s">
        <v>555</v>
      </c>
      <c r="G143" s="105" t="s">
        <v>522</v>
      </c>
      <c r="H143" s="105" t="s">
        <v>588</v>
      </c>
      <c r="I143" s="106" t="s">
        <v>256</v>
      </c>
      <c r="J143" s="104" t="s">
        <v>679</v>
      </c>
      <c r="K143" s="104" t="s">
        <v>75</v>
      </c>
      <c r="L143" s="107" t="s">
        <v>104</v>
      </c>
      <c r="M143" s="107">
        <v>2250614</v>
      </c>
      <c r="N143" s="104">
        <v>1768196.8526826049</v>
      </c>
      <c r="O143" s="104">
        <v>2450243.424667866</v>
      </c>
      <c r="P143" s="104">
        <v>1600142.72</v>
      </c>
      <c r="Q143" s="104">
        <v>1600142.72</v>
      </c>
      <c r="R143" s="104">
        <v>2217365.7713855999</v>
      </c>
      <c r="S143" s="104">
        <v>0</v>
      </c>
      <c r="T143" s="104">
        <v>0</v>
      </c>
      <c r="U143" s="112">
        <v>0</v>
      </c>
      <c r="V143" s="107" t="s">
        <v>81</v>
      </c>
      <c r="W143" s="104" t="s">
        <v>78</v>
      </c>
      <c r="X143" s="104" t="s">
        <v>81</v>
      </c>
      <c r="Y143" s="104" t="s">
        <v>78</v>
      </c>
      <c r="Z143" s="104" t="s">
        <v>81</v>
      </c>
      <c r="AA143" s="104">
        <v>0</v>
      </c>
      <c r="AB143" s="108" t="s">
        <v>78</v>
      </c>
      <c r="AC143" s="104">
        <v>0</v>
      </c>
      <c r="AD143" s="105" t="s">
        <v>78</v>
      </c>
      <c r="AE143" s="104">
        <v>0</v>
      </c>
      <c r="AF143" s="104" t="s">
        <v>78</v>
      </c>
      <c r="AG143" s="104">
        <v>0</v>
      </c>
      <c r="AH143" s="109" t="s">
        <v>81</v>
      </c>
      <c r="AI143" s="109" t="s">
        <v>78</v>
      </c>
      <c r="AJ143" s="109" t="s">
        <v>81</v>
      </c>
      <c r="AK143" s="109" t="s">
        <v>78</v>
      </c>
      <c r="AL143" s="109" t="s">
        <v>78</v>
      </c>
      <c r="AM143" s="109" t="s">
        <v>81</v>
      </c>
      <c r="AN143" s="109" t="s">
        <v>81</v>
      </c>
      <c r="AO143" s="109" t="s">
        <v>78</v>
      </c>
      <c r="AP143" s="109" t="s">
        <v>81</v>
      </c>
      <c r="AQ143" s="109">
        <v>1</v>
      </c>
      <c r="AR143" s="109" t="s">
        <v>104</v>
      </c>
    </row>
    <row r="144" spans="1:44" ht="30.6" customHeight="1" x14ac:dyDescent="0.45">
      <c r="A144" s="104" t="s">
        <v>1126</v>
      </c>
      <c r="B144" s="125" t="s">
        <v>1127</v>
      </c>
      <c r="C144" s="105">
        <v>2016</v>
      </c>
      <c r="D144" s="105" t="s">
        <v>496</v>
      </c>
      <c r="E144" s="105" t="s">
        <v>78</v>
      </c>
      <c r="F144" s="105" t="s">
        <v>535</v>
      </c>
      <c r="G144" s="105" t="s">
        <v>522</v>
      </c>
      <c r="H144" s="105" t="s">
        <v>589</v>
      </c>
      <c r="I144" s="106" t="s">
        <v>256</v>
      </c>
      <c r="J144" s="104" t="s">
        <v>676</v>
      </c>
      <c r="K144" s="104" t="s">
        <v>81</v>
      </c>
      <c r="L144" s="107" t="s">
        <v>74</v>
      </c>
      <c r="M144" s="107">
        <v>467860.14</v>
      </c>
      <c r="N144" s="104">
        <v>467860.14</v>
      </c>
      <c r="O144" s="104">
        <v>648327.83180219994</v>
      </c>
      <c r="P144" s="104">
        <v>467860.14</v>
      </c>
      <c r="Q144" s="104">
        <v>467860.14</v>
      </c>
      <c r="R144" s="104">
        <v>648327.83180219994</v>
      </c>
      <c r="S144" s="104">
        <v>467860.14</v>
      </c>
      <c r="T144" s="104">
        <v>467860.14</v>
      </c>
      <c r="U144" s="112">
        <v>648327.83180219994</v>
      </c>
      <c r="V144" s="107" t="s">
        <v>81</v>
      </c>
      <c r="W144" s="104" t="s">
        <v>78</v>
      </c>
      <c r="X144" s="104" t="s">
        <v>81</v>
      </c>
      <c r="Y144" s="104" t="s">
        <v>78</v>
      </c>
      <c r="Z144" s="104" t="s">
        <v>81</v>
      </c>
      <c r="AA144" s="104">
        <v>0</v>
      </c>
      <c r="AB144" s="108" t="s">
        <v>78</v>
      </c>
      <c r="AC144" s="104">
        <v>0</v>
      </c>
      <c r="AD144" s="105" t="s">
        <v>78</v>
      </c>
      <c r="AE144" s="104">
        <v>0</v>
      </c>
      <c r="AF144" s="104" t="s">
        <v>78</v>
      </c>
      <c r="AG144" s="104">
        <v>0</v>
      </c>
      <c r="AH144" s="109" t="s">
        <v>81</v>
      </c>
      <c r="AI144" s="109" t="s">
        <v>78</v>
      </c>
      <c r="AJ144" s="109" t="s">
        <v>81</v>
      </c>
      <c r="AK144" s="109" t="s">
        <v>78</v>
      </c>
      <c r="AL144" s="109" t="s">
        <v>78</v>
      </c>
      <c r="AM144" s="109" t="s">
        <v>81</v>
      </c>
      <c r="AN144" s="109" t="s">
        <v>81</v>
      </c>
      <c r="AO144" s="109" t="s">
        <v>78</v>
      </c>
      <c r="AP144" s="109" t="s">
        <v>81</v>
      </c>
      <c r="AQ144" s="109">
        <v>1</v>
      </c>
      <c r="AR144" s="109" t="s">
        <v>74</v>
      </c>
    </row>
    <row r="145" spans="1:44" ht="30.6" customHeight="1" x14ac:dyDescent="0.45">
      <c r="A145" s="104" t="s">
        <v>1128</v>
      </c>
      <c r="B145" s="125" t="s">
        <v>1129</v>
      </c>
      <c r="C145" s="105">
        <v>2016</v>
      </c>
      <c r="D145" s="105" t="s">
        <v>516</v>
      </c>
      <c r="E145" s="105" t="s">
        <v>78</v>
      </c>
      <c r="F145" s="105" t="s">
        <v>569</v>
      </c>
      <c r="G145" s="105" t="s">
        <v>519</v>
      </c>
      <c r="H145" s="105" t="s">
        <v>583</v>
      </c>
      <c r="I145" s="106" t="s">
        <v>228</v>
      </c>
      <c r="J145" s="104" t="s">
        <v>689</v>
      </c>
      <c r="K145" s="104" t="s">
        <v>81</v>
      </c>
      <c r="L145" s="107" t="s">
        <v>126</v>
      </c>
      <c r="M145" s="107">
        <v>45395470</v>
      </c>
      <c r="N145" s="104">
        <v>32759246.029168744</v>
      </c>
      <c r="O145" s="104">
        <v>45395470</v>
      </c>
      <c r="P145" s="104">
        <v>32831270.93</v>
      </c>
      <c r="Q145" s="104">
        <v>32831270.93</v>
      </c>
      <c r="R145" s="104">
        <v>45495277.065828897</v>
      </c>
      <c r="S145" s="104">
        <v>32831270.93</v>
      </c>
      <c r="T145" s="104">
        <v>32831270.93</v>
      </c>
      <c r="U145" s="112">
        <v>45495277.065828897</v>
      </c>
      <c r="V145" s="107" t="s">
        <v>75</v>
      </c>
      <c r="W145" s="104" t="s">
        <v>1130</v>
      </c>
      <c r="X145" s="104" t="s">
        <v>75</v>
      </c>
      <c r="Y145" s="104" t="s">
        <v>1131</v>
      </c>
      <c r="Z145" s="104" t="s">
        <v>75</v>
      </c>
      <c r="AA145" s="104">
        <v>0</v>
      </c>
      <c r="AB145" s="108" t="s">
        <v>78</v>
      </c>
      <c r="AC145" s="104">
        <v>999</v>
      </c>
      <c r="AD145" s="105" t="s">
        <v>1132</v>
      </c>
      <c r="AE145" s="104">
        <v>0</v>
      </c>
      <c r="AF145" s="104" t="s">
        <v>78</v>
      </c>
      <c r="AG145" s="104">
        <v>1</v>
      </c>
      <c r="AH145" s="109" t="s">
        <v>75</v>
      </c>
      <c r="AI145" s="109">
        <v>0</v>
      </c>
      <c r="AJ145" s="109" t="s">
        <v>75</v>
      </c>
      <c r="AK145" s="109" t="s">
        <v>228</v>
      </c>
      <c r="AL145" s="109" t="s">
        <v>1108</v>
      </c>
      <c r="AM145" s="109" t="s">
        <v>81</v>
      </c>
      <c r="AN145" s="109" t="s">
        <v>81</v>
      </c>
      <c r="AO145" s="109" t="s">
        <v>78</v>
      </c>
      <c r="AP145" s="109" t="s">
        <v>75</v>
      </c>
      <c r="AQ145" s="109">
        <v>1</v>
      </c>
      <c r="AR145" s="109" t="s">
        <v>126</v>
      </c>
    </row>
    <row r="146" spans="1:44" ht="30.6" customHeight="1" x14ac:dyDescent="0.45">
      <c r="A146" s="104" t="s">
        <v>1133</v>
      </c>
      <c r="B146" s="125" t="s">
        <v>1134</v>
      </c>
      <c r="C146" s="105">
        <v>2016</v>
      </c>
      <c r="D146" s="105" t="s">
        <v>516</v>
      </c>
      <c r="E146" s="105" t="s">
        <v>78</v>
      </c>
      <c r="F146" s="105" t="s">
        <v>569</v>
      </c>
      <c r="G146" s="105" t="s">
        <v>519</v>
      </c>
      <c r="H146" s="105" t="s">
        <v>587</v>
      </c>
      <c r="I146" s="106" t="s">
        <v>256</v>
      </c>
      <c r="J146" s="104" t="s">
        <v>689</v>
      </c>
      <c r="K146" s="104" t="s">
        <v>81</v>
      </c>
      <c r="L146" s="107" t="s">
        <v>126</v>
      </c>
      <c r="M146" s="107">
        <v>150614905</v>
      </c>
      <c r="N146" s="104">
        <v>108689935.99041662</v>
      </c>
      <c r="O146" s="104">
        <v>150614905</v>
      </c>
      <c r="P146" s="104">
        <v>97887340.109999999</v>
      </c>
      <c r="Q146" s="104">
        <v>97887340.109999999</v>
      </c>
      <c r="R146" s="104">
        <v>135645423.81063029</v>
      </c>
      <c r="S146" s="104">
        <v>87038921.450000003</v>
      </c>
      <c r="T146" s="104">
        <v>87038921.450000003</v>
      </c>
      <c r="U146" s="112">
        <v>120612444.6209085</v>
      </c>
      <c r="V146" s="107" t="s">
        <v>81</v>
      </c>
      <c r="W146" s="104" t="s">
        <v>78</v>
      </c>
      <c r="X146" s="104" t="s">
        <v>81</v>
      </c>
      <c r="Y146" s="104" t="s">
        <v>78</v>
      </c>
      <c r="Z146" s="104" t="s">
        <v>81</v>
      </c>
      <c r="AA146" s="104">
        <v>0</v>
      </c>
      <c r="AB146" s="108" t="s">
        <v>78</v>
      </c>
      <c r="AC146" s="104">
        <v>0</v>
      </c>
      <c r="AD146" s="105" t="s">
        <v>78</v>
      </c>
      <c r="AE146" s="104">
        <v>0</v>
      </c>
      <c r="AF146" s="104" t="s">
        <v>78</v>
      </c>
      <c r="AG146" s="104">
        <v>0</v>
      </c>
      <c r="AH146" s="109" t="s">
        <v>81</v>
      </c>
      <c r="AI146" s="109" t="s">
        <v>78</v>
      </c>
      <c r="AJ146" s="109" t="s">
        <v>81</v>
      </c>
      <c r="AK146" s="109" t="s">
        <v>78</v>
      </c>
      <c r="AL146" s="109" t="s">
        <v>78</v>
      </c>
      <c r="AM146" s="109" t="s">
        <v>81</v>
      </c>
      <c r="AN146" s="109" t="s">
        <v>81</v>
      </c>
      <c r="AO146" s="109" t="s">
        <v>78</v>
      </c>
      <c r="AP146" s="109" t="s">
        <v>81</v>
      </c>
      <c r="AQ146" s="109">
        <v>1</v>
      </c>
      <c r="AR146" s="109" t="s">
        <v>126</v>
      </c>
    </row>
    <row r="147" spans="1:44" ht="30.6" customHeight="1" x14ac:dyDescent="0.45">
      <c r="A147" s="104" t="s">
        <v>1135</v>
      </c>
      <c r="B147" s="125" t="s">
        <v>1136</v>
      </c>
      <c r="C147" s="105">
        <v>2016</v>
      </c>
      <c r="D147" s="105" t="s">
        <v>87</v>
      </c>
      <c r="E147" s="105" t="s">
        <v>1137</v>
      </c>
      <c r="F147" s="105" t="s">
        <v>87</v>
      </c>
      <c r="G147" s="105" t="s">
        <v>87</v>
      </c>
      <c r="H147" s="105" t="s">
        <v>589</v>
      </c>
      <c r="I147" s="106" t="s">
        <v>256</v>
      </c>
      <c r="J147" s="104" t="s">
        <v>679</v>
      </c>
      <c r="K147" s="104" t="s">
        <v>75</v>
      </c>
      <c r="L147" s="107" t="s">
        <v>126</v>
      </c>
      <c r="M147" s="107">
        <v>4000000</v>
      </c>
      <c r="N147" s="104">
        <v>2886565.2038997496</v>
      </c>
      <c r="O147" s="104">
        <v>3999999.9999999995</v>
      </c>
      <c r="P147" s="104">
        <v>2535852.52</v>
      </c>
      <c r="Q147" s="104">
        <v>2535852.52</v>
      </c>
      <c r="R147" s="104">
        <v>3514006.9125395999</v>
      </c>
      <c r="S147" s="104">
        <v>0</v>
      </c>
      <c r="T147" s="104">
        <v>0</v>
      </c>
      <c r="U147" s="112">
        <v>0</v>
      </c>
      <c r="V147" s="107" t="s">
        <v>81</v>
      </c>
      <c r="W147" s="104" t="s">
        <v>78</v>
      </c>
      <c r="X147" s="104" t="s">
        <v>81</v>
      </c>
      <c r="Y147" s="104" t="s">
        <v>78</v>
      </c>
      <c r="Z147" s="104" t="s">
        <v>81</v>
      </c>
      <c r="AA147" s="104">
        <v>0</v>
      </c>
      <c r="AB147" s="108" t="s">
        <v>78</v>
      </c>
      <c r="AC147" s="104">
        <v>0</v>
      </c>
      <c r="AD147" s="105" t="s">
        <v>78</v>
      </c>
      <c r="AE147" s="104">
        <v>0</v>
      </c>
      <c r="AF147" s="104" t="s">
        <v>78</v>
      </c>
      <c r="AG147" s="104">
        <v>0</v>
      </c>
      <c r="AH147" s="109" t="s">
        <v>81</v>
      </c>
      <c r="AI147" s="109" t="s">
        <v>78</v>
      </c>
      <c r="AJ147" s="109" t="s">
        <v>81</v>
      </c>
      <c r="AK147" s="109" t="s">
        <v>78</v>
      </c>
      <c r="AL147" s="109" t="s">
        <v>78</v>
      </c>
      <c r="AM147" s="109" t="s">
        <v>81</v>
      </c>
      <c r="AN147" s="109" t="s">
        <v>81</v>
      </c>
      <c r="AO147" s="109" t="s">
        <v>78</v>
      </c>
      <c r="AP147" s="109" t="s">
        <v>81</v>
      </c>
      <c r="AQ147" s="109">
        <v>1</v>
      </c>
      <c r="AR147" s="109" t="s">
        <v>126</v>
      </c>
    </row>
    <row r="148" spans="1:44" ht="30.6" customHeight="1" x14ac:dyDescent="0.45">
      <c r="A148" s="104" t="s">
        <v>1138</v>
      </c>
      <c r="B148" s="125" t="s">
        <v>1139</v>
      </c>
      <c r="C148" s="105">
        <v>2016</v>
      </c>
      <c r="D148" s="105" t="s">
        <v>145</v>
      </c>
      <c r="E148" s="105" t="s">
        <v>78</v>
      </c>
      <c r="F148" s="105" t="s">
        <v>543</v>
      </c>
      <c r="G148" s="105" t="s">
        <v>522</v>
      </c>
      <c r="H148" s="105" t="s">
        <v>587</v>
      </c>
      <c r="I148" s="106" t="s">
        <v>256</v>
      </c>
      <c r="J148" s="104" t="s">
        <v>689</v>
      </c>
      <c r="K148" s="104" t="s">
        <v>81</v>
      </c>
      <c r="L148" s="107" t="s">
        <v>74</v>
      </c>
      <c r="M148" s="107">
        <v>325316554</v>
      </c>
      <c r="N148" s="104">
        <v>325316554</v>
      </c>
      <c r="O148" s="104">
        <v>450800908.37441999</v>
      </c>
      <c r="P148" s="104">
        <v>282534354.60000002</v>
      </c>
      <c r="Q148" s="104">
        <v>282534354.60000002</v>
      </c>
      <c r="R148" s="104">
        <v>391516331.19985801</v>
      </c>
      <c r="S148" s="104">
        <v>282534354.60000002</v>
      </c>
      <c r="T148" s="104">
        <v>282534354.60000002</v>
      </c>
      <c r="U148" s="112">
        <v>391516331.19985801</v>
      </c>
      <c r="V148" s="107" t="s">
        <v>81</v>
      </c>
      <c r="W148" s="104" t="s">
        <v>78</v>
      </c>
      <c r="X148" s="104" t="s">
        <v>81</v>
      </c>
      <c r="Y148" s="104" t="s">
        <v>78</v>
      </c>
      <c r="Z148" s="104" t="s">
        <v>81</v>
      </c>
      <c r="AA148" s="104">
        <v>0</v>
      </c>
      <c r="AB148" s="108" t="s">
        <v>78</v>
      </c>
      <c r="AC148" s="104">
        <v>0</v>
      </c>
      <c r="AD148" s="105" t="s">
        <v>78</v>
      </c>
      <c r="AE148" s="104">
        <v>0</v>
      </c>
      <c r="AF148" s="104" t="s">
        <v>78</v>
      </c>
      <c r="AG148" s="104">
        <v>0</v>
      </c>
      <c r="AH148" s="109" t="s">
        <v>81</v>
      </c>
      <c r="AI148" s="109" t="s">
        <v>78</v>
      </c>
      <c r="AJ148" s="109" t="s">
        <v>81</v>
      </c>
      <c r="AK148" s="109" t="s">
        <v>78</v>
      </c>
      <c r="AL148" s="109" t="s">
        <v>78</v>
      </c>
      <c r="AM148" s="109" t="s">
        <v>81</v>
      </c>
      <c r="AN148" s="109" t="s">
        <v>81</v>
      </c>
      <c r="AO148" s="109" t="s">
        <v>78</v>
      </c>
      <c r="AP148" s="109" t="s">
        <v>81</v>
      </c>
      <c r="AQ148" s="109">
        <v>1</v>
      </c>
      <c r="AR148" s="109" t="s">
        <v>74</v>
      </c>
    </row>
    <row r="149" spans="1:44" ht="30.6" customHeight="1" x14ac:dyDescent="0.45">
      <c r="A149" s="104" t="s">
        <v>1140</v>
      </c>
      <c r="B149" s="125" t="s">
        <v>1141</v>
      </c>
      <c r="C149" s="105">
        <v>2016</v>
      </c>
      <c r="D149" s="105" t="s">
        <v>184</v>
      </c>
      <c r="E149" s="105" t="s">
        <v>78</v>
      </c>
      <c r="F149" s="105" t="s">
        <v>554</v>
      </c>
      <c r="G149" s="105" t="s">
        <v>520</v>
      </c>
      <c r="H149" s="105" t="s">
        <v>577</v>
      </c>
      <c r="I149" s="106" t="s">
        <v>115</v>
      </c>
      <c r="J149" s="104" t="s">
        <v>689</v>
      </c>
      <c r="K149" s="104" t="s">
        <v>81</v>
      </c>
      <c r="L149" s="107" t="s">
        <v>126</v>
      </c>
      <c r="M149" s="107">
        <v>1000000</v>
      </c>
      <c r="N149" s="104">
        <v>721641.30097493739</v>
      </c>
      <c r="O149" s="104">
        <v>999999.99999999988</v>
      </c>
      <c r="P149" s="104">
        <v>723227.91</v>
      </c>
      <c r="Q149" s="104">
        <v>723227.91</v>
      </c>
      <c r="R149" s="104">
        <v>1002198.6117243</v>
      </c>
      <c r="S149" s="104">
        <v>723227.91</v>
      </c>
      <c r="T149" s="104">
        <v>723227.91</v>
      </c>
      <c r="U149" s="112">
        <v>1002198.6117243</v>
      </c>
      <c r="V149" s="107" t="s">
        <v>75</v>
      </c>
      <c r="W149" s="104" t="s">
        <v>1142</v>
      </c>
      <c r="X149" s="104" t="s">
        <v>75</v>
      </c>
      <c r="Y149" s="104" t="s">
        <v>1143</v>
      </c>
      <c r="Z149" s="104" t="s">
        <v>75</v>
      </c>
      <c r="AA149" s="104">
        <v>0</v>
      </c>
      <c r="AB149" s="108" t="s">
        <v>78</v>
      </c>
      <c r="AC149" s="104">
        <v>999</v>
      </c>
      <c r="AD149" s="105" t="s">
        <v>1144</v>
      </c>
      <c r="AE149" s="104">
        <v>999</v>
      </c>
      <c r="AF149" s="104" t="s">
        <v>1145</v>
      </c>
      <c r="AG149" s="104">
        <v>2</v>
      </c>
      <c r="AH149" s="109" t="s">
        <v>75</v>
      </c>
      <c r="AI149" s="109" t="s">
        <v>1146</v>
      </c>
      <c r="AJ149" s="109" t="s">
        <v>75</v>
      </c>
      <c r="AK149" s="109" t="s">
        <v>72</v>
      </c>
      <c r="AL149" s="109" t="s">
        <v>1147</v>
      </c>
      <c r="AM149" s="109" t="s">
        <v>81</v>
      </c>
      <c r="AN149" s="109" t="s">
        <v>75</v>
      </c>
      <c r="AO149" s="109" t="s">
        <v>78</v>
      </c>
      <c r="AP149" s="109" t="s">
        <v>75</v>
      </c>
      <c r="AQ149" s="109">
        <v>1</v>
      </c>
      <c r="AR149" s="109" t="s">
        <v>126</v>
      </c>
    </row>
    <row r="150" spans="1:44" ht="30.6" customHeight="1" x14ac:dyDescent="0.45">
      <c r="A150" s="104" t="s">
        <v>1148</v>
      </c>
      <c r="B150" s="125" t="s">
        <v>1149</v>
      </c>
      <c r="C150" s="105">
        <v>2016</v>
      </c>
      <c r="D150" s="105" t="s">
        <v>184</v>
      </c>
      <c r="E150" s="105" t="s">
        <v>78</v>
      </c>
      <c r="F150" s="105" t="s">
        <v>554</v>
      </c>
      <c r="G150" s="105" t="s">
        <v>520</v>
      </c>
      <c r="H150" s="105" t="s">
        <v>597</v>
      </c>
      <c r="I150" s="106" t="s">
        <v>101</v>
      </c>
      <c r="J150" s="104" t="s">
        <v>689</v>
      </c>
      <c r="K150" s="104" t="s">
        <v>81</v>
      </c>
      <c r="L150" s="107" t="s">
        <v>126</v>
      </c>
      <c r="M150" s="107">
        <v>600000000</v>
      </c>
      <c r="N150" s="104">
        <v>432984780.58496249</v>
      </c>
      <c r="O150" s="104">
        <v>600000000</v>
      </c>
      <c r="P150" s="104">
        <v>433936746.5</v>
      </c>
      <c r="Q150" s="104">
        <v>433936746.5</v>
      </c>
      <c r="R150" s="104">
        <v>601319167.72744501</v>
      </c>
      <c r="S150" s="104">
        <v>433936746.5</v>
      </c>
      <c r="T150" s="104">
        <v>433936746.5</v>
      </c>
      <c r="U150" s="112">
        <v>601319167.72744501</v>
      </c>
      <c r="V150" s="107" t="s">
        <v>81</v>
      </c>
      <c r="W150" s="104" t="s">
        <v>78</v>
      </c>
      <c r="X150" s="104" t="s">
        <v>81</v>
      </c>
      <c r="Y150" s="104" t="s">
        <v>78</v>
      </c>
      <c r="Z150" s="104" t="s">
        <v>81</v>
      </c>
      <c r="AA150" s="104">
        <v>0</v>
      </c>
      <c r="AB150" s="108" t="s">
        <v>78</v>
      </c>
      <c r="AC150" s="104">
        <v>0</v>
      </c>
      <c r="AD150" s="105" t="s">
        <v>78</v>
      </c>
      <c r="AE150" s="104">
        <v>0</v>
      </c>
      <c r="AF150" s="104" t="s">
        <v>78</v>
      </c>
      <c r="AG150" s="104">
        <v>0</v>
      </c>
      <c r="AH150" s="109" t="s">
        <v>81</v>
      </c>
      <c r="AI150" s="109" t="s">
        <v>78</v>
      </c>
      <c r="AJ150" s="109" t="s">
        <v>81</v>
      </c>
      <c r="AK150" s="109" t="s">
        <v>78</v>
      </c>
      <c r="AL150" s="109" t="s">
        <v>78</v>
      </c>
      <c r="AM150" s="109" t="s">
        <v>81</v>
      </c>
      <c r="AN150" s="109" t="s">
        <v>81</v>
      </c>
      <c r="AO150" s="109" t="s">
        <v>78</v>
      </c>
      <c r="AP150" s="109" t="s">
        <v>81</v>
      </c>
      <c r="AQ150" s="109">
        <v>1</v>
      </c>
      <c r="AR150" s="109" t="s">
        <v>126</v>
      </c>
    </row>
    <row r="151" spans="1:44" ht="30.6" customHeight="1" x14ac:dyDescent="0.45">
      <c r="A151" s="104" t="s">
        <v>1150</v>
      </c>
      <c r="B151" s="125" t="s">
        <v>1151</v>
      </c>
      <c r="C151" s="105">
        <v>2016</v>
      </c>
      <c r="D151" s="105" t="s">
        <v>70</v>
      </c>
      <c r="E151" s="105" t="s">
        <v>78</v>
      </c>
      <c r="F151" s="105" t="s">
        <v>570</v>
      </c>
      <c r="G151" s="105" t="s">
        <v>519</v>
      </c>
      <c r="H151" s="105" t="s">
        <v>579</v>
      </c>
      <c r="I151" s="106" t="s">
        <v>115</v>
      </c>
      <c r="J151" s="104" t="s">
        <v>676</v>
      </c>
      <c r="K151" s="104" t="s">
        <v>81</v>
      </c>
      <c r="L151" s="107" t="s">
        <v>74</v>
      </c>
      <c r="M151" s="107">
        <v>3800000</v>
      </c>
      <c r="N151" s="104">
        <v>3800000</v>
      </c>
      <c r="O151" s="104">
        <v>5265774</v>
      </c>
      <c r="P151" s="104">
        <v>3410000</v>
      </c>
      <c r="Q151" s="104">
        <v>3410000</v>
      </c>
      <c r="R151" s="104">
        <v>4725339.3</v>
      </c>
      <c r="S151" s="104">
        <v>3410000</v>
      </c>
      <c r="T151" s="104">
        <v>3410000</v>
      </c>
      <c r="U151" s="112">
        <v>4725339.3</v>
      </c>
      <c r="V151" s="107" t="s">
        <v>75</v>
      </c>
      <c r="W151" s="104" t="s">
        <v>1152</v>
      </c>
      <c r="X151" s="104" t="s">
        <v>81</v>
      </c>
      <c r="Y151" s="104" t="s">
        <v>78</v>
      </c>
      <c r="Z151" s="104" t="s">
        <v>81</v>
      </c>
      <c r="AA151" s="104">
        <v>0</v>
      </c>
      <c r="AB151" s="108" t="s">
        <v>78</v>
      </c>
      <c r="AC151" s="104">
        <v>0</v>
      </c>
      <c r="AD151" s="105" t="s">
        <v>78</v>
      </c>
      <c r="AE151" s="104">
        <v>0</v>
      </c>
      <c r="AF151" s="104" t="s">
        <v>78</v>
      </c>
      <c r="AG151" s="104">
        <v>0</v>
      </c>
      <c r="AH151" s="109" t="s">
        <v>81</v>
      </c>
      <c r="AI151" s="109" t="s">
        <v>78</v>
      </c>
      <c r="AJ151" s="109" t="s">
        <v>75</v>
      </c>
      <c r="AK151" s="109" t="s">
        <v>228</v>
      </c>
      <c r="AL151" s="109" t="s">
        <v>934</v>
      </c>
      <c r="AM151" s="109" t="s">
        <v>75</v>
      </c>
      <c r="AN151" s="109" t="s">
        <v>81</v>
      </c>
      <c r="AO151" s="109" t="s">
        <v>78</v>
      </c>
      <c r="AP151" s="109" t="s">
        <v>81</v>
      </c>
      <c r="AQ151" s="109">
        <v>1</v>
      </c>
      <c r="AR151" s="109" t="s">
        <v>74</v>
      </c>
    </row>
    <row r="152" spans="1:44" ht="30.6" customHeight="1" x14ac:dyDescent="0.45">
      <c r="A152" s="104" t="s">
        <v>1153</v>
      </c>
      <c r="B152" s="125" t="s">
        <v>1154</v>
      </c>
      <c r="C152" s="105">
        <v>2016</v>
      </c>
      <c r="D152" s="105" t="s">
        <v>87</v>
      </c>
      <c r="E152" s="105" t="s">
        <v>1155</v>
      </c>
      <c r="F152" s="105" t="s">
        <v>87</v>
      </c>
      <c r="G152" s="105" t="s">
        <v>87</v>
      </c>
      <c r="H152" s="105" t="s">
        <v>599</v>
      </c>
      <c r="I152" s="106" t="s">
        <v>101</v>
      </c>
      <c r="J152" s="104" t="s">
        <v>676</v>
      </c>
      <c r="K152" s="104" t="s">
        <v>81</v>
      </c>
      <c r="L152" s="107" t="s">
        <v>74</v>
      </c>
      <c r="M152" s="107">
        <v>7000000</v>
      </c>
      <c r="N152" s="104">
        <v>7000000</v>
      </c>
      <c r="O152" s="104">
        <v>9700110</v>
      </c>
      <c r="P152" s="104">
        <v>7000000</v>
      </c>
      <c r="Q152" s="104">
        <v>7000000</v>
      </c>
      <c r="R152" s="104">
        <v>9700110</v>
      </c>
      <c r="S152" s="104">
        <v>7000000</v>
      </c>
      <c r="T152" s="104">
        <v>7000000</v>
      </c>
      <c r="U152" s="112">
        <v>9700110</v>
      </c>
      <c r="V152" s="107" t="s">
        <v>81</v>
      </c>
      <c r="W152" s="104" t="s">
        <v>78</v>
      </c>
      <c r="X152" s="104" t="s">
        <v>81</v>
      </c>
      <c r="Y152" s="104" t="s">
        <v>78</v>
      </c>
      <c r="Z152" s="104" t="s">
        <v>81</v>
      </c>
      <c r="AA152" s="104">
        <v>0</v>
      </c>
      <c r="AB152" s="108" t="s">
        <v>78</v>
      </c>
      <c r="AC152" s="104">
        <v>0</v>
      </c>
      <c r="AD152" s="105" t="s">
        <v>78</v>
      </c>
      <c r="AE152" s="104">
        <v>0</v>
      </c>
      <c r="AF152" s="104" t="s">
        <v>78</v>
      </c>
      <c r="AG152" s="104">
        <v>0</v>
      </c>
      <c r="AH152" s="109" t="s">
        <v>81</v>
      </c>
      <c r="AI152" s="109" t="s">
        <v>78</v>
      </c>
      <c r="AJ152" s="109" t="s">
        <v>81</v>
      </c>
      <c r="AK152" s="109" t="s">
        <v>78</v>
      </c>
      <c r="AL152" s="109" t="s">
        <v>78</v>
      </c>
      <c r="AM152" s="109" t="s">
        <v>81</v>
      </c>
      <c r="AN152" s="109" t="s">
        <v>81</v>
      </c>
      <c r="AO152" s="109" t="s">
        <v>78</v>
      </c>
      <c r="AP152" s="109" t="s">
        <v>81</v>
      </c>
      <c r="AQ152" s="109">
        <v>1</v>
      </c>
      <c r="AR152" s="109" t="s">
        <v>74</v>
      </c>
    </row>
    <row r="153" spans="1:44" ht="30.6" customHeight="1" x14ac:dyDescent="0.45">
      <c r="A153" s="104" t="s">
        <v>1156</v>
      </c>
      <c r="B153" s="125" t="s">
        <v>1157</v>
      </c>
      <c r="C153" s="105">
        <v>2016</v>
      </c>
      <c r="D153" s="105" t="s">
        <v>184</v>
      </c>
      <c r="E153" s="105" t="s">
        <v>78</v>
      </c>
      <c r="F153" s="105" t="s">
        <v>554</v>
      </c>
      <c r="G153" s="105" t="s">
        <v>520</v>
      </c>
      <c r="H153" s="105" t="s">
        <v>571</v>
      </c>
      <c r="I153" s="106" t="s">
        <v>466</v>
      </c>
      <c r="J153" s="104" t="s">
        <v>689</v>
      </c>
      <c r="K153" s="104" t="s">
        <v>81</v>
      </c>
      <c r="L153" s="107" t="s">
        <v>126</v>
      </c>
      <c r="M153" s="107">
        <v>97000000</v>
      </c>
      <c r="N153" s="104">
        <v>69999206.194568932</v>
      </c>
      <c r="O153" s="104">
        <v>97000000</v>
      </c>
      <c r="P153" s="104">
        <v>29396924.780000001</v>
      </c>
      <c r="Q153" s="104">
        <v>29396924.780000001</v>
      </c>
      <c r="R153" s="104">
        <v>40736200.5753894</v>
      </c>
      <c r="S153" s="104">
        <v>29396924.780000001</v>
      </c>
      <c r="T153" s="104">
        <v>29396924.780000001</v>
      </c>
      <c r="U153" s="112">
        <v>40736200.5753894</v>
      </c>
      <c r="V153" s="107" t="s">
        <v>81</v>
      </c>
      <c r="W153" s="104" t="s">
        <v>78</v>
      </c>
      <c r="X153" s="104" t="s">
        <v>81</v>
      </c>
      <c r="Y153" s="104" t="s">
        <v>78</v>
      </c>
      <c r="Z153" s="104" t="s">
        <v>81</v>
      </c>
      <c r="AA153" s="104">
        <v>0</v>
      </c>
      <c r="AB153" s="108" t="s">
        <v>78</v>
      </c>
      <c r="AC153" s="104">
        <v>0</v>
      </c>
      <c r="AD153" s="105" t="s">
        <v>78</v>
      </c>
      <c r="AE153" s="104">
        <v>0</v>
      </c>
      <c r="AF153" s="104" t="s">
        <v>78</v>
      </c>
      <c r="AG153" s="104">
        <v>0</v>
      </c>
      <c r="AH153" s="109" t="s">
        <v>81</v>
      </c>
      <c r="AI153" s="109" t="s">
        <v>78</v>
      </c>
      <c r="AJ153" s="109" t="s">
        <v>81</v>
      </c>
      <c r="AK153" s="109" t="s">
        <v>78</v>
      </c>
      <c r="AL153" s="109" t="s">
        <v>78</v>
      </c>
      <c r="AM153" s="109" t="s">
        <v>81</v>
      </c>
      <c r="AN153" s="109" t="s">
        <v>81</v>
      </c>
      <c r="AO153" s="109" t="s">
        <v>78</v>
      </c>
      <c r="AP153" s="109" t="s">
        <v>81</v>
      </c>
      <c r="AQ153" s="109">
        <v>1</v>
      </c>
      <c r="AR153" s="109" t="s">
        <v>126</v>
      </c>
    </row>
    <row r="154" spans="1:44" ht="30.6" customHeight="1" x14ac:dyDescent="0.45">
      <c r="A154" s="104" t="s">
        <v>1158</v>
      </c>
      <c r="B154" s="125" t="s">
        <v>1159</v>
      </c>
      <c r="C154" s="105">
        <v>2016</v>
      </c>
      <c r="D154" s="105" t="s">
        <v>509</v>
      </c>
      <c r="E154" s="105" t="s">
        <v>78</v>
      </c>
      <c r="F154" s="105" t="s">
        <v>560</v>
      </c>
      <c r="G154" s="105" t="s">
        <v>522</v>
      </c>
      <c r="H154" s="105" t="s">
        <v>599</v>
      </c>
      <c r="I154" s="106" t="s">
        <v>101</v>
      </c>
      <c r="J154" s="104" t="s">
        <v>676</v>
      </c>
      <c r="K154" s="104" t="s">
        <v>81</v>
      </c>
      <c r="L154" s="107" t="s">
        <v>74</v>
      </c>
      <c r="M154" s="107">
        <v>1200000</v>
      </c>
      <c r="N154" s="104">
        <v>1200000</v>
      </c>
      <c r="O154" s="104">
        <v>1662876</v>
      </c>
      <c r="P154" s="104">
        <v>1200000</v>
      </c>
      <c r="Q154" s="104">
        <v>1200000</v>
      </c>
      <c r="R154" s="104">
        <v>1662876</v>
      </c>
      <c r="S154" s="104">
        <v>1200000</v>
      </c>
      <c r="T154" s="104">
        <v>1200000</v>
      </c>
      <c r="U154" s="112">
        <v>1662876</v>
      </c>
      <c r="V154" s="107" t="s">
        <v>81</v>
      </c>
      <c r="W154" s="104" t="s">
        <v>78</v>
      </c>
      <c r="X154" s="104" t="s">
        <v>81</v>
      </c>
      <c r="Y154" s="104" t="s">
        <v>78</v>
      </c>
      <c r="Z154" s="104" t="s">
        <v>81</v>
      </c>
      <c r="AA154" s="104">
        <v>0</v>
      </c>
      <c r="AB154" s="108" t="s">
        <v>78</v>
      </c>
      <c r="AC154" s="104">
        <v>0</v>
      </c>
      <c r="AD154" s="105" t="s">
        <v>78</v>
      </c>
      <c r="AE154" s="104">
        <v>0</v>
      </c>
      <c r="AF154" s="104" t="s">
        <v>78</v>
      </c>
      <c r="AG154" s="104">
        <v>0</v>
      </c>
      <c r="AH154" s="109" t="s">
        <v>81</v>
      </c>
      <c r="AI154" s="109" t="s">
        <v>78</v>
      </c>
      <c r="AJ154" s="109" t="s">
        <v>81</v>
      </c>
      <c r="AK154" s="109" t="s">
        <v>78</v>
      </c>
      <c r="AL154" s="109" t="s">
        <v>78</v>
      </c>
      <c r="AM154" s="109" t="s">
        <v>81</v>
      </c>
      <c r="AN154" s="109" t="s">
        <v>81</v>
      </c>
      <c r="AO154" s="109" t="s">
        <v>78</v>
      </c>
      <c r="AP154" s="109" t="s">
        <v>81</v>
      </c>
      <c r="AQ154" s="109">
        <v>1</v>
      </c>
      <c r="AR154" s="109" t="s">
        <v>74</v>
      </c>
    </row>
    <row r="155" spans="1:44" ht="30.6" customHeight="1" x14ac:dyDescent="0.45">
      <c r="A155" s="104" t="s">
        <v>1160</v>
      </c>
      <c r="B155" s="125" t="s">
        <v>1161</v>
      </c>
      <c r="C155" s="105">
        <v>2016</v>
      </c>
      <c r="D155" s="105" t="s">
        <v>497</v>
      </c>
      <c r="E155" s="105" t="s">
        <v>78</v>
      </c>
      <c r="F155" s="105" t="s">
        <v>538</v>
      </c>
      <c r="G155" s="105" t="s">
        <v>520</v>
      </c>
      <c r="H155" s="105" t="s">
        <v>228</v>
      </c>
      <c r="I155" s="106" t="s">
        <v>228</v>
      </c>
      <c r="J155" s="104" t="s">
        <v>679</v>
      </c>
      <c r="K155" s="104" t="s">
        <v>81</v>
      </c>
      <c r="L155" s="107" t="s">
        <v>126</v>
      </c>
      <c r="M155" s="107">
        <v>46416100</v>
      </c>
      <c r="N155" s="104">
        <v>33495774.790182795</v>
      </c>
      <c r="O155" s="104">
        <v>46416100</v>
      </c>
      <c r="P155" s="104">
        <v>18696598.670000002</v>
      </c>
      <c r="Q155" s="104">
        <v>18696598.670000002</v>
      </c>
      <c r="R155" s="104">
        <v>25908437.674979102</v>
      </c>
      <c r="S155" s="104">
        <v>10125190.75</v>
      </c>
      <c r="T155" s="104">
        <v>10125190.75</v>
      </c>
      <c r="U155" s="112">
        <v>14030780.577997498</v>
      </c>
      <c r="V155" s="107" t="s">
        <v>81</v>
      </c>
      <c r="W155" s="104" t="s">
        <v>78</v>
      </c>
      <c r="X155" s="104" t="s">
        <v>81</v>
      </c>
      <c r="Y155" s="104" t="s">
        <v>78</v>
      </c>
      <c r="Z155" s="104" t="s">
        <v>81</v>
      </c>
      <c r="AA155" s="104">
        <v>0</v>
      </c>
      <c r="AB155" s="108" t="s">
        <v>78</v>
      </c>
      <c r="AC155" s="104">
        <v>0</v>
      </c>
      <c r="AD155" s="105" t="s">
        <v>78</v>
      </c>
      <c r="AE155" s="104">
        <v>0</v>
      </c>
      <c r="AF155" s="104" t="s">
        <v>78</v>
      </c>
      <c r="AG155" s="104">
        <v>0</v>
      </c>
      <c r="AH155" s="109" t="s">
        <v>81</v>
      </c>
      <c r="AI155" s="109" t="s">
        <v>78</v>
      </c>
      <c r="AJ155" s="109" t="s">
        <v>81</v>
      </c>
      <c r="AK155" s="109" t="s">
        <v>78</v>
      </c>
      <c r="AL155" s="109" t="s">
        <v>78</v>
      </c>
      <c r="AM155" s="109" t="s">
        <v>81</v>
      </c>
      <c r="AN155" s="109" t="s">
        <v>81</v>
      </c>
      <c r="AO155" s="109" t="s">
        <v>78</v>
      </c>
      <c r="AP155" s="109" t="s">
        <v>81</v>
      </c>
      <c r="AQ155" s="109">
        <v>1</v>
      </c>
      <c r="AR155" s="109" t="s">
        <v>126</v>
      </c>
    </row>
    <row r="156" spans="1:44" ht="30.6" customHeight="1" x14ac:dyDescent="0.45">
      <c r="A156" s="104" t="s">
        <v>1162</v>
      </c>
      <c r="B156" s="125" t="s">
        <v>1163</v>
      </c>
      <c r="C156" s="105">
        <v>2016</v>
      </c>
      <c r="D156" s="105" t="s">
        <v>501</v>
      </c>
      <c r="E156" s="105" t="s">
        <v>78</v>
      </c>
      <c r="F156" s="105" t="s">
        <v>551</v>
      </c>
      <c r="G156" s="105" t="s">
        <v>519</v>
      </c>
      <c r="H156" s="105" t="s">
        <v>585</v>
      </c>
      <c r="I156" s="106" t="s">
        <v>228</v>
      </c>
      <c r="J156" s="104" t="s">
        <v>676</v>
      </c>
      <c r="K156" s="104" t="s">
        <v>81</v>
      </c>
      <c r="L156" s="107" t="s">
        <v>74</v>
      </c>
      <c r="M156" s="107">
        <v>16000000</v>
      </c>
      <c r="N156" s="104">
        <v>16000000</v>
      </c>
      <c r="O156" s="104">
        <v>22171680</v>
      </c>
      <c r="P156" s="104">
        <v>16000000</v>
      </c>
      <c r="Q156" s="104">
        <v>16000000</v>
      </c>
      <c r="R156" s="104">
        <v>22171680</v>
      </c>
      <c r="S156" s="104">
        <v>16000000</v>
      </c>
      <c r="T156" s="104">
        <v>16000000</v>
      </c>
      <c r="U156" s="112">
        <v>22171680</v>
      </c>
      <c r="V156" s="107" t="s">
        <v>81</v>
      </c>
      <c r="W156" s="104" t="s">
        <v>78</v>
      </c>
      <c r="X156" s="104" t="s">
        <v>81</v>
      </c>
      <c r="Y156" s="104" t="s">
        <v>78</v>
      </c>
      <c r="Z156" s="104" t="s">
        <v>81</v>
      </c>
      <c r="AA156" s="104">
        <v>0</v>
      </c>
      <c r="AB156" s="108" t="s">
        <v>78</v>
      </c>
      <c r="AC156" s="104">
        <v>0</v>
      </c>
      <c r="AD156" s="105" t="s">
        <v>78</v>
      </c>
      <c r="AE156" s="104">
        <v>0</v>
      </c>
      <c r="AF156" s="104" t="s">
        <v>78</v>
      </c>
      <c r="AG156" s="104">
        <v>0</v>
      </c>
      <c r="AH156" s="109" t="s">
        <v>81</v>
      </c>
      <c r="AI156" s="109" t="s">
        <v>78</v>
      </c>
      <c r="AJ156" s="109" t="s">
        <v>81</v>
      </c>
      <c r="AK156" s="109" t="s">
        <v>78</v>
      </c>
      <c r="AL156" s="109" t="s">
        <v>78</v>
      </c>
      <c r="AM156" s="109" t="s">
        <v>81</v>
      </c>
      <c r="AN156" s="109" t="s">
        <v>81</v>
      </c>
      <c r="AO156" s="109" t="s">
        <v>78</v>
      </c>
      <c r="AP156" s="109" t="s">
        <v>81</v>
      </c>
      <c r="AQ156" s="109">
        <v>1</v>
      </c>
      <c r="AR156" s="109" t="s">
        <v>74</v>
      </c>
    </row>
    <row r="157" spans="1:44" ht="30.6" customHeight="1" x14ac:dyDescent="0.45">
      <c r="A157" s="104" t="s">
        <v>1164</v>
      </c>
      <c r="B157" s="125" t="s">
        <v>1165</v>
      </c>
      <c r="C157" s="105">
        <v>2016</v>
      </c>
      <c r="D157" s="105" t="s">
        <v>87</v>
      </c>
      <c r="E157" s="105" t="s">
        <v>937</v>
      </c>
      <c r="F157" s="105" t="s">
        <v>87</v>
      </c>
      <c r="G157" s="105" t="s">
        <v>87</v>
      </c>
      <c r="H157" s="105" t="s">
        <v>584</v>
      </c>
      <c r="I157" s="106" t="s">
        <v>228</v>
      </c>
      <c r="J157" s="104" t="s">
        <v>679</v>
      </c>
      <c r="K157" s="104" t="s">
        <v>75</v>
      </c>
      <c r="L157" s="107" t="s">
        <v>126</v>
      </c>
      <c r="M157" s="107">
        <v>250000000</v>
      </c>
      <c r="N157" s="104">
        <v>180410325.24373436</v>
      </c>
      <c r="O157" s="104">
        <v>250000000</v>
      </c>
      <c r="P157" s="104">
        <v>8158010.8300000001</v>
      </c>
      <c r="Q157" s="104">
        <v>8158010.8300000001</v>
      </c>
      <c r="R157" s="104">
        <v>11304800.3474559</v>
      </c>
      <c r="S157" s="104">
        <v>0</v>
      </c>
      <c r="T157" s="104">
        <v>0</v>
      </c>
      <c r="U157" s="112">
        <v>0</v>
      </c>
      <c r="V157" s="107" t="s">
        <v>81</v>
      </c>
      <c r="W157" s="104" t="s">
        <v>78</v>
      </c>
      <c r="X157" s="104" t="s">
        <v>81</v>
      </c>
      <c r="Y157" s="104" t="s">
        <v>78</v>
      </c>
      <c r="Z157" s="104" t="s">
        <v>81</v>
      </c>
      <c r="AA157" s="104">
        <v>0</v>
      </c>
      <c r="AB157" s="108" t="s">
        <v>78</v>
      </c>
      <c r="AC157" s="104">
        <v>0</v>
      </c>
      <c r="AD157" s="105" t="s">
        <v>78</v>
      </c>
      <c r="AE157" s="104">
        <v>0</v>
      </c>
      <c r="AF157" s="104" t="s">
        <v>78</v>
      </c>
      <c r="AG157" s="104">
        <v>0</v>
      </c>
      <c r="AH157" s="109" t="s">
        <v>81</v>
      </c>
      <c r="AI157" s="109" t="s">
        <v>78</v>
      </c>
      <c r="AJ157" s="109" t="s">
        <v>81</v>
      </c>
      <c r="AK157" s="109" t="s">
        <v>78</v>
      </c>
      <c r="AL157" s="109" t="s">
        <v>78</v>
      </c>
      <c r="AM157" s="109" t="s">
        <v>81</v>
      </c>
      <c r="AN157" s="109" t="s">
        <v>81</v>
      </c>
      <c r="AO157" s="109" t="s">
        <v>78</v>
      </c>
      <c r="AP157" s="109" t="s">
        <v>81</v>
      </c>
      <c r="AQ157" s="109">
        <v>1</v>
      </c>
      <c r="AR157" s="109" t="s">
        <v>126</v>
      </c>
    </row>
    <row r="158" spans="1:44" ht="30.6" customHeight="1" x14ac:dyDescent="0.45">
      <c r="A158" s="104" t="s">
        <v>1166</v>
      </c>
      <c r="B158" s="125" t="s">
        <v>1167</v>
      </c>
      <c r="C158" s="105">
        <v>2016</v>
      </c>
      <c r="D158" s="105" t="s">
        <v>87</v>
      </c>
      <c r="E158" s="105" t="s">
        <v>937</v>
      </c>
      <c r="F158" s="105" t="s">
        <v>87</v>
      </c>
      <c r="G158" s="105" t="s">
        <v>87</v>
      </c>
      <c r="H158" s="105" t="s">
        <v>585</v>
      </c>
      <c r="I158" s="106" t="s">
        <v>228</v>
      </c>
      <c r="J158" s="104" t="s">
        <v>679</v>
      </c>
      <c r="K158" s="104" t="s">
        <v>81</v>
      </c>
      <c r="L158" s="107" t="s">
        <v>126</v>
      </c>
      <c r="M158" s="107">
        <v>142000000</v>
      </c>
      <c r="N158" s="104">
        <v>102473064.73844112</v>
      </c>
      <c r="O158" s="104">
        <v>142000000</v>
      </c>
      <c r="P158" s="104">
        <v>96189312.140000001</v>
      </c>
      <c r="Q158" s="104">
        <v>96189312.140000001</v>
      </c>
      <c r="R158" s="104">
        <v>133292415.51176219</v>
      </c>
      <c r="S158" s="104">
        <v>72322791.079999998</v>
      </c>
      <c r="T158" s="104">
        <v>72322791.079999998</v>
      </c>
      <c r="U158" s="112">
        <v>100219861.28328839</v>
      </c>
      <c r="V158" s="107" t="s">
        <v>81</v>
      </c>
      <c r="W158" s="104" t="s">
        <v>78</v>
      </c>
      <c r="X158" s="104" t="s">
        <v>81</v>
      </c>
      <c r="Y158" s="104" t="s">
        <v>78</v>
      </c>
      <c r="Z158" s="104" t="s">
        <v>81</v>
      </c>
      <c r="AA158" s="104">
        <v>0</v>
      </c>
      <c r="AB158" s="108" t="s">
        <v>78</v>
      </c>
      <c r="AC158" s="104">
        <v>0</v>
      </c>
      <c r="AD158" s="105" t="s">
        <v>78</v>
      </c>
      <c r="AE158" s="104">
        <v>0</v>
      </c>
      <c r="AF158" s="104" t="s">
        <v>78</v>
      </c>
      <c r="AG158" s="104">
        <v>0</v>
      </c>
      <c r="AH158" s="109" t="s">
        <v>81</v>
      </c>
      <c r="AI158" s="109" t="s">
        <v>78</v>
      </c>
      <c r="AJ158" s="109" t="s">
        <v>81</v>
      </c>
      <c r="AK158" s="109" t="s">
        <v>78</v>
      </c>
      <c r="AL158" s="109" t="s">
        <v>78</v>
      </c>
      <c r="AM158" s="109" t="s">
        <v>81</v>
      </c>
      <c r="AN158" s="109" t="s">
        <v>81</v>
      </c>
      <c r="AO158" s="109" t="s">
        <v>78</v>
      </c>
      <c r="AP158" s="109" t="s">
        <v>81</v>
      </c>
      <c r="AQ158" s="109">
        <v>1</v>
      </c>
      <c r="AR158" s="109" t="s">
        <v>126</v>
      </c>
    </row>
    <row r="159" spans="1:44" ht="30.6" customHeight="1" x14ac:dyDescent="0.45">
      <c r="A159" s="104" t="s">
        <v>1168</v>
      </c>
      <c r="B159" s="125" t="s">
        <v>1169</v>
      </c>
      <c r="C159" s="105">
        <v>2016</v>
      </c>
      <c r="D159" s="105" t="s">
        <v>371</v>
      </c>
      <c r="E159" s="105" t="s">
        <v>78</v>
      </c>
      <c r="F159" s="105" t="s">
        <v>542</v>
      </c>
      <c r="G159" s="105" t="s">
        <v>520</v>
      </c>
      <c r="H159" s="105" t="s">
        <v>72</v>
      </c>
      <c r="I159" s="106" t="s">
        <v>72</v>
      </c>
      <c r="J159" s="104" t="s">
        <v>689</v>
      </c>
      <c r="K159" s="104" t="s">
        <v>81</v>
      </c>
      <c r="L159" s="107" t="s">
        <v>126</v>
      </c>
      <c r="M159" s="107">
        <v>1000000</v>
      </c>
      <c r="N159" s="104">
        <v>721641.30097493739</v>
      </c>
      <c r="O159" s="104">
        <v>999999.99999999988</v>
      </c>
      <c r="P159" s="104">
        <v>723227.91</v>
      </c>
      <c r="Q159" s="104">
        <v>723227.91</v>
      </c>
      <c r="R159" s="104">
        <v>1002198.6117243</v>
      </c>
      <c r="S159" s="104">
        <v>723227.91</v>
      </c>
      <c r="T159" s="104">
        <v>723227.91</v>
      </c>
      <c r="U159" s="112">
        <v>1002198.6117243</v>
      </c>
      <c r="V159" s="107" t="s">
        <v>75</v>
      </c>
      <c r="W159" s="104" t="s">
        <v>1170</v>
      </c>
      <c r="X159" s="104" t="s">
        <v>81</v>
      </c>
      <c r="Y159" s="104" t="s">
        <v>78</v>
      </c>
      <c r="Z159" s="104" t="s">
        <v>75</v>
      </c>
      <c r="AA159" s="104">
        <v>999</v>
      </c>
      <c r="AB159" s="108" t="s">
        <v>1171</v>
      </c>
      <c r="AC159" s="104">
        <v>999</v>
      </c>
      <c r="AD159" s="105" t="s">
        <v>1172</v>
      </c>
      <c r="AE159" s="104">
        <v>0</v>
      </c>
      <c r="AF159" s="104" t="s">
        <v>78</v>
      </c>
      <c r="AG159" s="104">
        <v>2</v>
      </c>
      <c r="AH159" s="109" t="s">
        <v>75</v>
      </c>
      <c r="AI159" s="109" t="s">
        <v>1173</v>
      </c>
      <c r="AJ159" s="109" t="s">
        <v>75</v>
      </c>
      <c r="AK159" s="109" t="s">
        <v>72</v>
      </c>
      <c r="AL159" s="109" t="s">
        <v>1174</v>
      </c>
      <c r="AM159" s="109" t="s">
        <v>81</v>
      </c>
      <c r="AN159" s="109" t="s">
        <v>81</v>
      </c>
      <c r="AO159" s="109" t="s">
        <v>78</v>
      </c>
      <c r="AP159" s="109" t="s">
        <v>81</v>
      </c>
      <c r="AQ159" s="109">
        <v>1</v>
      </c>
      <c r="AR159" s="109" t="s">
        <v>126</v>
      </c>
    </row>
    <row r="160" spans="1:44" ht="30.6" customHeight="1" x14ac:dyDescent="0.45">
      <c r="A160" s="104" t="s">
        <v>1175</v>
      </c>
      <c r="B160" s="125" t="s">
        <v>1176</v>
      </c>
      <c r="C160" s="105">
        <v>2016</v>
      </c>
      <c r="D160" s="105" t="s">
        <v>510</v>
      </c>
      <c r="E160" s="105" t="s">
        <v>78</v>
      </c>
      <c r="F160" s="105" t="s">
        <v>568</v>
      </c>
      <c r="G160" s="105" t="s">
        <v>519</v>
      </c>
      <c r="H160" s="105" t="s">
        <v>597</v>
      </c>
      <c r="I160" s="106" t="s">
        <v>101</v>
      </c>
      <c r="J160" s="104" t="s">
        <v>689</v>
      </c>
      <c r="K160" s="104" t="s">
        <v>81</v>
      </c>
      <c r="L160" s="107" t="s">
        <v>74</v>
      </c>
      <c r="M160" s="107">
        <v>683527</v>
      </c>
      <c r="N160" s="104">
        <v>683527</v>
      </c>
      <c r="O160" s="104">
        <v>947183.86970999988</v>
      </c>
      <c r="P160" s="104">
        <v>683527</v>
      </c>
      <c r="Q160" s="104">
        <v>683527</v>
      </c>
      <c r="R160" s="104">
        <v>947183.86970999988</v>
      </c>
      <c r="S160" s="104">
        <v>683527</v>
      </c>
      <c r="T160" s="104">
        <v>683527</v>
      </c>
      <c r="U160" s="112">
        <v>947183.86970999988</v>
      </c>
      <c r="V160" s="107" t="s">
        <v>81</v>
      </c>
      <c r="W160" s="104" t="s">
        <v>78</v>
      </c>
      <c r="X160" s="104" t="s">
        <v>81</v>
      </c>
      <c r="Y160" s="104" t="s">
        <v>78</v>
      </c>
      <c r="Z160" s="104" t="s">
        <v>81</v>
      </c>
      <c r="AA160" s="104">
        <v>0</v>
      </c>
      <c r="AB160" s="108" t="s">
        <v>78</v>
      </c>
      <c r="AC160" s="104">
        <v>0</v>
      </c>
      <c r="AD160" s="105" t="s">
        <v>78</v>
      </c>
      <c r="AE160" s="104">
        <v>0</v>
      </c>
      <c r="AF160" s="104" t="s">
        <v>78</v>
      </c>
      <c r="AG160" s="104">
        <v>0</v>
      </c>
      <c r="AH160" s="109" t="s">
        <v>81</v>
      </c>
      <c r="AI160" s="109" t="s">
        <v>78</v>
      </c>
      <c r="AJ160" s="109" t="s">
        <v>81</v>
      </c>
      <c r="AK160" s="109" t="s">
        <v>78</v>
      </c>
      <c r="AL160" s="109" t="s">
        <v>78</v>
      </c>
      <c r="AM160" s="109" t="s">
        <v>81</v>
      </c>
      <c r="AN160" s="109" t="s">
        <v>81</v>
      </c>
      <c r="AO160" s="109" t="s">
        <v>78</v>
      </c>
      <c r="AP160" s="109" t="s">
        <v>81</v>
      </c>
      <c r="AQ160" s="109">
        <v>1</v>
      </c>
      <c r="AR160" s="109" t="s">
        <v>74</v>
      </c>
    </row>
    <row r="161" spans="1:44" ht="30.6" customHeight="1" x14ac:dyDescent="0.45">
      <c r="A161" s="104" t="s">
        <v>1177</v>
      </c>
      <c r="B161" s="125" t="s">
        <v>1178</v>
      </c>
      <c r="C161" s="105">
        <v>2016</v>
      </c>
      <c r="D161" s="105" t="s">
        <v>508</v>
      </c>
      <c r="E161" s="105" t="s">
        <v>78</v>
      </c>
      <c r="F161" s="105" t="s">
        <v>558</v>
      </c>
      <c r="G161" s="105" t="s">
        <v>520</v>
      </c>
      <c r="H161" s="105" t="s">
        <v>228</v>
      </c>
      <c r="I161" s="106" t="s">
        <v>228</v>
      </c>
      <c r="J161" s="104" t="s">
        <v>676</v>
      </c>
      <c r="K161" s="104" t="s">
        <v>81</v>
      </c>
      <c r="L161" s="107" t="s">
        <v>74</v>
      </c>
      <c r="M161" s="107">
        <v>545000</v>
      </c>
      <c r="N161" s="104">
        <v>545000</v>
      </c>
      <c r="O161" s="104">
        <v>755222.85</v>
      </c>
      <c r="P161" s="104">
        <v>544500</v>
      </c>
      <c r="Q161" s="104">
        <v>544500</v>
      </c>
      <c r="R161" s="104">
        <v>754529.98499999999</v>
      </c>
      <c r="S161" s="104">
        <v>544500</v>
      </c>
      <c r="T161" s="104">
        <v>544500</v>
      </c>
      <c r="U161" s="112">
        <v>754529.98499999999</v>
      </c>
      <c r="V161" s="107" t="s">
        <v>81</v>
      </c>
      <c r="W161" s="104" t="s">
        <v>78</v>
      </c>
      <c r="X161" s="104" t="s">
        <v>81</v>
      </c>
      <c r="Y161" s="104" t="s">
        <v>78</v>
      </c>
      <c r="Z161" s="104" t="s">
        <v>81</v>
      </c>
      <c r="AA161" s="104">
        <v>0</v>
      </c>
      <c r="AB161" s="108" t="s">
        <v>78</v>
      </c>
      <c r="AC161" s="104">
        <v>0</v>
      </c>
      <c r="AD161" s="105" t="s">
        <v>78</v>
      </c>
      <c r="AE161" s="104">
        <v>0</v>
      </c>
      <c r="AF161" s="104" t="s">
        <v>78</v>
      </c>
      <c r="AG161" s="104">
        <v>0</v>
      </c>
      <c r="AH161" s="109" t="s">
        <v>81</v>
      </c>
      <c r="AI161" s="109" t="s">
        <v>78</v>
      </c>
      <c r="AJ161" s="109" t="s">
        <v>81</v>
      </c>
      <c r="AK161" s="109" t="s">
        <v>78</v>
      </c>
      <c r="AL161" s="109" t="s">
        <v>78</v>
      </c>
      <c r="AM161" s="109" t="s">
        <v>81</v>
      </c>
      <c r="AN161" s="109" t="s">
        <v>81</v>
      </c>
      <c r="AO161" s="109" t="s">
        <v>78</v>
      </c>
      <c r="AP161" s="109" t="s">
        <v>81</v>
      </c>
      <c r="AQ161" s="109">
        <v>1</v>
      </c>
      <c r="AR161" s="109" t="s">
        <v>74</v>
      </c>
    </row>
    <row r="162" spans="1:44" ht="30.6" customHeight="1" x14ac:dyDescent="0.45">
      <c r="A162" s="104" t="s">
        <v>1179</v>
      </c>
      <c r="B162" s="125" t="s">
        <v>1180</v>
      </c>
      <c r="C162" s="105">
        <v>2016</v>
      </c>
      <c r="D162" s="105" t="s">
        <v>87</v>
      </c>
      <c r="E162" s="105" t="s">
        <v>937</v>
      </c>
      <c r="F162" s="105" t="s">
        <v>87</v>
      </c>
      <c r="G162" s="105" t="s">
        <v>87</v>
      </c>
      <c r="H162" s="105" t="s">
        <v>466</v>
      </c>
      <c r="I162" s="106" t="s">
        <v>466</v>
      </c>
      <c r="J162" s="104" t="s">
        <v>676</v>
      </c>
      <c r="K162" s="104" t="s">
        <v>81</v>
      </c>
      <c r="L162" s="107" t="s">
        <v>74</v>
      </c>
      <c r="M162" s="107">
        <v>2730000</v>
      </c>
      <c r="N162" s="104">
        <v>2730000</v>
      </c>
      <c r="O162" s="104">
        <v>3783042.9</v>
      </c>
      <c r="P162" s="104">
        <v>2730000</v>
      </c>
      <c r="Q162" s="104">
        <v>2730000</v>
      </c>
      <c r="R162" s="104">
        <v>3783042.9</v>
      </c>
      <c r="S162" s="104">
        <v>2730000</v>
      </c>
      <c r="T162" s="104">
        <v>2730000</v>
      </c>
      <c r="U162" s="112">
        <v>3783042.9</v>
      </c>
      <c r="V162" s="107" t="s">
        <v>81</v>
      </c>
      <c r="W162" s="104" t="s">
        <v>78</v>
      </c>
      <c r="X162" s="104" t="s">
        <v>81</v>
      </c>
      <c r="Y162" s="104" t="s">
        <v>78</v>
      </c>
      <c r="Z162" s="104" t="s">
        <v>81</v>
      </c>
      <c r="AA162" s="104">
        <v>0</v>
      </c>
      <c r="AB162" s="108" t="s">
        <v>78</v>
      </c>
      <c r="AC162" s="104">
        <v>0</v>
      </c>
      <c r="AD162" s="105" t="s">
        <v>78</v>
      </c>
      <c r="AE162" s="104">
        <v>0</v>
      </c>
      <c r="AF162" s="104" t="s">
        <v>78</v>
      </c>
      <c r="AG162" s="104">
        <v>0</v>
      </c>
      <c r="AH162" s="109" t="s">
        <v>81</v>
      </c>
      <c r="AI162" s="109" t="s">
        <v>78</v>
      </c>
      <c r="AJ162" s="109" t="s">
        <v>81</v>
      </c>
      <c r="AK162" s="109" t="s">
        <v>78</v>
      </c>
      <c r="AL162" s="109" t="s">
        <v>78</v>
      </c>
      <c r="AM162" s="109" t="s">
        <v>81</v>
      </c>
      <c r="AN162" s="109" t="s">
        <v>81</v>
      </c>
      <c r="AO162" s="109" t="s">
        <v>78</v>
      </c>
      <c r="AP162" s="109" t="s">
        <v>81</v>
      </c>
      <c r="AQ162" s="109">
        <v>1</v>
      </c>
      <c r="AR162" s="109" t="s">
        <v>74</v>
      </c>
    </row>
    <row r="163" spans="1:44" ht="30.6" customHeight="1" x14ac:dyDescent="0.45">
      <c r="A163" s="104" t="s">
        <v>1181</v>
      </c>
      <c r="B163" s="125" t="s">
        <v>1182</v>
      </c>
      <c r="C163" s="105">
        <v>2016</v>
      </c>
      <c r="D163" s="105" t="s">
        <v>445</v>
      </c>
      <c r="E163" s="105" t="s">
        <v>78</v>
      </c>
      <c r="F163" s="105" t="s">
        <v>552</v>
      </c>
      <c r="G163" s="105" t="s">
        <v>519</v>
      </c>
      <c r="H163" s="105" t="s">
        <v>589</v>
      </c>
      <c r="I163" s="106" t="s">
        <v>256</v>
      </c>
      <c r="J163" s="104" t="s">
        <v>679</v>
      </c>
      <c r="K163" s="104" t="s">
        <v>75</v>
      </c>
      <c r="L163" s="107" t="s">
        <v>104</v>
      </c>
      <c r="M163" s="107">
        <v>1600000</v>
      </c>
      <c r="N163" s="104">
        <v>1257041.3959444703</v>
      </c>
      <c r="O163" s="104">
        <v>1741919.9736021308</v>
      </c>
      <c r="P163" s="104">
        <v>1312335.96</v>
      </c>
      <c r="Q163" s="104">
        <v>1312335.96</v>
      </c>
      <c r="R163" s="104">
        <v>1818543.3098507999</v>
      </c>
      <c r="S163" s="104">
        <v>0</v>
      </c>
      <c r="T163" s="104">
        <v>0</v>
      </c>
      <c r="U163" s="112">
        <v>0</v>
      </c>
      <c r="V163" s="107" t="s">
        <v>81</v>
      </c>
      <c r="W163" s="104" t="s">
        <v>78</v>
      </c>
      <c r="X163" s="104" t="s">
        <v>81</v>
      </c>
      <c r="Y163" s="104" t="s">
        <v>78</v>
      </c>
      <c r="Z163" s="104" t="s">
        <v>81</v>
      </c>
      <c r="AA163" s="104">
        <v>0</v>
      </c>
      <c r="AB163" s="108" t="s">
        <v>78</v>
      </c>
      <c r="AC163" s="104">
        <v>0</v>
      </c>
      <c r="AD163" s="105" t="s">
        <v>78</v>
      </c>
      <c r="AE163" s="104">
        <v>0</v>
      </c>
      <c r="AF163" s="104" t="s">
        <v>78</v>
      </c>
      <c r="AG163" s="104">
        <v>0</v>
      </c>
      <c r="AH163" s="109" t="s">
        <v>81</v>
      </c>
      <c r="AI163" s="109" t="s">
        <v>78</v>
      </c>
      <c r="AJ163" s="109" t="s">
        <v>81</v>
      </c>
      <c r="AK163" s="109" t="s">
        <v>78</v>
      </c>
      <c r="AL163" s="109" t="s">
        <v>78</v>
      </c>
      <c r="AM163" s="109" t="s">
        <v>81</v>
      </c>
      <c r="AN163" s="109" t="s">
        <v>81</v>
      </c>
      <c r="AO163" s="109" t="s">
        <v>78</v>
      </c>
      <c r="AP163" s="109" t="s">
        <v>81</v>
      </c>
      <c r="AQ163" s="109">
        <v>1</v>
      </c>
      <c r="AR163" s="109" t="s">
        <v>104</v>
      </c>
    </row>
    <row r="164" spans="1:44" ht="30.6" customHeight="1" x14ac:dyDescent="0.45">
      <c r="A164" s="104" t="s">
        <v>1183</v>
      </c>
      <c r="B164" s="125" t="s">
        <v>1184</v>
      </c>
      <c r="C164" s="105">
        <v>2016</v>
      </c>
      <c r="D164" s="105" t="s">
        <v>179</v>
      </c>
      <c r="E164" s="105" t="s">
        <v>78</v>
      </c>
      <c r="F164" s="105" t="s">
        <v>561</v>
      </c>
      <c r="G164" s="105" t="s">
        <v>522</v>
      </c>
      <c r="H164" s="105" t="s">
        <v>587</v>
      </c>
      <c r="I164" s="106" t="s">
        <v>256</v>
      </c>
      <c r="J164" s="104" t="s">
        <v>676</v>
      </c>
      <c r="K164" s="104" t="s">
        <v>81</v>
      </c>
      <c r="L164" s="107" t="s">
        <v>74</v>
      </c>
      <c r="M164" s="107">
        <v>4950000</v>
      </c>
      <c r="N164" s="104">
        <v>4950000</v>
      </c>
      <c r="O164" s="104">
        <v>6859363.5</v>
      </c>
      <c r="P164" s="104">
        <v>4950000</v>
      </c>
      <c r="Q164" s="104">
        <v>4950000</v>
      </c>
      <c r="R164" s="104">
        <v>6859363.5</v>
      </c>
      <c r="S164" s="104">
        <v>4950000</v>
      </c>
      <c r="T164" s="104">
        <v>4950000</v>
      </c>
      <c r="U164" s="112">
        <v>6859363.5</v>
      </c>
      <c r="V164" s="107" t="s">
        <v>81</v>
      </c>
      <c r="W164" s="104" t="s">
        <v>78</v>
      </c>
      <c r="X164" s="104" t="s">
        <v>81</v>
      </c>
      <c r="Y164" s="104" t="s">
        <v>78</v>
      </c>
      <c r="Z164" s="104" t="s">
        <v>81</v>
      </c>
      <c r="AA164" s="104">
        <v>0</v>
      </c>
      <c r="AB164" s="108" t="s">
        <v>78</v>
      </c>
      <c r="AC164" s="104">
        <v>0</v>
      </c>
      <c r="AD164" s="105" t="s">
        <v>78</v>
      </c>
      <c r="AE164" s="104">
        <v>0</v>
      </c>
      <c r="AF164" s="104" t="s">
        <v>78</v>
      </c>
      <c r="AG164" s="104">
        <v>0</v>
      </c>
      <c r="AH164" s="109" t="s">
        <v>81</v>
      </c>
      <c r="AI164" s="109" t="s">
        <v>78</v>
      </c>
      <c r="AJ164" s="109" t="s">
        <v>81</v>
      </c>
      <c r="AK164" s="109" t="s">
        <v>78</v>
      </c>
      <c r="AL164" s="109" t="s">
        <v>78</v>
      </c>
      <c r="AM164" s="109" t="s">
        <v>81</v>
      </c>
      <c r="AN164" s="109" t="s">
        <v>81</v>
      </c>
      <c r="AO164" s="109" t="s">
        <v>78</v>
      </c>
      <c r="AP164" s="109" t="s">
        <v>81</v>
      </c>
      <c r="AQ164" s="109">
        <v>1</v>
      </c>
      <c r="AR164" s="109" t="s">
        <v>74</v>
      </c>
    </row>
    <row r="165" spans="1:44" ht="30.6" customHeight="1" x14ac:dyDescent="0.45">
      <c r="A165" s="104" t="s">
        <v>1185</v>
      </c>
      <c r="B165" s="125" t="s">
        <v>1186</v>
      </c>
      <c r="C165" s="105">
        <v>2016</v>
      </c>
      <c r="D165" s="105" t="s">
        <v>254</v>
      </c>
      <c r="E165" s="105" t="s">
        <v>78</v>
      </c>
      <c r="F165" s="105" t="s">
        <v>555</v>
      </c>
      <c r="G165" s="105" t="s">
        <v>522</v>
      </c>
      <c r="H165" s="105" t="s">
        <v>580</v>
      </c>
      <c r="I165" s="106" t="s">
        <v>115</v>
      </c>
      <c r="J165" s="104" t="s">
        <v>676</v>
      </c>
      <c r="K165" s="104" t="s">
        <v>81</v>
      </c>
      <c r="L165" s="107" t="s">
        <v>74</v>
      </c>
      <c r="M165" s="107">
        <v>55810000</v>
      </c>
      <c r="N165" s="104">
        <v>55810000</v>
      </c>
      <c r="O165" s="104">
        <v>77337591.299999997</v>
      </c>
      <c r="P165" s="104">
        <v>35900000</v>
      </c>
      <c r="Q165" s="104">
        <v>35900000</v>
      </c>
      <c r="R165" s="104">
        <v>49747707</v>
      </c>
      <c r="S165" s="104">
        <v>35900000</v>
      </c>
      <c r="T165" s="104">
        <v>35900000</v>
      </c>
      <c r="U165" s="112">
        <v>49747707</v>
      </c>
      <c r="V165" s="107" t="s">
        <v>81</v>
      </c>
      <c r="W165" s="104" t="s">
        <v>78</v>
      </c>
      <c r="X165" s="104" t="s">
        <v>81</v>
      </c>
      <c r="Y165" s="104" t="s">
        <v>78</v>
      </c>
      <c r="Z165" s="104" t="s">
        <v>81</v>
      </c>
      <c r="AA165" s="104">
        <v>0</v>
      </c>
      <c r="AB165" s="108" t="s">
        <v>78</v>
      </c>
      <c r="AC165" s="104">
        <v>0</v>
      </c>
      <c r="AD165" s="105" t="s">
        <v>78</v>
      </c>
      <c r="AE165" s="104">
        <v>0</v>
      </c>
      <c r="AF165" s="104" t="s">
        <v>78</v>
      </c>
      <c r="AG165" s="104">
        <v>0</v>
      </c>
      <c r="AH165" s="109" t="s">
        <v>81</v>
      </c>
      <c r="AI165" s="109" t="s">
        <v>78</v>
      </c>
      <c r="AJ165" s="109" t="s">
        <v>81</v>
      </c>
      <c r="AK165" s="109" t="s">
        <v>78</v>
      </c>
      <c r="AL165" s="109" t="s">
        <v>78</v>
      </c>
      <c r="AM165" s="109" t="s">
        <v>81</v>
      </c>
      <c r="AN165" s="109" t="s">
        <v>81</v>
      </c>
      <c r="AO165" s="109" t="s">
        <v>78</v>
      </c>
      <c r="AP165" s="109" t="s">
        <v>81</v>
      </c>
      <c r="AQ165" s="109">
        <v>1</v>
      </c>
      <c r="AR165" s="109" t="s">
        <v>74</v>
      </c>
    </row>
    <row r="166" spans="1:44" ht="30.6" customHeight="1" x14ac:dyDescent="0.45">
      <c r="A166" s="104" t="s">
        <v>1187</v>
      </c>
      <c r="B166" s="125" t="s">
        <v>1188</v>
      </c>
      <c r="C166" s="105">
        <v>2016</v>
      </c>
      <c r="D166" s="105" t="s">
        <v>419</v>
      </c>
      <c r="E166" s="105" t="s">
        <v>78</v>
      </c>
      <c r="F166" s="105" t="s">
        <v>563</v>
      </c>
      <c r="G166" s="105" t="s">
        <v>519</v>
      </c>
      <c r="H166" s="105" t="s">
        <v>228</v>
      </c>
      <c r="I166" s="106" t="s">
        <v>228</v>
      </c>
      <c r="J166" s="104" t="s">
        <v>689</v>
      </c>
      <c r="K166" s="104" t="s">
        <v>81</v>
      </c>
      <c r="L166" s="107" t="s">
        <v>126</v>
      </c>
      <c r="M166" s="107">
        <v>1000000</v>
      </c>
      <c r="N166" s="104">
        <v>721641.30097493739</v>
      </c>
      <c r="O166" s="104">
        <v>999999.99999999988</v>
      </c>
      <c r="P166" s="104">
        <v>723227.91</v>
      </c>
      <c r="Q166" s="104">
        <v>723227.91</v>
      </c>
      <c r="R166" s="104">
        <v>1002198.6117243</v>
      </c>
      <c r="S166" s="104">
        <v>723227.91</v>
      </c>
      <c r="T166" s="104">
        <v>723227.91</v>
      </c>
      <c r="U166" s="112">
        <v>1002198.6117243</v>
      </c>
      <c r="V166" s="107" t="s">
        <v>75</v>
      </c>
      <c r="W166" s="104" t="s">
        <v>1189</v>
      </c>
      <c r="X166" s="104" t="s">
        <v>75</v>
      </c>
      <c r="Y166" s="104" t="s">
        <v>1190</v>
      </c>
      <c r="Z166" s="104" t="s">
        <v>75</v>
      </c>
      <c r="AA166" s="104">
        <v>0</v>
      </c>
      <c r="AB166" s="108" t="s">
        <v>78</v>
      </c>
      <c r="AC166" s="104">
        <v>999</v>
      </c>
      <c r="AD166" s="105" t="s">
        <v>1191</v>
      </c>
      <c r="AE166" s="104">
        <v>999</v>
      </c>
      <c r="AF166" s="104" t="s">
        <v>1192</v>
      </c>
      <c r="AG166" s="104">
        <v>2</v>
      </c>
      <c r="AH166" s="109" t="s">
        <v>75</v>
      </c>
      <c r="AI166" s="109" t="s">
        <v>1193</v>
      </c>
      <c r="AJ166" s="109" t="s">
        <v>75</v>
      </c>
      <c r="AK166" s="109" t="s">
        <v>795</v>
      </c>
      <c r="AL166" s="109" t="s">
        <v>796</v>
      </c>
      <c r="AM166" s="109" t="s">
        <v>81</v>
      </c>
      <c r="AN166" s="109" t="s">
        <v>81</v>
      </c>
      <c r="AO166" s="109" t="s">
        <v>78</v>
      </c>
      <c r="AP166" s="109" t="s">
        <v>75</v>
      </c>
      <c r="AQ166" s="109">
        <v>1</v>
      </c>
      <c r="AR166" s="109" t="s">
        <v>126</v>
      </c>
    </row>
    <row r="167" spans="1:44" ht="30.6" customHeight="1" x14ac:dyDescent="0.45">
      <c r="A167" s="104" t="s">
        <v>1194</v>
      </c>
      <c r="B167" s="125" t="s">
        <v>1195</v>
      </c>
      <c r="C167" s="105">
        <v>2016</v>
      </c>
      <c r="D167" s="105" t="s">
        <v>445</v>
      </c>
      <c r="E167" s="105" t="s">
        <v>78</v>
      </c>
      <c r="F167" s="105" t="s">
        <v>552</v>
      </c>
      <c r="G167" s="105" t="s">
        <v>519</v>
      </c>
      <c r="H167" s="105" t="s">
        <v>228</v>
      </c>
      <c r="I167" s="106" t="s">
        <v>228</v>
      </c>
      <c r="J167" s="104" t="s">
        <v>689</v>
      </c>
      <c r="K167" s="104" t="s">
        <v>81</v>
      </c>
      <c r="L167" s="107" t="s">
        <v>126</v>
      </c>
      <c r="M167" s="107">
        <v>1000000</v>
      </c>
      <c r="N167" s="104">
        <v>721641.30097493739</v>
      </c>
      <c r="O167" s="104">
        <v>999999.99999999988</v>
      </c>
      <c r="P167" s="104">
        <v>723227.91</v>
      </c>
      <c r="Q167" s="104">
        <v>723227.91</v>
      </c>
      <c r="R167" s="104">
        <v>1002198.6117243</v>
      </c>
      <c r="S167" s="104">
        <v>723227.91</v>
      </c>
      <c r="T167" s="104">
        <v>723227.91</v>
      </c>
      <c r="U167" s="112">
        <v>1002198.6117243</v>
      </c>
      <c r="V167" s="107" t="s">
        <v>81</v>
      </c>
      <c r="W167" s="104" t="s">
        <v>78</v>
      </c>
      <c r="X167" s="104" t="s">
        <v>81</v>
      </c>
      <c r="Y167" s="104" t="s">
        <v>78</v>
      </c>
      <c r="Z167" s="104" t="s">
        <v>81</v>
      </c>
      <c r="AA167" s="104">
        <v>0</v>
      </c>
      <c r="AB167" s="108" t="s">
        <v>78</v>
      </c>
      <c r="AC167" s="104">
        <v>0</v>
      </c>
      <c r="AD167" s="105" t="s">
        <v>78</v>
      </c>
      <c r="AE167" s="104">
        <v>0</v>
      </c>
      <c r="AF167" s="104" t="s">
        <v>78</v>
      </c>
      <c r="AG167" s="104">
        <v>0</v>
      </c>
      <c r="AH167" s="109" t="s">
        <v>81</v>
      </c>
      <c r="AI167" s="109" t="s">
        <v>78</v>
      </c>
      <c r="AJ167" s="109" t="s">
        <v>81</v>
      </c>
      <c r="AK167" s="109" t="s">
        <v>78</v>
      </c>
      <c r="AL167" s="109" t="s">
        <v>78</v>
      </c>
      <c r="AM167" s="109" t="s">
        <v>81</v>
      </c>
      <c r="AN167" s="109" t="s">
        <v>81</v>
      </c>
      <c r="AO167" s="109" t="s">
        <v>78</v>
      </c>
      <c r="AP167" s="109" t="s">
        <v>81</v>
      </c>
      <c r="AQ167" s="109">
        <v>1</v>
      </c>
      <c r="AR167" s="109" t="s">
        <v>126</v>
      </c>
    </row>
    <row r="168" spans="1:44" ht="30.6" customHeight="1" x14ac:dyDescent="0.45">
      <c r="A168" s="104" t="s">
        <v>1196</v>
      </c>
      <c r="B168" s="125" t="s">
        <v>1197</v>
      </c>
      <c r="C168" s="105">
        <v>2016</v>
      </c>
      <c r="D168" s="105" t="s">
        <v>509</v>
      </c>
      <c r="E168" s="105" t="s">
        <v>78</v>
      </c>
      <c r="F168" s="105" t="s">
        <v>560</v>
      </c>
      <c r="G168" s="105" t="s">
        <v>522</v>
      </c>
      <c r="H168" s="105" t="s">
        <v>587</v>
      </c>
      <c r="I168" s="106" t="s">
        <v>256</v>
      </c>
      <c r="J168" s="104" t="s">
        <v>679</v>
      </c>
      <c r="K168" s="104" t="s">
        <v>81</v>
      </c>
      <c r="L168" s="107" t="s">
        <v>74</v>
      </c>
      <c r="M168" s="107">
        <v>5513994.5700000003</v>
      </c>
      <c r="N168" s="104">
        <v>5513994.5700000003</v>
      </c>
      <c r="O168" s="104">
        <v>7640907.6954860995</v>
      </c>
      <c r="P168" s="104">
        <v>5460629.9199999999</v>
      </c>
      <c r="Q168" s="104">
        <v>5460629.9199999999</v>
      </c>
      <c r="R168" s="104">
        <v>7566958.6990415994</v>
      </c>
      <c r="S168" s="104">
        <v>3000000</v>
      </c>
      <c r="T168" s="104">
        <v>3000000</v>
      </c>
      <c r="U168" s="112">
        <v>4157189.9999999995</v>
      </c>
      <c r="V168" s="107" t="s">
        <v>81</v>
      </c>
      <c r="W168" s="104" t="s">
        <v>78</v>
      </c>
      <c r="X168" s="104" t="s">
        <v>81</v>
      </c>
      <c r="Y168" s="104" t="s">
        <v>78</v>
      </c>
      <c r="Z168" s="104" t="s">
        <v>81</v>
      </c>
      <c r="AA168" s="104">
        <v>0</v>
      </c>
      <c r="AB168" s="108" t="s">
        <v>78</v>
      </c>
      <c r="AC168" s="104">
        <v>0</v>
      </c>
      <c r="AD168" s="105" t="s">
        <v>78</v>
      </c>
      <c r="AE168" s="104">
        <v>0</v>
      </c>
      <c r="AF168" s="104" t="s">
        <v>78</v>
      </c>
      <c r="AG168" s="104">
        <v>0</v>
      </c>
      <c r="AH168" s="109" t="s">
        <v>81</v>
      </c>
      <c r="AI168" s="109" t="s">
        <v>78</v>
      </c>
      <c r="AJ168" s="109" t="s">
        <v>81</v>
      </c>
      <c r="AK168" s="109" t="s">
        <v>78</v>
      </c>
      <c r="AL168" s="109" t="s">
        <v>78</v>
      </c>
      <c r="AM168" s="109" t="s">
        <v>81</v>
      </c>
      <c r="AN168" s="109" t="s">
        <v>81</v>
      </c>
      <c r="AO168" s="109" t="s">
        <v>78</v>
      </c>
      <c r="AP168" s="109" t="s">
        <v>81</v>
      </c>
      <c r="AQ168" s="109">
        <v>1</v>
      </c>
      <c r="AR168" s="109" t="s">
        <v>74</v>
      </c>
    </row>
    <row r="169" spans="1:44" ht="30.6" customHeight="1" x14ac:dyDescent="0.45">
      <c r="A169" s="104" t="s">
        <v>1198</v>
      </c>
      <c r="B169" s="125" t="s">
        <v>1199</v>
      </c>
      <c r="C169" s="105">
        <v>2016</v>
      </c>
      <c r="D169" s="105" t="s">
        <v>184</v>
      </c>
      <c r="E169" s="105" t="s">
        <v>78</v>
      </c>
      <c r="F169" s="105" t="s">
        <v>554</v>
      </c>
      <c r="G169" s="105" t="s">
        <v>520</v>
      </c>
      <c r="H169" s="105" t="s">
        <v>228</v>
      </c>
      <c r="I169" s="106" t="s">
        <v>228</v>
      </c>
      <c r="J169" s="104" t="s">
        <v>689</v>
      </c>
      <c r="K169" s="104" t="s">
        <v>81</v>
      </c>
      <c r="L169" s="107" t="s">
        <v>74</v>
      </c>
      <c r="M169" s="107">
        <v>507246</v>
      </c>
      <c r="N169" s="104">
        <v>507246</v>
      </c>
      <c r="O169" s="104">
        <v>702905.99957999995</v>
      </c>
      <c r="P169" s="104">
        <v>507246</v>
      </c>
      <c r="Q169" s="104">
        <v>507246</v>
      </c>
      <c r="R169" s="104">
        <v>702905.99957999995</v>
      </c>
      <c r="S169" s="104">
        <v>507246</v>
      </c>
      <c r="T169" s="104">
        <v>507246</v>
      </c>
      <c r="U169" s="112">
        <v>702905.99957999995</v>
      </c>
      <c r="V169" s="107" t="s">
        <v>81</v>
      </c>
      <c r="W169" s="104" t="s">
        <v>78</v>
      </c>
      <c r="X169" s="104" t="s">
        <v>81</v>
      </c>
      <c r="Y169" s="104" t="s">
        <v>78</v>
      </c>
      <c r="Z169" s="104" t="s">
        <v>81</v>
      </c>
      <c r="AA169" s="104">
        <v>0</v>
      </c>
      <c r="AB169" s="108" t="s">
        <v>78</v>
      </c>
      <c r="AC169" s="104">
        <v>0</v>
      </c>
      <c r="AD169" s="105" t="s">
        <v>78</v>
      </c>
      <c r="AE169" s="104">
        <v>0</v>
      </c>
      <c r="AF169" s="104" t="s">
        <v>78</v>
      </c>
      <c r="AG169" s="104">
        <v>0</v>
      </c>
      <c r="AH169" s="109" t="s">
        <v>81</v>
      </c>
      <c r="AI169" s="109" t="s">
        <v>78</v>
      </c>
      <c r="AJ169" s="109" t="s">
        <v>81</v>
      </c>
      <c r="AK169" s="109" t="s">
        <v>78</v>
      </c>
      <c r="AL169" s="109" t="s">
        <v>78</v>
      </c>
      <c r="AM169" s="109" t="s">
        <v>81</v>
      </c>
      <c r="AN169" s="109" t="s">
        <v>81</v>
      </c>
      <c r="AO169" s="109" t="s">
        <v>78</v>
      </c>
      <c r="AP169" s="109" t="s">
        <v>81</v>
      </c>
      <c r="AQ169" s="109">
        <v>1</v>
      </c>
      <c r="AR169" s="109" t="s">
        <v>74</v>
      </c>
    </row>
    <row r="170" spans="1:44" ht="30.6" customHeight="1" x14ac:dyDescent="0.45">
      <c r="A170" s="104" t="s">
        <v>1200</v>
      </c>
      <c r="B170" s="125" t="s">
        <v>1201</v>
      </c>
      <c r="C170" s="105">
        <v>2016</v>
      </c>
      <c r="D170" s="105" t="s">
        <v>87</v>
      </c>
      <c r="E170" s="105" t="s">
        <v>937</v>
      </c>
      <c r="F170" s="105" t="s">
        <v>87</v>
      </c>
      <c r="G170" s="105" t="s">
        <v>87</v>
      </c>
      <c r="H170" s="105" t="s">
        <v>596</v>
      </c>
      <c r="I170" s="106" t="s">
        <v>101</v>
      </c>
      <c r="J170" s="104" t="s">
        <v>676</v>
      </c>
      <c r="K170" s="104" t="s">
        <v>81</v>
      </c>
      <c r="L170" s="107" t="s">
        <v>74</v>
      </c>
      <c r="M170" s="107">
        <v>2608000</v>
      </c>
      <c r="N170" s="104">
        <v>2608000</v>
      </c>
      <c r="O170" s="104">
        <v>3613983.84</v>
      </c>
      <c r="P170" s="104">
        <v>2608000</v>
      </c>
      <c r="Q170" s="104">
        <v>2608000</v>
      </c>
      <c r="R170" s="104">
        <v>3613983.84</v>
      </c>
      <c r="S170" s="104">
        <v>2608000</v>
      </c>
      <c r="T170" s="104">
        <v>2608000</v>
      </c>
      <c r="U170" s="112">
        <v>3613983.84</v>
      </c>
      <c r="V170" s="107" t="s">
        <v>81</v>
      </c>
      <c r="W170" s="104" t="s">
        <v>78</v>
      </c>
      <c r="X170" s="104" t="s">
        <v>81</v>
      </c>
      <c r="Y170" s="104" t="s">
        <v>78</v>
      </c>
      <c r="Z170" s="104" t="s">
        <v>81</v>
      </c>
      <c r="AA170" s="104">
        <v>0</v>
      </c>
      <c r="AB170" s="108" t="s">
        <v>78</v>
      </c>
      <c r="AC170" s="104">
        <v>0</v>
      </c>
      <c r="AD170" s="105" t="s">
        <v>78</v>
      </c>
      <c r="AE170" s="104">
        <v>0</v>
      </c>
      <c r="AF170" s="104" t="s">
        <v>78</v>
      </c>
      <c r="AG170" s="104">
        <v>0</v>
      </c>
      <c r="AH170" s="109" t="s">
        <v>81</v>
      </c>
      <c r="AI170" s="109" t="s">
        <v>78</v>
      </c>
      <c r="AJ170" s="109" t="s">
        <v>81</v>
      </c>
      <c r="AK170" s="109" t="s">
        <v>78</v>
      </c>
      <c r="AL170" s="109" t="s">
        <v>78</v>
      </c>
      <c r="AM170" s="109" t="s">
        <v>81</v>
      </c>
      <c r="AN170" s="109" t="s">
        <v>81</v>
      </c>
      <c r="AO170" s="109" t="s">
        <v>78</v>
      </c>
      <c r="AP170" s="109" t="s">
        <v>81</v>
      </c>
      <c r="AQ170" s="109">
        <v>1</v>
      </c>
      <c r="AR170" s="109" t="s">
        <v>74</v>
      </c>
    </row>
    <row r="171" spans="1:44" ht="30.6" customHeight="1" x14ac:dyDescent="0.45">
      <c r="A171" s="104" t="s">
        <v>1202</v>
      </c>
      <c r="B171" s="125" t="s">
        <v>1203</v>
      </c>
      <c r="C171" s="105">
        <v>2016</v>
      </c>
      <c r="D171" s="105" t="s">
        <v>87</v>
      </c>
      <c r="E171" s="105" t="s">
        <v>1204</v>
      </c>
      <c r="F171" s="105" t="s">
        <v>87</v>
      </c>
      <c r="G171" s="105" t="s">
        <v>87</v>
      </c>
      <c r="H171" s="105" t="s">
        <v>596</v>
      </c>
      <c r="I171" s="106" t="s">
        <v>101</v>
      </c>
      <c r="J171" s="104" t="s">
        <v>676</v>
      </c>
      <c r="K171" s="104" t="s">
        <v>81</v>
      </c>
      <c r="L171" s="107" t="s">
        <v>74</v>
      </c>
      <c r="M171" s="107">
        <v>2670000</v>
      </c>
      <c r="N171" s="104">
        <v>2670000</v>
      </c>
      <c r="O171" s="104">
        <v>3699899.0999999996</v>
      </c>
      <c r="P171" s="104">
        <v>2670000</v>
      </c>
      <c r="Q171" s="104">
        <v>2670000</v>
      </c>
      <c r="R171" s="104">
        <v>3699899.0999999996</v>
      </c>
      <c r="S171" s="104">
        <v>2670000</v>
      </c>
      <c r="T171" s="104">
        <v>2670000</v>
      </c>
      <c r="U171" s="112">
        <v>3699899.0999999996</v>
      </c>
      <c r="V171" s="107" t="s">
        <v>81</v>
      </c>
      <c r="W171" s="104" t="s">
        <v>78</v>
      </c>
      <c r="X171" s="104" t="s">
        <v>81</v>
      </c>
      <c r="Y171" s="104" t="s">
        <v>78</v>
      </c>
      <c r="Z171" s="104" t="s">
        <v>81</v>
      </c>
      <c r="AA171" s="104">
        <v>0</v>
      </c>
      <c r="AB171" s="108" t="s">
        <v>78</v>
      </c>
      <c r="AC171" s="104">
        <v>0</v>
      </c>
      <c r="AD171" s="105" t="s">
        <v>78</v>
      </c>
      <c r="AE171" s="104">
        <v>0</v>
      </c>
      <c r="AF171" s="104" t="s">
        <v>78</v>
      </c>
      <c r="AG171" s="104">
        <v>0</v>
      </c>
      <c r="AH171" s="109" t="s">
        <v>81</v>
      </c>
      <c r="AI171" s="109" t="s">
        <v>78</v>
      </c>
      <c r="AJ171" s="109" t="s">
        <v>81</v>
      </c>
      <c r="AK171" s="109" t="s">
        <v>78</v>
      </c>
      <c r="AL171" s="109" t="s">
        <v>78</v>
      </c>
      <c r="AM171" s="109" t="s">
        <v>81</v>
      </c>
      <c r="AN171" s="109" t="s">
        <v>81</v>
      </c>
      <c r="AO171" s="109" t="s">
        <v>78</v>
      </c>
      <c r="AP171" s="109" t="s">
        <v>81</v>
      </c>
      <c r="AQ171" s="109">
        <v>1</v>
      </c>
      <c r="AR171" s="109" t="s">
        <v>74</v>
      </c>
    </row>
    <row r="172" spans="1:44" ht="30.6" customHeight="1" x14ac:dyDescent="0.45">
      <c r="A172" s="104" t="s">
        <v>1205</v>
      </c>
      <c r="B172" s="125" t="s">
        <v>1206</v>
      </c>
      <c r="C172" s="105">
        <v>2016</v>
      </c>
      <c r="D172" s="105" t="s">
        <v>184</v>
      </c>
      <c r="E172" s="105" t="s">
        <v>78</v>
      </c>
      <c r="F172" s="105" t="s">
        <v>554</v>
      </c>
      <c r="G172" s="105" t="s">
        <v>520</v>
      </c>
      <c r="H172" s="105" t="s">
        <v>228</v>
      </c>
      <c r="I172" s="106" t="s">
        <v>228</v>
      </c>
      <c r="J172" s="104" t="s">
        <v>689</v>
      </c>
      <c r="K172" s="104" t="s">
        <v>81</v>
      </c>
      <c r="L172" s="107" t="s">
        <v>74</v>
      </c>
      <c r="M172" s="107">
        <v>715328</v>
      </c>
      <c r="N172" s="104">
        <v>715328</v>
      </c>
      <c r="O172" s="104">
        <v>991251.4694399999</v>
      </c>
      <c r="P172" s="104">
        <v>715328</v>
      </c>
      <c r="Q172" s="104">
        <v>715328</v>
      </c>
      <c r="R172" s="104">
        <v>991251.4694399999</v>
      </c>
      <c r="S172" s="104">
        <v>715328</v>
      </c>
      <c r="T172" s="104">
        <v>715328</v>
      </c>
      <c r="U172" s="112">
        <v>991251.4694399999</v>
      </c>
      <c r="V172" s="107" t="s">
        <v>81</v>
      </c>
      <c r="W172" s="104" t="s">
        <v>78</v>
      </c>
      <c r="X172" s="104" t="s">
        <v>81</v>
      </c>
      <c r="Y172" s="104" t="s">
        <v>78</v>
      </c>
      <c r="Z172" s="104" t="s">
        <v>81</v>
      </c>
      <c r="AA172" s="104">
        <v>0</v>
      </c>
      <c r="AB172" s="108" t="s">
        <v>78</v>
      </c>
      <c r="AC172" s="104">
        <v>0</v>
      </c>
      <c r="AD172" s="105" t="s">
        <v>78</v>
      </c>
      <c r="AE172" s="110">
        <v>0</v>
      </c>
      <c r="AF172" s="104" t="s">
        <v>78</v>
      </c>
      <c r="AG172" s="104">
        <v>0</v>
      </c>
      <c r="AH172" s="109" t="s">
        <v>81</v>
      </c>
      <c r="AI172" s="109" t="s">
        <v>78</v>
      </c>
      <c r="AJ172" s="109" t="s">
        <v>81</v>
      </c>
      <c r="AK172" s="109" t="s">
        <v>78</v>
      </c>
      <c r="AL172" s="109" t="s">
        <v>78</v>
      </c>
      <c r="AM172" s="109" t="s">
        <v>81</v>
      </c>
      <c r="AN172" s="109" t="s">
        <v>81</v>
      </c>
      <c r="AO172" s="109" t="s">
        <v>78</v>
      </c>
      <c r="AP172" s="109" t="s">
        <v>81</v>
      </c>
      <c r="AQ172" s="109">
        <v>1</v>
      </c>
      <c r="AR172" s="109" t="s">
        <v>74</v>
      </c>
    </row>
    <row r="173" spans="1:44" ht="30.6" customHeight="1" x14ac:dyDescent="0.45">
      <c r="A173" s="104" t="s">
        <v>1207</v>
      </c>
      <c r="B173" s="125" t="s">
        <v>1208</v>
      </c>
      <c r="C173" s="105">
        <v>2016</v>
      </c>
      <c r="D173" s="105" t="s">
        <v>377</v>
      </c>
      <c r="E173" s="105" t="s">
        <v>78</v>
      </c>
      <c r="F173" s="105" t="s">
        <v>544</v>
      </c>
      <c r="G173" s="105" t="s">
        <v>520</v>
      </c>
      <c r="H173" s="105" t="s">
        <v>598</v>
      </c>
      <c r="I173" s="106" t="s">
        <v>101</v>
      </c>
      <c r="J173" s="104" t="s">
        <v>676</v>
      </c>
      <c r="K173" s="104" t="s">
        <v>81</v>
      </c>
      <c r="L173" s="107" t="s">
        <v>126</v>
      </c>
      <c r="M173" s="107">
        <v>2500000</v>
      </c>
      <c r="N173" s="104">
        <v>1804103.2524373436</v>
      </c>
      <c r="O173" s="104">
        <v>2500000</v>
      </c>
      <c r="P173" s="104">
        <v>1723227.91</v>
      </c>
      <c r="Q173" s="104">
        <v>1723227.91</v>
      </c>
      <c r="R173" s="104">
        <v>2387928.6117242998</v>
      </c>
      <c r="S173" s="104">
        <v>1000000</v>
      </c>
      <c r="T173" s="104">
        <v>1000000</v>
      </c>
      <c r="U173" s="112">
        <v>1385730</v>
      </c>
      <c r="V173" s="107" t="s">
        <v>81</v>
      </c>
      <c r="W173" s="104" t="s">
        <v>78</v>
      </c>
      <c r="X173" s="104" t="s">
        <v>81</v>
      </c>
      <c r="Y173" s="104" t="s">
        <v>78</v>
      </c>
      <c r="Z173" s="104" t="s">
        <v>81</v>
      </c>
      <c r="AA173" s="104">
        <v>0</v>
      </c>
      <c r="AB173" s="108" t="s">
        <v>78</v>
      </c>
      <c r="AC173" s="104">
        <v>0</v>
      </c>
      <c r="AD173" s="105" t="s">
        <v>78</v>
      </c>
      <c r="AE173" s="104">
        <v>0</v>
      </c>
      <c r="AF173" s="104" t="s">
        <v>78</v>
      </c>
      <c r="AG173" s="104">
        <v>0</v>
      </c>
      <c r="AH173" s="109" t="s">
        <v>81</v>
      </c>
      <c r="AI173" s="109" t="s">
        <v>78</v>
      </c>
      <c r="AJ173" s="109" t="s">
        <v>81</v>
      </c>
      <c r="AK173" s="109" t="s">
        <v>78</v>
      </c>
      <c r="AL173" s="109" t="s">
        <v>78</v>
      </c>
      <c r="AM173" s="109" t="s">
        <v>81</v>
      </c>
      <c r="AN173" s="109" t="s">
        <v>81</v>
      </c>
      <c r="AO173" s="109" t="s">
        <v>78</v>
      </c>
      <c r="AP173" s="109" t="s">
        <v>81</v>
      </c>
      <c r="AQ173" s="109">
        <v>1</v>
      </c>
      <c r="AR173" s="109" t="s">
        <v>126</v>
      </c>
    </row>
    <row r="174" spans="1:44" ht="30.6" customHeight="1" x14ac:dyDescent="0.45">
      <c r="A174" s="104" t="s">
        <v>1209</v>
      </c>
      <c r="B174" s="125" t="s">
        <v>1210</v>
      </c>
      <c r="C174" s="105">
        <v>2016</v>
      </c>
      <c r="D174" s="105" t="s">
        <v>419</v>
      </c>
      <c r="E174" s="105" t="s">
        <v>78</v>
      </c>
      <c r="F174" s="105" t="s">
        <v>563</v>
      </c>
      <c r="G174" s="105" t="s">
        <v>519</v>
      </c>
      <c r="H174" s="105" t="s">
        <v>581</v>
      </c>
      <c r="I174" s="106" t="s">
        <v>228</v>
      </c>
      <c r="J174" s="104" t="s">
        <v>689</v>
      </c>
      <c r="K174" s="104" t="s">
        <v>81</v>
      </c>
      <c r="L174" s="107" t="s">
        <v>616</v>
      </c>
      <c r="M174" s="107">
        <v>855131000</v>
      </c>
      <c r="N174" s="104">
        <v>39697463.465359405</v>
      </c>
      <c r="O174" s="104">
        <v>55009966.047852486</v>
      </c>
      <c r="P174" s="104">
        <v>43156393.990000002</v>
      </c>
      <c r="Q174" s="104">
        <v>43156393.990000002</v>
      </c>
      <c r="R174" s="104">
        <v>59803109.843762696</v>
      </c>
      <c r="S174" s="104">
        <v>43156393.990000002</v>
      </c>
      <c r="T174" s="104">
        <v>43156393.990000002</v>
      </c>
      <c r="U174" s="112">
        <v>59803109.843762696</v>
      </c>
      <c r="V174" s="107" t="s">
        <v>81</v>
      </c>
      <c r="W174" s="104" t="s">
        <v>78</v>
      </c>
      <c r="X174" s="104" t="s">
        <v>81</v>
      </c>
      <c r="Y174" s="104" t="s">
        <v>78</v>
      </c>
      <c r="Z174" s="104" t="s">
        <v>81</v>
      </c>
      <c r="AA174" s="104">
        <v>0</v>
      </c>
      <c r="AB174" s="108" t="s">
        <v>78</v>
      </c>
      <c r="AC174" s="104">
        <v>0</v>
      </c>
      <c r="AD174" s="105" t="s">
        <v>78</v>
      </c>
      <c r="AE174" s="110">
        <v>0</v>
      </c>
      <c r="AF174" s="104" t="s">
        <v>78</v>
      </c>
      <c r="AG174" s="104">
        <v>0</v>
      </c>
      <c r="AH174" s="109" t="s">
        <v>81</v>
      </c>
      <c r="AI174" s="109" t="s">
        <v>78</v>
      </c>
      <c r="AJ174" s="109" t="s">
        <v>81</v>
      </c>
      <c r="AK174" s="109" t="s">
        <v>78</v>
      </c>
      <c r="AL174" s="109" t="s">
        <v>78</v>
      </c>
      <c r="AM174" s="109" t="s">
        <v>81</v>
      </c>
      <c r="AN174" s="109" t="s">
        <v>81</v>
      </c>
      <c r="AO174" s="109" t="s">
        <v>78</v>
      </c>
      <c r="AP174" s="109" t="s">
        <v>81</v>
      </c>
      <c r="AQ174" s="109">
        <v>1</v>
      </c>
      <c r="AR174" s="109" t="s">
        <v>616</v>
      </c>
    </row>
    <row r="175" spans="1:44" ht="30.6" customHeight="1" x14ac:dyDescent="0.45">
      <c r="A175" s="104" t="s">
        <v>1211</v>
      </c>
      <c r="B175" s="125" t="s">
        <v>1212</v>
      </c>
      <c r="C175" s="105">
        <v>2016</v>
      </c>
      <c r="D175" s="105" t="s">
        <v>151</v>
      </c>
      <c r="E175" s="105" t="s">
        <v>78</v>
      </c>
      <c r="F175" s="105" t="s">
        <v>546</v>
      </c>
      <c r="G175" s="105" t="s">
        <v>518</v>
      </c>
      <c r="H175" s="105" t="s">
        <v>589</v>
      </c>
      <c r="I175" s="106" t="s">
        <v>256</v>
      </c>
      <c r="J175" s="104" t="s">
        <v>679</v>
      </c>
      <c r="K175" s="104" t="s">
        <v>75</v>
      </c>
      <c r="L175" s="107" t="s">
        <v>104</v>
      </c>
      <c r="M175" s="107">
        <v>2910000</v>
      </c>
      <c r="N175" s="104">
        <v>2286244.0388740054</v>
      </c>
      <c r="O175" s="104">
        <v>3168116.9519888754</v>
      </c>
      <c r="P175" s="104">
        <v>668553.15</v>
      </c>
      <c r="Q175" s="104">
        <v>668553.15</v>
      </c>
      <c r="R175" s="104">
        <v>926434.15654949995</v>
      </c>
      <c r="S175" s="104">
        <v>0</v>
      </c>
      <c r="T175" s="104">
        <v>0</v>
      </c>
      <c r="U175" s="112">
        <v>0</v>
      </c>
      <c r="V175" s="107" t="s">
        <v>81</v>
      </c>
      <c r="W175" s="104" t="s">
        <v>78</v>
      </c>
      <c r="X175" s="104" t="s">
        <v>81</v>
      </c>
      <c r="Y175" s="104" t="s">
        <v>78</v>
      </c>
      <c r="Z175" s="104" t="s">
        <v>81</v>
      </c>
      <c r="AA175" s="104">
        <v>0</v>
      </c>
      <c r="AB175" s="108" t="s">
        <v>78</v>
      </c>
      <c r="AC175" s="104">
        <v>0</v>
      </c>
      <c r="AD175" s="105" t="s">
        <v>78</v>
      </c>
      <c r="AE175" s="104">
        <v>0</v>
      </c>
      <c r="AF175" s="104" t="s">
        <v>78</v>
      </c>
      <c r="AG175" s="104">
        <v>0</v>
      </c>
      <c r="AH175" s="109" t="s">
        <v>81</v>
      </c>
      <c r="AI175" s="109" t="s">
        <v>78</v>
      </c>
      <c r="AJ175" s="109" t="s">
        <v>81</v>
      </c>
      <c r="AK175" s="109" t="s">
        <v>78</v>
      </c>
      <c r="AL175" s="109" t="s">
        <v>78</v>
      </c>
      <c r="AM175" s="109" t="s">
        <v>81</v>
      </c>
      <c r="AN175" s="109" t="s">
        <v>81</v>
      </c>
      <c r="AO175" s="109" t="s">
        <v>78</v>
      </c>
      <c r="AP175" s="109" t="s">
        <v>81</v>
      </c>
      <c r="AQ175" s="109">
        <v>1</v>
      </c>
      <c r="AR175" s="109" t="s">
        <v>104</v>
      </c>
    </row>
    <row r="176" spans="1:44" ht="30.6" customHeight="1" x14ac:dyDescent="0.45">
      <c r="A176" s="104" t="s">
        <v>1213</v>
      </c>
      <c r="B176" s="125" t="s">
        <v>1214</v>
      </c>
      <c r="C176" s="105">
        <v>2016</v>
      </c>
      <c r="D176" s="105" t="s">
        <v>501</v>
      </c>
      <c r="E176" s="105" t="s">
        <v>78</v>
      </c>
      <c r="F176" s="105" t="s">
        <v>551</v>
      </c>
      <c r="G176" s="105" t="s">
        <v>519</v>
      </c>
      <c r="H176" s="105" t="s">
        <v>228</v>
      </c>
      <c r="I176" s="106" t="s">
        <v>228</v>
      </c>
      <c r="J176" s="104" t="s">
        <v>689</v>
      </c>
      <c r="K176" s="104" t="s">
        <v>81</v>
      </c>
      <c r="L176" s="107" t="s">
        <v>126</v>
      </c>
      <c r="M176" s="107">
        <v>1000000</v>
      </c>
      <c r="N176" s="104">
        <v>721641.30097493739</v>
      </c>
      <c r="O176" s="104">
        <v>999999.99999999988</v>
      </c>
      <c r="P176" s="104">
        <v>723227.91</v>
      </c>
      <c r="Q176" s="104">
        <v>723227.91</v>
      </c>
      <c r="R176" s="104">
        <v>1002198.6117243</v>
      </c>
      <c r="S176" s="104">
        <v>723227.91</v>
      </c>
      <c r="T176" s="104">
        <v>723227.91</v>
      </c>
      <c r="U176" s="112">
        <v>1002198.6117243</v>
      </c>
      <c r="V176" s="107" t="s">
        <v>75</v>
      </c>
      <c r="W176" s="104" t="s">
        <v>1215</v>
      </c>
      <c r="X176" s="104" t="s">
        <v>75</v>
      </c>
      <c r="Y176" s="104" t="s">
        <v>1216</v>
      </c>
      <c r="Z176" s="104" t="s">
        <v>75</v>
      </c>
      <c r="AA176" s="104">
        <v>999</v>
      </c>
      <c r="AB176" s="108" t="s">
        <v>1217</v>
      </c>
      <c r="AC176" s="104">
        <v>999</v>
      </c>
      <c r="AD176" s="105" t="s">
        <v>1218</v>
      </c>
      <c r="AE176" s="110">
        <v>0</v>
      </c>
      <c r="AF176" s="104" t="s">
        <v>78</v>
      </c>
      <c r="AG176" s="104">
        <v>2</v>
      </c>
      <c r="AH176" s="109" t="s">
        <v>75</v>
      </c>
      <c r="AI176" s="109" t="s">
        <v>1219</v>
      </c>
      <c r="AJ176" s="109" t="s">
        <v>75</v>
      </c>
      <c r="AK176" s="109" t="s">
        <v>795</v>
      </c>
      <c r="AL176" s="109" t="s">
        <v>160</v>
      </c>
      <c r="AM176" s="109" t="s">
        <v>81</v>
      </c>
      <c r="AN176" s="109" t="s">
        <v>81</v>
      </c>
      <c r="AO176" s="109" t="s">
        <v>78</v>
      </c>
      <c r="AP176" s="109" t="s">
        <v>75</v>
      </c>
      <c r="AQ176" s="109">
        <v>1</v>
      </c>
      <c r="AR176" s="109" t="s">
        <v>126</v>
      </c>
    </row>
    <row r="177" spans="1:44" ht="30.6" customHeight="1" x14ac:dyDescent="0.45">
      <c r="A177" s="104" t="s">
        <v>1220</v>
      </c>
      <c r="B177" s="125" t="s">
        <v>1221</v>
      </c>
      <c r="C177" s="105">
        <v>2016</v>
      </c>
      <c r="D177" s="105" t="s">
        <v>513</v>
      </c>
      <c r="E177" s="105" t="s">
        <v>78</v>
      </c>
      <c r="F177" s="105" t="s">
        <v>539</v>
      </c>
      <c r="G177" s="105" t="s">
        <v>520</v>
      </c>
      <c r="H177" s="105" t="s">
        <v>228</v>
      </c>
      <c r="I177" s="106" t="s">
        <v>228</v>
      </c>
      <c r="J177" s="104" t="s">
        <v>676</v>
      </c>
      <c r="K177" s="104" t="s">
        <v>81</v>
      </c>
      <c r="L177" s="107" t="s">
        <v>74</v>
      </c>
      <c r="M177" s="107">
        <v>6600000</v>
      </c>
      <c r="N177" s="104">
        <v>6600000</v>
      </c>
      <c r="O177" s="104">
        <v>9145818</v>
      </c>
      <c r="P177" s="104">
        <v>6000000</v>
      </c>
      <c r="Q177" s="104">
        <v>6000000</v>
      </c>
      <c r="R177" s="104">
        <v>8314379.9999999991</v>
      </c>
      <c r="S177" s="104">
        <v>6000000</v>
      </c>
      <c r="T177" s="104">
        <v>6000000</v>
      </c>
      <c r="U177" s="112">
        <v>8314379.9999999991</v>
      </c>
      <c r="V177" s="107" t="s">
        <v>81</v>
      </c>
      <c r="W177" s="104" t="s">
        <v>78</v>
      </c>
      <c r="X177" s="104" t="s">
        <v>81</v>
      </c>
      <c r="Y177" s="104" t="s">
        <v>78</v>
      </c>
      <c r="Z177" s="104" t="s">
        <v>81</v>
      </c>
      <c r="AA177" s="104">
        <v>0</v>
      </c>
      <c r="AB177" s="108" t="s">
        <v>78</v>
      </c>
      <c r="AC177" s="104">
        <v>0</v>
      </c>
      <c r="AD177" s="105" t="s">
        <v>78</v>
      </c>
      <c r="AE177" s="104">
        <v>0</v>
      </c>
      <c r="AF177" s="104" t="s">
        <v>78</v>
      </c>
      <c r="AG177" s="104">
        <v>0</v>
      </c>
      <c r="AH177" s="109" t="s">
        <v>81</v>
      </c>
      <c r="AI177" s="109" t="s">
        <v>78</v>
      </c>
      <c r="AJ177" s="109" t="s">
        <v>81</v>
      </c>
      <c r="AK177" s="109" t="s">
        <v>78</v>
      </c>
      <c r="AL177" s="109" t="s">
        <v>78</v>
      </c>
      <c r="AM177" s="109" t="s">
        <v>81</v>
      </c>
      <c r="AN177" s="109" t="s">
        <v>81</v>
      </c>
      <c r="AO177" s="109" t="s">
        <v>78</v>
      </c>
      <c r="AP177" s="109" t="s">
        <v>81</v>
      </c>
      <c r="AQ177" s="109">
        <v>1</v>
      </c>
      <c r="AR177" s="109" t="s">
        <v>74</v>
      </c>
    </row>
    <row r="178" spans="1:44" ht="30.6" customHeight="1" x14ac:dyDescent="0.45">
      <c r="A178" s="104" t="s">
        <v>1222</v>
      </c>
      <c r="B178" s="125" t="s">
        <v>1223</v>
      </c>
      <c r="C178" s="105">
        <v>2016</v>
      </c>
      <c r="D178" s="105" t="s">
        <v>516</v>
      </c>
      <c r="E178" s="105" t="s">
        <v>78</v>
      </c>
      <c r="F178" s="105" t="s">
        <v>569</v>
      </c>
      <c r="G178" s="105" t="s">
        <v>519</v>
      </c>
      <c r="H178" s="105" t="s">
        <v>228</v>
      </c>
      <c r="I178" s="106" t="s">
        <v>228</v>
      </c>
      <c r="J178" s="104" t="s">
        <v>689</v>
      </c>
      <c r="K178" s="104" t="s">
        <v>81</v>
      </c>
      <c r="L178" s="107" t="s">
        <v>74</v>
      </c>
      <c r="M178" s="107">
        <v>917000</v>
      </c>
      <c r="N178" s="104">
        <v>917000</v>
      </c>
      <c r="O178" s="104">
        <v>1270714.4099999999</v>
      </c>
      <c r="P178" s="104">
        <v>720000</v>
      </c>
      <c r="Q178" s="104">
        <v>720000</v>
      </c>
      <c r="R178" s="104">
        <v>997725.6</v>
      </c>
      <c r="S178" s="104">
        <v>720000</v>
      </c>
      <c r="T178" s="104">
        <v>720000</v>
      </c>
      <c r="U178" s="112">
        <v>997725.6</v>
      </c>
      <c r="V178" s="107" t="s">
        <v>81</v>
      </c>
      <c r="W178" s="104" t="s">
        <v>78</v>
      </c>
      <c r="X178" s="104" t="s">
        <v>81</v>
      </c>
      <c r="Y178" s="104" t="s">
        <v>78</v>
      </c>
      <c r="Z178" s="104" t="s">
        <v>81</v>
      </c>
      <c r="AA178" s="104">
        <v>0</v>
      </c>
      <c r="AB178" s="108" t="s">
        <v>78</v>
      </c>
      <c r="AC178" s="104">
        <v>0</v>
      </c>
      <c r="AD178" s="105" t="s">
        <v>78</v>
      </c>
      <c r="AE178" s="104">
        <v>0</v>
      </c>
      <c r="AF178" s="104" t="s">
        <v>78</v>
      </c>
      <c r="AG178" s="104">
        <v>0</v>
      </c>
      <c r="AH178" s="109" t="s">
        <v>81</v>
      </c>
      <c r="AI178" s="109" t="s">
        <v>78</v>
      </c>
      <c r="AJ178" s="109" t="s">
        <v>81</v>
      </c>
      <c r="AK178" s="109" t="s">
        <v>78</v>
      </c>
      <c r="AL178" s="109" t="s">
        <v>78</v>
      </c>
      <c r="AM178" s="109" t="s">
        <v>81</v>
      </c>
      <c r="AN178" s="109" t="s">
        <v>81</v>
      </c>
      <c r="AO178" s="109" t="s">
        <v>78</v>
      </c>
      <c r="AP178" s="109" t="s">
        <v>81</v>
      </c>
      <c r="AQ178" s="109">
        <v>1</v>
      </c>
      <c r="AR178" s="109" t="s">
        <v>74</v>
      </c>
    </row>
    <row r="179" spans="1:44" ht="30.6" customHeight="1" x14ac:dyDescent="0.45">
      <c r="A179" s="104" t="s">
        <v>1224</v>
      </c>
      <c r="B179" s="125" t="s">
        <v>1225</v>
      </c>
      <c r="C179" s="105">
        <v>2016</v>
      </c>
      <c r="D179" s="105" t="s">
        <v>514</v>
      </c>
      <c r="E179" s="105" t="s">
        <v>78</v>
      </c>
      <c r="F179" s="105" t="s">
        <v>567</v>
      </c>
      <c r="G179" s="105" t="s">
        <v>522</v>
      </c>
      <c r="H179" s="105" t="s">
        <v>593</v>
      </c>
      <c r="I179" s="106" t="s">
        <v>101</v>
      </c>
      <c r="J179" s="104" t="s">
        <v>679</v>
      </c>
      <c r="K179" s="104" t="s">
        <v>75</v>
      </c>
      <c r="L179" s="107" t="s">
        <v>126</v>
      </c>
      <c r="M179" s="107">
        <v>1500000</v>
      </c>
      <c r="N179" s="104">
        <v>1082461.9514624062</v>
      </c>
      <c r="O179" s="104">
        <v>1500000</v>
      </c>
      <c r="P179" s="104">
        <v>1084841.8700000001</v>
      </c>
      <c r="Q179" s="104">
        <v>1084841.8700000001</v>
      </c>
      <c r="R179" s="104">
        <v>1503297.9245151</v>
      </c>
      <c r="S179" s="104">
        <v>0</v>
      </c>
      <c r="T179" s="104">
        <v>0</v>
      </c>
      <c r="U179" s="112">
        <v>0</v>
      </c>
      <c r="V179" s="107" t="s">
        <v>81</v>
      </c>
      <c r="W179" s="104" t="s">
        <v>78</v>
      </c>
      <c r="X179" s="104" t="s">
        <v>81</v>
      </c>
      <c r="Y179" s="104" t="s">
        <v>78</v>
      </c>
      <c r="Z179" s="104" t="s">
        <v>81</v>
      </c>
      <c r="AA179" s="104">
        <v>0</v>
      </c>
      <c r="AB179" s="108" t="s">
        <v>78</v>
      </c>
      <c r="AC179" s="104">
        <v>0</v>
      </c>
      <c r="AD179" s="105" t="s">
        <v>78</v>
      </c>
      <c r="AE179" s="104">
        <v>0</v>
      </c>
      <c r="AF179" s="104" t="s">
        <v>78</v>
      </c>
      <c r="AG179" s="104">
        <v>0</v>
      </c>
      <c r="AH179" s="109" t="s">
        <v>81</v>
      </c>
      <c r="AI179" s="109" t="s">
        <v>78</v>
      </c>
      <c r="AJ179" s="109" t="s">
        <v>81</v>
      </c>
      <c r="AK179" s="109" t="s">
        <v>78</v>
      </c>
      <c r="AL179" s="109" t="s">
        <v>78</v>
      </c>
      <c r="AM179" s="109" t="s">
        <v>81</v>
      </c>
      <c r="AN179" s="109" t="s">
        <v>81</v>
      </c>
      <c r="AO179" s="109" t="s">
        <v>78</v>
      </c>
      <c r="AP179" s="109" t="s">
        <v>81</v>
      </c>
      <c r="AQ179" s="109">
        <v>1</v>
      </c>
      <c r="AR179" s="109" t="s">
        <v>126</v>
      </c>
    </row>
    <row r="180" spans="1:44" ht="30.6" customHeight="1" x14ac:dyDescent="0.45">
      <c r="A180" s="104" t="s">
        <v>1226</v>
      </c>
      <c r="B180" s="125" t="s">
        <v>1227</v>
      </c>
      <c r="C180" s="105">
        <v>2016</v>
      </c>
      <c r="D180" s="105" t="s">
        <v>87</v>
      </c>
      <c r="E180" s="105" t="s">
        <v>1228</v>
      </c>
      <c r="F180" s="105" t="s">
        <v>87</v>
      </c>
      <c r="G180" s="105" t="s">
        <v>87</v>
      </c>
      <c r="H180" s="105" t="s">
        <v>596</v>
      </c>
      <c r="I180" s="106" t="s">
        <v>101</v>
      </c>
      <c r="J180" s="104" t="s">
        <v>676</v>
      </c>
      <c r="K180" s="104" t="s">
        <v>81</v>
      </c>
      <c r="L180" s="107" t="s">
        <v>74</v>
      </c>
      <c r="M180" s="107">
        <v>16000000</v>
      </c>
      <c r="N180" s="104">
        <v>16000000</v>
      </c>
      <c r="O180" s="104">
        <v>22171680</v>
      </c>
      <c r="P180" s="104">
        <v>16000000</v>
      </c>
      <c r="Q180" s="104">
        <v>16000000</v>
      </c>
      <c r="R180" s="104">
        <v>22171680</v>
      </c>
      <c r="S180" s="104">
        <v>16000000</v>
      </c>
      <c r="T180" s="104">
        <v>16000000</v>
      </c>
      <c r="U180" s="112">
        <v>22171680</v>
      </c>
      <c r="V180" s="107" t="s">
        <v>81</v>
      </c>
      <c r="W180" s="104" t="s">
        <v>78</v>
      </c>
      <c r="X180" s="104" t="s">
        <v>81</v>
      </c>
      <c r="Y180" s="104" t="s">
        <v>78</v>
      </c>
      <c r="Z180" s="104" t="s">
        <v>81</v>
      </c>
      <c r="AA180" s="104">
        <v>0</v>
      </c>
      <c r="AB180" s="108" t="s">
        <v>78</v>
      </c>
      <c r="AC180" s="104">
        <v>0</v>
      </c>
      <c r="AD180" s="105" t="s">
        <v>78</v>
      </c>
      <c r="AE180" s="104">
        <v>0</v>
      </c>
      <c r="AF180" s="104" t="s">
        <v>78</v>
      </c>
      <c r="AG180" s="104">
        <v>0</v>
      </c>
      <c r="AH180" s="109" t="s">
        <v>81</v>
      </c>
      <c r="AI180" s="109" t="s">
        <v>78</v>
      </c>
      <c r="AJ180" s="109" t="s">
        <v>81</v>
      </c>
      <c r="AK180" s="109" t="s">
        <v>78</v>
      </c>
      <c r="AL180" s="109" t="s">
        <v>78</v>
      </c>
      <c r="AM180" s="109" t="s">
        <v>81</v>
      </c>
      <c r="AN180" s="109" t="s">
        <v>81</v>
      </c>
      <c r="AO180" s="109" t="s">
        <v>78</v>
      </c>
      <c r="AP180" s="109" t="s">
        <v>81</v>
      </c>
      <c r="AQ180" s="109">
        <v>1</v>
      </c>
      <c r="AR180" s="109" t="s">
        <v>74</v>
      </c>
    </row>
    <row r="181" spans="1:44" ht="30.6" customHeight="1" x14ac:dyDescent="0.45">
      <c r="A181" s="104" t="s">
        <v>1229</v>
      </c>
      <c r="B181" s="125" t="s">
        <v>1230</v>
      </c>
      <c r="C181" s="105">
        <v>2016</v>
      </c>
      <c r="D181" s="105" t="s">
        <v>510</v>
      </c>
      <c r="E181" s="105" t="s">
        <v>78</v>
      </c>
      <c r="F181" s="105" t="s">
        <v>568</v>
      </c>
      <c r="G181" s="105" t="s">
        <v>519</v>
      </c>
      <c r="H181" s="105" t="s">
        <v>466</v>
      </c>
      <c r="I181" s="106" t="s">
        <v>466</v>
      </c>
      <c r="J181" s="104" t="s">
        <v>689</v>
      </c>
      <c r="K181" s="104" t="s">
        <v>81</v>
      </c>
      <c r="L181" s="107" t="s">
        <v>74</v>
      </c>
      <c r="M181" s="107">
        <v>269486</v>
      </c>
      <c r="N181" s="104">
        <v>269486</v>
      </c>
      <c r="O181" s="104">
        <v>373434.83477999998</v>
      </c>
      <c r="P181" s="104">
        <v>205950</v>
      </c>
      <c r="Q181" s="104">
        <v>205950</v>
      </c>
      <c r="R181" s="104">
        <v>285391.09349999996</v>
      </c>
      <c r="S181" s="104">
        <v>205950</v>
      </c>
      <c r="T181" s="104">
        <v>205950</v>
      </c>
      <c r="U181" s="112">
        <v>285391.09349999996</v>
      </c>
      <c r="V181" s="107" t="s">
        <v>81</v>
      </c>
      <c r="W181" s="104" t="s">
        <v>78</v>
      </c>
      <c r="X181" s="104" t="s">
        <v>81</v>
      </c>
      <c r="Y181" s="104" t="s">
        <v>78</v>
      </c>
      <c r="Z181" s="104" t="s">
        <v>81</v>
      </c>
      <c r="AA181" s="104">
        <v>0</v>
      </c>
      <c r="AB181" s="108" t="s">
        <v>78</v>
      </c>
      <c r="AC181" s="104">
        <v>0</v>
      </c>
      <c r="AD181" s="105" t="s">
        <v>78</v>
      </c>
      <c r="AE181" s="104">
        <v>0</v>
      </c>
      <c r="AF181" s="104" t="s">
        <v>78</v>
      </c>
      <c r="AG181" s="104">
        <v>0</v>
      </c>
      <c r="AH181" s="109" t="s">
        <v>81</v>
      </c>
      <c r="AI181" s="109" t="s">
        <v>78</v>
      </c>
      <c r="AJ181" s="109" t="s">
        <v>81</v>
      </c>
      <c r="AK181" s="109" t="s">
        <v>78</v>
      </c>
      <c r="AL181" s="109" t="s">
        <v>78</v>
      </c>
      <c r="AM181" s="109" t="s">
        <v>81</v>
      </c>
      <c r="AN181" s="109" t="s">
        <v>81</v>
      </c>
      <c r="AO181" s="109" t="s">
        <v>78</v>
      </c>
      <c r="AP181" s="109" t="s">
        <v>81</v>
      </c>
      <c r="AQ181" s="109">
        <v>1</v>
      </c>
      <c r="AR181" s="109" t="s">
        <v>74</v>
      </c>
    </row>
    <row r="182" spans="1:44" ht="30.6" customHeight="1" x14ac:dyDescent="0.45">
      <c r="A182" s="104" t="s">
        <v>1231</v>
      </c>
      <c r="B182" s="125" t="s">
        <v>1232</v>
      </c>
      <c r="C182" s="105">
        <v>2016</v>
      </c>
      <c r="D182" s="105" t="s">
        <v>353</v>
      </c>
      <c r="E182" s="105" t="s">
        <v>78</v>
      </c>
      <c r="F182" s="105" t="s">
        <v>78</v>
      </c>
      <c r="G182" s="105" t="s">
        <v>519</v>
      </c>
      <c r="H182" s="105" t="s">
        <v>571</v>
      </c>
      <c r="I182" s="106" t="s">
        <v>466</v>
      </c>
      <c r="J182" s="104" t="s">
        <v>689</v>
      </c>
      <c r="K182" s="104" t="s">
        <v>81</v>
      </c>
      <c r="L182" s="107" t="s">
        <v>74</v>
      </c>
      <c r="M182" s="107">
        <v>460000</v>
      </c>
      <c r="N182" s="104">
        <v>460000</v>
      </c>
      <c r="O182" s="104">
        <v>637435.79999999993</v>
      </c>
      <c r="P182" s="104">
        <v>396985</v>
      </c>
      <c r="Q182" s="104">
        <v>396985</v>
      </c>
      <c r="R182" s="104">
        <v>550114.02405000001</v>
      </c>
      <c r="S182" s="104">
        <v>396985</v>
      </c>
      <c r="T182" s="104">
        <v>396985</v>
      </c>
      <c r="U182" s="112">
        <v>550114.02405000001</v>
      </c>
      <c r="V182" s="107" t="s">
        <v>81</v>
      </c>
      <c r="W182" s="104" t="s">
        <v>78</v>
      </c>
      <c r="X182" s="104" t="s">
        <v>81</v>
      </c>
      <c r="Y182" s="104" t="s">
        <v>78</v>
      </c>
      <c r="Z182" s="104" t="s">
        <v>81</v>
      </c>
      <c r="AA182" s="104">
        <v>0</v>
      </c>
      <c r="AB182" s="108" t="s">
        <v>78</v>
      </c>
      <c r="AC182" s="104">
        <v>0</v>
      </c>
      <c r="AD182" s="105" t="s">
        <v>78</v>
      </c>
      <c r="AE182" s="104">
        <v>0</v>
      </c>
      <c r="AF182" s="104" t="s">
        <v>78</v>
      </c>
      <c r="AG182" s="104">
        <v>0</v>
      </c>
      <c r="AH182" s="109" t="s">
        <v>81</v>
      </c>
      <c r="AI182" s="109" t="s">
        <v>78</v>
      </c>
      <c r="AJ182" s="109" t="s">
        <v>81</v>
      </c>
      <c r="AK182" s="109" t="s">
        <v>78</v>
      </c>
      <c r="AL182" s="109" t="s">
        <v>78</v>
      </c>
      <c r="AM182" s="109" t="s">
        <v>81</v>
      </c>
      <c r="AN182" s="109" t="s">
        <v>81</v>
      </c>
      <c r="AO182" s="109" t="s">
        <v>78</v>
      </c>
      <c r="AP182" s="109" t="s">
        <v>81</v>
      </c>
      <c r="AQ182" s="109">
        <v>1</v>
      </c>
      <c r="AR182" s="109" t="s">
        <v>74</v>
      </c>
    </row>
    <row r="183" spans="1:44" ht="30.6" customHeight="1" x14ac:dyDescent="0.45">
      <c r="A183" s="104" t="s">
        <v>1233</v>
      </c>
      <c r="B183" s="125" t="s">
        <v>1234</v>
      </c>
      <c r="C183" s="105">
        <v>2016</v>
      </c>
      <c r="D183" s="105" t="s">
        <v>297</v>
      </c>
      <c r="E183" s="105" t="s">
        <v>78</v>
      </c>
      <c r="F183" s="105" t="s">
        <v>566</v>
      </c>
      <c r="G183" s="105" t="s">
        <v>522</v>
      </c>
      <c r="H183" s="105" t="s">
        <v>599</v>
      </c>
      <c r="I183" s="106" t="s">
        <v>101</v>
      </c>
      <c r="J183" s="104" t="s">
        <v>676</v>
      </c>
      <c r="K183" s="104" t="s">
        <v>81</v>
      </c>
      <c r="L183" s="107" t="s">
        <v>74</v>
      </c>
      <c r="M183" s="107">
        <v>12000000</v>
      </c>
      <c r="N183" s="104">
        <v>12000000</v>
      </c>
      <c r="O183" s="104">
        <v>16628759.999999998</v>
      </c>
      <c r="P183" s="104">
        <v>12000000</v>
      </c>
      <c r="Q183" s="104">
        <v>12000000</v>
      </c>
      <c r="R183" s="104">
        <v>16628759.999999998</v>
      </c>
      <c r="S183" s="104">
        <v>12000000</v>
      </c>
      <c r="T183" s="104">
        <v>12000000</v>
      </c>
      <c r="U183" s="112">
        <v>16628759.999999998</v>
      </c>
      <c r="V183" s="107" t="s">
        <v>81</v>
      </c>
      <c r="W183" s="104" t="s">
        <v>78</v>
      </c>
      <c r="X183" s="104" t="s">
        <v>81</v>
      </c>
      <c r="Y183" s="104" t="s">
        <v>78</v>
      </c>
      <c r="Z183" s="104" t="s">
        <v>81</v>
      </c>
      <c r="AA183" s="104">
        <v>0</v>
      </c>
      <c r="AB183" s="108" t="s">
        <v>78</v>
      </c>
      <c r="AC183" s="104">
        <v>0</v>
      </c>
      <c r="AD183" s="105" t="s">
        <v>78</v>
      </c>
      <c r="AE183" s="104">
        <v>0</v>
      </c>
      <c r="AF183" s="104" t="s">
        <v>78</v>
      </c>
      <c r="AG183" s="104">
        <v>0</v>
      </c>
      <c r="AH183" s="109" t="s">
        <v>81</v>
      </c>
      <c r="AI183" s="109" t="s">
        <v>78</v>
      </c>
      <c r="AJ183" s="109" t="s">
        <v>81</v>
      </c>
      <c r="AK183" s="109" t="s">
        <v>78</v>
      </c>
      <c r="AL183" s="109" t="s">
        <v>78</v>
      </c>
      <c r="AM183" s="109" t="s">
        <v>81</v>
      </c>
      <c r="AN183" s="109" t="s">
        <v>81</v>
      </c>
      <c r="AO183" s="109" t="s">
        <v>78</v>
      </c>
      <c r="AP183" s="109" t="s">
        <v>81</v>
      </c>
      <c r="AQ183" s="109">
        <v>1</v>
      </c>
      <c r="AR183" s="109" t="s">
        <v>74</v>
      </c>
    </row>
    <row r="184" spans="1:44" ht="30.6" customHeight="1" x14ac:dyDescent="0.45">
      <c r="A184" s="104" t="s">
        <v>1235</v>
      </c>
      <c r="B184" s="125" t="s">
        <v>1236</v>
      </c>
      <c r="C184" s="105">
        <v>2016</v>
      </c>
      <c r="D184" s="105" t="s">
        <v>514</v>
      </c>
      <c r="E184" s="105" t="s">
        <v>78</v>
      </c>
      <c r="F184" s="105" t="s">
        <v>567</v>
      </c>
      <c r="G184" s="105" t="s">
        <v>522</v>
      </c>
      <c r="H184" s="105" t="s">
        <v>587</v>
      </c>
      <c r="I184" s="106" t="s">
        <v>256</v>
      </c>
      <c r="J184" s="104" t="s">
        <v>676</v>
      </c>
      <c r="K184" s="104" t="s">
        <v>81</v>
      </c>
      <c r="L184" s="107" t="s">
        <v>74</v>
      </c>
      <c r="M184" s="107">
        <v>73110000</v>
      </c>
      <c r="N184" s="104">
        <v>73110000</v>
      </c>
      <c r="O184" s="104">
        <v>101310720.3</v>
      </c>
      <c r="P184" s="104">
        <v>65800000</v>
      </c>
      <c r="Q184" s="104">
        <v>65800000</v>
      </c>
      <c r="R184" s="104">
        <v>91181034</v>
      </c>
      <c r="S184" s="104">
        <v>65800000</v>
      </c>
      <c r="T184" s="104">
        <v>65800000</v>
      </c>
      <c r="U184" s="112">
        <v>91181034</v>
      </c>
      <c r="V184" s="107" t="s">
        <v>75</v>
      </c>
      <c r="W184" s="104" t="s">
        <v>1237</v>
      </c>
      <c r="X184" s="104" t="s">
        <v>81</v>
      </c>
      <c r="Y184" s="104" t="s">
        <v>78</v>
      </c>
      <c r="Z184" s="104" t="s">
        <v>75</v>
      </c>
      <c r="AA184" s="104">
        <v>999</v>
      </c>
      <c r="AB184" s="108" t="s">
        <v>1238</v>
      </c>
      <c r="AC184" s="104">
        <v>0</v>
      </c>
      <c r="AD184" s="105" t="s">
        <v>78</v>
      </c>
      <c r="AE184" s="104">
        <v>0</v>
      </c>
      <c r="AF184" s="104" t="s">
        <v>78</v>
      </c>
      <c r="AG184" s="104">
        <v>1</v>
      </c>
      <c r="AH184" s="109" t="s">
        <v>75</v>
      </c>
      <c r="AI184" s="109" t="s">
        <v>1239</v>
      </c>
      <c r="AJ184" s="109" t="s">
        <v>75</v>
      </c>
      <c r="AK184" s="109" t="s">
        <v>466</v>
      </c>
      <c r="AL184" s="109" t="s">
        <v>704</v>
      </c>
      <c r="AM184" s="109" t="s">
        <v>81</v>
      </c>
      <c r="AN184" s="109" t="s">
        <v>81</v>
      </c>
      <c r="AO184" s="109" t="s">
        <v>78</v>
      </c>
      <c r="AP184" s="109" t="s">
        <v>81</v>
      </c>
      <c r="AQ184" s="109">
        <v>1</v>
      </c>
      <c r="AR184" s="109" t="s">
        <v>74</v>
      </c>
    </row>
    <row r="185" spans="1:44" ht="30.6" customHeight="1" x14ac:dyDescent="0.45">
      <c r="A185" s="104" t="s">
        <v>1240</v>
      </c>
      <c r="B185" s="125" t="s">
        <v>1241</v>
      </c>
      <c r="C185" s="105">
        <v>2016</v>
      </c>
      <c r="D185" s="105" t="s">
        <v>314</v>
      </c>
      <c r="E185" s="105" t="s">
        <v>78</v>
      </c>
      <c r="F185" s="105" t="s">
        <v>557</v>
      </c>
      <c r="G185" s="105" t="s">
        <v>522</v>
      </c>
      <c r="H185" s="105" t="s">
        <v>578</v>
      </c>
      <c r="I185" s="106" t="s">
        <v>115</v>
      </c>
      <c r="J185" s="104" t="s">
        <v>676</v>
      </c>
      <c r="K185" s="104" t="s">
        <v>81</v>
      </c>
      <c r="L185" s="107" t="s">
        <v>1242</v>
      </c>
      <c r="M185" s="107">
        <v>27367584</v>
      </c>
      <c r="N185" s="104">
        <v>3241729.0115940245</v>
      </c>
      <c r="O185" s="104">
        <v>4492161.1432361873</v>
      </c>
      <c r="P185" s="104">
        <v>3200000</v>
      </c>
      <c r="Q185" s="104">
        <v>3200000</v>
      </c>
      <c r="R185" s="104">
        <v>4434336</v>
      </c>
      <c r="S185" s="104">
        <v>3200000</v>
      </c>
      <c r="T185" s="104">
        <v>3200000</v>
      </c>
      <c r="U185" s="112">
        <v>4434336</v>
      </c>
      <c r="V185" s="107" t="s">
        <v>81</v>
      </c>
      <c r="W185" s="104" t="s">
        <v>78</v>
      </c>
      <c r="X185" s="104" t="s">
        <v>81</v>
      </c>
      <c r="Y185" s="104" t="s">
        <v>78</v>
      </c>
      <c r="Z185" s="104" t="s">
        <v>81</v>
      </c>
      <c r="AA185" s="104">
        <v>0</v>
      </c>
      <c r="AB185" s="108" t="s">
        <v>78</v>
      </c>
      <c r="AC185" s="104">
        <v>0</v>
      </c>
      <c r="AD185" s="105" t="s">
        <v>78</v>
      </c>
      <c r="AE185" s="104">
        <v>0</v>
      </c>
      <c r="AF185" s="104" t="s">
        <v>78</v>
      </c>
      <c r="AG185" s="104">
        <v>0</v>
      </c>
      <c r="AH185" s="109" t="s">
        <v>81</v>
      </c>
      <c r="AI185" s="109" t="s">
        <v>78</v>
      </c>
      <c r="AJ185" s="109" t="s">
        <v>81</v>
      </c>
      <c r="AK185" s="109" t="s">
        <v>78</v>
      </c>
      <c r="AL185" s="109" t="s">
        <v>78</v>
      </c>
      <c r="AM185" s="109" t="s">
        <v>81</v>
      </c>
      <c r="AN185" s="109" t="s">
        <v>81</v>
      </c>
      <c r="AO185" s="109" t="s">
        <v>78</v>
      </c>
      <c r="AP185" s="109" t="s">
        <v>81</v>
      </c>
      <c r="AQ185" s="109">
        <v>1</v>
      </c>
      <c r="AR185" s="109" t="s">
        <v>1242</v>
      </c>
    </row>
    <row r="186" spans="1:44" ht="30.6" customHeight="1" x14ac:dyDescent="0.45">
      <c r="A186" s="104" t="s">
        <v>1243</v>
      </c>
      <c r="B186" s="125" t="s">
        <v>1244</v>
      </c>
      <c r="C186" s="105">
        <v>2016</v>
      </c>
      <c r="D186" s="105" t="s">
        <v>226</v>
      </c>
      <c r="E186" s="105" t="s">
        <v>78</v>
      </c>
      <c r="F186" s="105" t="s">
        <v>534</v>
      </c>
      <c r="G186" s="105" t="s">
        <v>518</v>
      </c>
      <c r="H186" s="105" t="s">
        <v>581</v>
      </c>
      <c r="I186" s="106" t="s">
        <v>228</v>
      </c>
      <c r="J186" s="104" t="s">
        <v>689</v>
      </c>
      <c r="K186" s="104" t="s">
        <v>81</v>
      </c>
      <c r="L186" s="107" t="s">
        <v>74</v>
      </c>
      <c r="M186" s="107">
        <v>440000</v>
      </c>
      <c r="N186" s="104">
        <v>440000</v>
      </c>
      <c r="O186" s="104">
        <v>609721.19999999995</v>
      </c>
      <c r="P186" s="104">
        <v>400000</v>
      </c>
      <c r="Q186" s="104">
        <v>400000</v>
      </c>
      <c r="R186" s="104">
        <v>554292</v>
      </c>
      <c r="S186" s="104">
        <v>400000</v>
      </c>
      <c r="T186" s="104">
        <v>400000</v>
      </c>
      <c r="U186" s="112">
        <v>554292</v>
      </c>
      <c r="V186" s="107" t="s">
        <v>81</v>
      </c>
      <c r="W186" s="104" t="s">
        <v>78</v>
      </c>
      <c r="X186" s="104" t="s">
        <v>81</v>
      </c>
      <c r="Y186" s="104" t="s">
        <v>78</v>
      </c>
      <c r="Z186" s="104" t="s">
        <v>81</v>
      </c>
      <c r="AA186" s="104">
        <v>0</v>
      </c>
      <c r="AB186" s="108" t="s">
        <v>78</v>
      </c>
      <c r="AC186" s="104">
        <v>0</v>
      </c>
      <c r="AD186" s="105" t="s">
        <v>78</v>
      </c>
      <c r="AE186" s="104">
        <v>0</v>
      </c>
      <c r="AF186" s="104" t="s">
        <v>78</v>
      </c>
      <c r="AG186" s="104">
        <v>0</v>
      </c>
      <c r="AH186" s="109" t="s">
        <v>81</v>
      </c>
      <c r="AI186" s="109" t="s">
        <v>78</v>
      </c>
      <c r="AJ186" s="109" t="s">
        <v>81</v>
      </c>
      <c r="AK186" s="109" t="s">
        <v>78</v>
      </c>
      <c r="AL186" s="109" t="s">
        <v>78</v>
      </c>
      <c r="AM186" s="109" t="s">
        <v>81</v>
      </c>
      <c r="AN186" s="109" t="s">
        <v>81</v>
      </c>
      <c r="AO186" s="109" t="s">
        <v>78</v>
      </c>
      <c r="AP186" s="109" t="s">
        <v>81</v>
      </c>
      <c r="AQ186" s="109">
        <v>1</v>
      </c>
      <c r="AR186" s="109" t="s">
        <v>74</v>
      </c>
    </row>
    <row r="187" spans="1:44" ht="30.6" customHeight="1" x14ac:dyDescent="0.45">
      <c r="A187" s="104" t="s">
        <v>1245</v>
      </c>
      <c r="B187" s="125" t="s">
        <v>1246</v>
      </c>
      <c r="C187" s="105">
        <v>2016</v>
      </c>
      <c r="D187" s="105" t="s">
        <v>509</v>
      </c>
      <c r="E187" s="105" t="s">
        <v>78</v>
      </c>
      <c r="F187" s="105" t="s">
        <v>560</v>
      </c>
      <c r="G187" s="105" t="s">
        <v>522</v>
      </c>
      <c r="H187" s="105" t="s">
        <v>579</v>
      </c>
      <c r="I187" s="106" t="s">
        <v>115</v>
      </c>
      <c r="J187" s="104" t="s">
        <v>676</v>
      </c>
      <c r="K187" s="104" t="s">
        <v>81</v>
      </c>
      <c r="L187" s="107" t="s">
        <v>74</v>
      </c>
      <c r="M187" s="107">
        <v>3300000</v>
      </c>
      <c r="N187" s="104">
        <v>3300000</v>
      </c>
      <c r="O187" s="104">
        <v>4572909</v>
      </c>
      <c r="P187" s="104">
        <v>3000000</v>
      </c>
      <c r="Q187" s="104">
        <v>3000000</v>
      </c>
      <c r="R187" s="104">
        <v>4157189.9999999995</v>
      </c>
      <c r="S187" s="104">
        <v>3000000</v>
      </c>
      <c r="T187" s="104">
        <v>3000000</v>
      </c>
      <c r="U187" s="112">
        <v>4157189.9999999995</v>
      </c>
      <c r="V187" s="107" t="s">
        <v>81</v>
      </c>
      <c r="W187" s="104" t="s">
        <v>78</v>
      </c>
      <c r="X187" s="104" t="s">
        <v>81</v>
      </c>
      <c r="Y187" s="104" t="s">
        <v>78</v>
      </c>
      <c r="Z187" s="104" t="s">
        <v>81</v>
      </c>
      <c r="AA187" s="104">
        <v>0</v>
      </c>
      <c r="AB187" s="108" t="s">
        <v>78</v>
      </c>
      <c r="AC187" s="104">
        <v>0</v>
      </c>
      <c r="AD187" s="105" t="s">
        <v>78</v>
      </c>
      <c r="AE187" s="104">
        <v>0</v>
      </c>
      <c r="AF187" s="104" t="s">
        <v>78</v>
      </c>
      <c r="AG187" s="104">
        <v>0</v>
      </c>
      <c r="AH187" s="109" t="s">
        <v>81</v>
      </c>
      <c r="AI187" s="109" t="s">
        <v>78</v>
      </c>
      <c r="AJ187" s="109" t="s">
        <v>81</v>
      </c>
      <c r="AK187" s="109" t="s">
        <v>78</v>
      </c>
      <c r="AL187" s="109" t="s">
        <v>78</v>
      </c>
      <c r="AM187" s="109" t="s">
        <v>81</v>
      </c>
      <c r="AN187" s="109" t="s">
        <v>81</v>
      </c>
      <c r="AO187" s="109" t="s">
        <v>78</v>
      </c>
      <c r="AP187" s="109" t="s">
        <v>81</v>
      </c>
      <c r="AQ187" s="109">
        <v>1</v>
      </c>
      <c r="AR187" s="109" t="s">
        <v>74</v>
      </c>
    </row>
    <row r="188" spans="1:44" ht="30.6" customHeight="1" x14ac:dyDescent="0.45">
      <c r="A188" s="104" t="s">
        <v>1247</v>
      </c>
      <c r="B188" s="125" t="s">
        <v>1248</v>
      </c>
      <c r="C188" s="105">
        <v>2016</v>
      </c>
      <c r="D188" s="105" t="s">
        <v>514</v>
      </c>
      <c r="E188" s="105" t="s">
        <v>78</v>
      </c>
      <c r="F188" s="105" t="s">
        <v>567</v>
      </c>
      <c r="G188" s="105" t="s">
        <v>522</v>
      </c>
      <c r="H188" s="105" t="s">
        <v>228</v>
      </c>
      <c r="I188" s="106" t="s">
        <v>228</v>
      </c>
      <c r="J188" s="104" t="s">
        <v>689</v>
      </c>
      <c r="K188" s="104" t="s">
        <v>81</v>
      </c>
      <c r="L188" s="107" t="s">
        <v>126</v>
      </c>
      <c r="M188" s="107">
        <v>91430000</v>
      </c>
      <c r="N188" s="104">
        <v>65979664.148138531</v>
      </c>
      <c r="O188" s="104">
        <v>91430000</v>
      </c>
      <c r="P188" s="104">
        <v>55471580.759999998</v>
      </c>
      <c r="Q188" s="104">
        <v>55471580.759999998</v>
      </c>
      <c r="R188" s="104">
        <v>76868633.606554791</v>
      </c>
      <c r="S188" s="104">
        <v>55471580.759999998</v>
      </c>
      <c r="T188" s="104">
        <v>55471580.759999998</v>
      </c>
      <c r="U188" s="112">
        <v>76868633.606554791</v>
      </c>
      <c r="V188" s="107" t="s">
        <v>81</v>
      </c>
      <c r="W188" s="104" t="s">
        <v>78</v>
      </c>
      <c r="X188" s="104" t="s">
        <v>81</v>
      </c>
      <c r="Y188" s="104" t="s">
        <v>78</v>
      </c>
      <c r="Z188" s="104" t="s">
        <v>81</v>
      </c>
      <c r="AA188" s="104">
        <v>0</v>
      </c>
      <c r="AB188" s="108" t="s">
        <v>78</v>
      </c>
      <c r="AC188" s="104">
        <v>0</v>
      </c>
      <c r="AD188" s="105" t="s">
        <v>78</v>
      </c>
      <c r="AE188" s="104">
        <v>0</v>
      </c>
      <c r="AF188" s="104" t="s">
        <v>78</v>
      </c>
      <c r="AG188" s="104">
        <v>0</v>
      </c>
      <c r="AH188" s="109" t="s">
        <v>81</v>
      </c>
      <c r="AI188" s="109" t="s">
        <v>78</v>
      </c>
      <c r="AJ188" s="109" t="s">
        <v>81</v>
      </c>
      <c r="AK188" s="109" t="s">
        <v>78</v>
      </c>
      <c r="AL188" s="109" t="s">
        <v>78</v>
      </c>
      <c r="AM188" s="109" t="s">
        <v>81</v>
      </c>
      <c r="AN188" s="109" t="s">
        <v>81</v>
      </c>
      <c r="AO188" s="109" t="s">
        <v>78</v>
      </c>
      <c r="AP188" s="109" t="s">
        <v>81</v>
      </c>
      <c r="AQ188" s="109">
        <v>1</v>
      </c>
      <c r="AR188" s="109" t="s">
        <v>126</v>
      </c>
    </row>
    <row r="189" spans="1:44" ht="30.6" customHeight="1" x14ac:dyDescent="0.45">
      <c r="A189" s="104" t="s">
        <v>1249</v>
      </c>
      <c r="B189" s="125" t="s">
        <v>1250</v>
      </c>
      <c r="C189" s="105">
        <v>2016</v>
      </c>
      <c r="D189" s="105" t="s">
        <v>195</v>
      </c>
      <c r="E189" s="105" t="s">
        <v>78</v>
      </c>
      <c r="F189" s="105" t="s">
        <v>536</v>
      </c>
      <c r="G189" s="105" t="s">
        <v>522</v>
      </c>
      <c r="H189" s="105" t="s">
        <v>587</v>
      </c>
      <c r="I189" s="106" t="s">
        <v>256</v>
      </c>
      <c r="J189" s="104" t="s">
        <v>689</v>
      </c>
      <c r="K189" s="104" t="s">
        <v>81</v>
      </c>
      <c r="L189" s="107" t="s">
        <v>126</v>
      </c>
      <c r="M189" s="107">
        <v>113950000</v>
      </c>
      <c r="N189" s="104">
        <v>82231026.246094123</v>
      </c>
      <c r="O189" s="104">
        <v>113950000</v>
      </c>
      <c r="P189" s="104">
        <v>55044876.289999999</v>
      </c>
      <c r="Q189" s="104">
        <v>55044876.289999999</v>
      </c>
      <c r="R189" s="104">
        <v>76277336.421341687</v>
      </c>
      <c r="S189" s="104">
        <v>55044876.289999999</v>
      </c>
      <c r="T189" s="104">
        <v>55044876.289999999</v>
      </c>
      <c r="U189" s="112">
        <v>76277336.421341687</v>
      </c>
      <c r="V189" s="107" t="s">
        <v>81</v>
      </c>
      <c r="W189" s="104" t="s">
        <v>78</v>
      </c>
      <c r="X189" s="104" t="s">
        <v>81</v>
      </c>
      <c r="Y189" s="104" t="s">
        <v>78</v>
      </c>
      <c r="Z189" s="104" t="s">
        <v>81</v>
      </c>
      <c r="AA189" s="104">
        <v>0</v>
      </c>
      <c r="AB189" s="108" t="s">
        <v>78</v>
      </c>
      <c r="AC189" s="104">
        <v>0</v>
      </c>
      <c r="AD189" s="105" t="s">
        <v>78</v>
      </c>
      <c r="AE189" s="104">
        <v>0</v>
      </c>
      <c r="AF189" s="104" t="s">
        <v>78</v>
      </c>
      <c r="AG189" s="104">
        <v>0</v>
      </c>
      <c r="AH189" s="109" t="s">
        <v>81</v>
      </c>
      <c r="AI189" s="109" t="s">
        <v>78</v>
      </c>
      <c r="AJ189" s="109" t="s">
        <v>81</v>
      </c>
      <c r="AK189" s="109" t="s">
        <v>78</v>
      </c>
      <c r="AL189" s="109" t="s">
        <v>78</v>
      </c>
      <c r="AM189" s="109" t="s">
        <v>81</v>
      </c>
      <c r="AN189" s="109" t="s">
        <v>81</v>
      </c>
      <c r="AO189" s="109" t="s">
        <v>78</v>
      </c>
      <c r="AP189" s="109" t="s">
        <v>81</v>
      </c>
      <c r="AQ189" s="109">
        <v>1</v>
      </c>
      <c r="AR189" s="109" t="s">
        <v>126</v>
      </c>
    </row>
    <row r="190" spans="1:44" ht="30.6" customHeight="1" x14ac:dyDescent="0.45">
      <c r="A190" s="104" t="s">
        <v>1251</v>
      </c>
      <c r="B190" s="125" t="s">
        <v>1252</v>
      </c>
      <c r="C190" s="105">
        <v>2016</v>
      </c>
      <c r="D190" s="105" t="s">
        <v>282</v>
      </c>
      <c r="E190" s="105" t="s">
        <v>78</v>
      </c>
      <c r="F190" s="105" t="s">
        <v>553</v>
      </c>
      <c r="G190" s="105" t="s">
        <v>520</v>
      </c>
      <c r="H190" s="105" t="s">
        <v>597</v>
      </c>
      <c r="I190" s="106" t="s">
        <v>101</v>
      </c>
      <c r="J190" s="104" t="s">
        <v>689</v>
      </c>
      <c r="K190" s="104" t="s">
        <v>81</v>
      </c>
      <c r="L190" s="107" t="s">
        <v>74</v>
      </c>
      <c r="M190" s="107">
        <v>10000000</v>
      </c>
      <c r="N190" s="104">
        <v>10000000</v>
      </c>
      <c r="O190" s="104">
        <v>13857299.999999998</v>
      </c>
      <c r="P190" s="104">
        <v>10000000</v>
      </c>
      <c r="Q190" s="104">
        <v>10000000</v>
      </c>
      <c r="R190" s="104">
        <v>13857299.999999998</v>
      </c>
      <c r="S190" s="104">
        <v>10000000</v>
      </c>
      <c r="T190" s="104">
        <v>10000000</v>
      </c>
      <c r="U190" s="112">
        <v>13857299.999999998</v>
      </c>
      <c r="V190" s="107" t="s">
        <v>81</v>
      </c>
      <c r="W190" s="104" t="s">
        <v>78</v>
      </c>
      <c r="X190" s="104" t="s">
        <v>81</v>
      </c>
      <c r="Y190" s="104" t="s">
        <v>78</v>
      </c>
      <c r="Z190" s="104" t="s">
        <v>81</v>
      </c>
      <c r="AA190" s="104">
        <v>0</v>
      </c>
      <c r="AB190" s="108" t="s">
        <v>78</v>
      </c>
      <c r="AC190" s="104">
        <v>0</v>
      </c>
      <c r="AD190" s="105" t="s">
        <v>78</v>
      </c>
      <c r="AE190" s="104">
        <v>0</v>
      </c>
      <c r="AF190" s="104" t="s">
        <v>78</v>
      </c>
      <c r="AG190" s="104">
        <v>0</v>
      </c>
      <c r="AH190" s="109" t="s">
        <v>81</v>
      </c>
      <c r="AI190" s="109" t="s">
        <v>78</v>
      </c>
      <c r="AJ190" s="109" t="s">
        <v>81</v>
      </c>
      <c r="AK190" s="109" t="s">
        <v>78</v>
      </c>
      <c r="AL190" s="109" t="s">
        <v>78</v>
      </c>
      <c r="AM190" s="109" t="s">
        <v>81</v>
      </c>
      <c r="AN190" s="109" t="s">
        <v>81</v>
      </c>
      <c r="AO190" s="109" t="s">
        <v>78</v>
      </c>
      <c r="AP190" s="109" t="s">
        <v>81</v>
      </c>
      <c r="AQ190" s="109">
        <v>1</v>
      </c>
      <c r="AR190" s="109" t="s">
        <v>74</v>
      </c>
    </row>
    <row r="191" spans="1:44" ht="30.6" customHeight="1" x14ac:dyDescent="0.45">
      <c r="A191" s="104" t="s">
        <v>1253</v>
      </c>
      <c r="B191" s="125" t="s">
        <v>1254</v>
      </c>
      <c r="C191" s="105">
        <v>2016</v>
      </c>
      <c r="D191" s="105" t="s">
        <v>282</v>
      </c>
      <c r="E191" s="105" t="s">
        <v>78</v>
      </c>
      <c r="F191" s="105" t="s">
        <v>553</v>
      </c>
      <c r="G191" s="105" t="s">
        <v>520</v>
      </c>
      <c r="H191" s="105" t="s">
        <v>228</v>
      </c>
      <c r="I191" s="106" t="s">
        <v>228</v>
      </c>
      <c r="J191" s="104" t="s">
        <v>689</v>
      </c>
      <c r="K191" s="104" t="s">
        <v>81</v>
      </c>
      <c r="L191" s="107" t="s">
        <v>126</v>
      </c>
      <c r="M191" s="107">
        <v>1000000</v>
      </c>
      <c r="N191" s="104">
        <v>721641.30097493739</v>
      </c>
      <c r="O191" s="104">
        <v>999999.99999999988</v>
      </c>
      <c r="P191" s="104">
        <v>723227.91</v>
      </c>
      <c r="Q191" s="104">
        <v>723227.91</v>
      </c>
      <c r="R191" s="104">
        <v>1002198.6117243</v>
      </c>
      <c r="S191" s="104">
        <v>723227.91</v>
      </c>
      <c r="T191" s="104">
        <v>723227.91</v>
      </c>
      <c r="U191" s="112">
        <v>1002198.6117243</v>
      </c>
      <c r="V191" s="107" t="s">
        <v>75</v>
      </c>
      <c r="W191" s="104" t="s">
        <v>1255</v>
      </c>
      <c r="X191" s="104" t="s">
        <v>81</v>
      </c>
      <c r="Y191" s="104" t="s">
        <v>78</v>
      </c>
      <c r="Z191" s="104" t="s">
        <v>75</v>
      </c>
      <c r="AA191" s="104">
        <v>999</v>
      </c>
      <c r="AB191" s="108" t="s">
        <v>1256</v>
      </c>
      <c r="AC191" s="104">
        <v>999</v>
      </c>
      <c r="AD191" s="105" t="s">
        <v>1257</v>
      </c>
      <c r="AE191" s="104">
        <v>999</v>
      </c>
      <c r="AF191" s="104" t="s">
        <v>1258</v>
      </c>
      <c r="AG191" s="104">
        <v>3</v>
      </c>
      <c r="AH191" s="109" t="s">
        <v>81</v>
      </c>
      <c r="AI191" s="109" t="s">
        <v>78</v>
      </c>
      <c r="AJ191" s="109" t="s">
        <v>75</v>
      </c>
      <c r="AK191" s="109" t="s">
        <v>256</v>
      </c>
      <c r="AL191" s="109" t="s">
        <v>78</v>
      </c>
      <c r="AM191" s="109" t="s">
        <v>81</v>
      </c>
      <c r="AN191" s="109" t="s">
        <v>81</v>
      </c>
      <c r="AO191" s="109" t="s">
        <v>78</v>
      </c>
      <c r="AP191" s="109" t="s">
        <v>81</v>
      </c>
      <c r="AQ191" s="109">
        <v>1</v>
      </c>
      <c r="AR191" s="109" t="s">
        <v>126</v>
      </c>
    </row>
    <row r="192" spans="1:44" ht="30.6" customHeight="1" x14ac:dyDescent="0.45">
      <c r="A192" s="104" t="s">
        <v>1259</v>
      </c>
      <c r="B192" s="125" t="s">
        <v>1260</v>
      </c>
      <c r="C192" s="105">
        <v>2016</v>
      </c>
      <c r="D192" s="105" t="s">
        <v>507</v>
      </c>
      <c r="E192" s="105" t="s">
        <v>78</v>
      </c>
      <c r="F192" s="105" t="s">
        <v>562</v>
      </c>
      <c r="G192" s="105" t="s">
        <v>519</v>
      </c>
      <c r="H192" s="105" t="s">
        <v>228</v>
      </c>
      <c r="I192" s="106" t="s">
        <v>228</v>
      </c>
      <c r="J192" s="104" t="s">
        <v>689</v>
      </c>
      <c r="K192" s="104" t="s">
        <v>81</v>
      </c>
      <c r="L192" s="107" t="s">
        <v>74</v>
      </c>
      <c r="M192" s="107">
        <v>15950000</v>
      </c>
      <c r="N192" s="104">
        <v>15950000</v>
      </c>
      <c r="O192" s="104">
        <v>22102393.5</v>
      </c>
      <c r="P192" s="104">
        <v>14033467.369999999</v>
      </c>
      <c r="Q192" s="104">
        <v>14033467.369999999</v>
      </c>
      <c r="R192" s="104">
        <v>19446596.738630097</v>
      </c>
      <c r="S192" s="104">
        <v>11500000</v>
      </c>
      <c r="T192" s="104">
        <v>11500000</v>
      </c>
      <c r="U192" s="112">
        <v>15935894.999999998</v>
      </c>
      <c r="V192" s="107" t="s">
        <v>75</v>
      </c>
      <c r="W192" s="104" t="s">
        <v>1261</v>
      </c>
      <c r="X192" s="104" t="s">
        <v>81</v>
      </c>
      <c r="Y192" s="104" t="s">
        <v>78</v>
      </c>
      <c r="Z192" s="104" t="s">
        <v>75</v>
      </c>
      <c r="AA192" s="104">
        <v>0</v>
      </c>
      <c r="AB192" s="108" t="s">
        <v>78</v>
      </c>
      <c r="AC192" s="104">
        <v>999</v>
      </c>
      <c r="AD192" s="105" t="s">
        <v>1262</v>
      </c>
      <c r="AE192" s="104">
        <v>0</v>
      </c>
      <c r="AF192" s="104" t="s">
        <v>78</v>
      </c>
      <c r="AG192" s="104">
        <v>1</v>
      </c>
      <c r="AH192" s="109" t="s">
        <v>81</v>
      </c>
      <c r="AI192" s="109" t="s">
        <v>78</v>
      </c>
      <c r="AJ192" s="109" t="s">
        <v>81</v>
      </c>
      <c r="AK192" s="109" t="s">
        <v>78</v>
      </c>
      <c r="AL192" s="109" t="s">
        <v>78</v>
      </c>
      <c r="AM192" s="109" t="s">
        <v>81</v>
      </c>
      <c r="AN192" s="109" t="s">
        <v>81</v>
      </c>
      <c r="AO192" s="109" t="s">
        <v>78</v>
      </c>
      <c r="AP192" s="109" t="s">
        <v>81</v>
      </c>
      <c r="AQ192" s="109">
        <v>1</v>
      </c>
      <c r="AR192" s="109" t="s">
        <v>74</v>
      </c>
    </row>
    <row r="193" spans="1:44" ht="30.6" customHeight="1" x14ac:dyDescent="0.45">
      <c r="A193" s="104" t="s">
        <v>1263</v>
      </c>
      <c r="B193" s="125" t="s">
        <v>1264</v>
      </c>
      <c r="C193" s="105">
        <v>2016</v>
      </c>
      <c r="D193" s="105" t="s">
        <v>155</v>
      </c>
      <c r="E193" s="105" t="s">
        <v>78</v>
      </c>
      <c r="F193" s="105" t="s">
        <v>559</v>
      </c>
      <c r="G193" s="105" t="s">
        <v>520</v>
      </c>
      <c r="H193" s="105" t="s">
        <v>584</v>
      </c>
      <c r="I193" s="106" t="s">
        <v>228</v>
      </c>
      <c r="J193" s="104" t="s">
        <v>689</v>
      </c>
      <c r="K193" s="104" t="s">
        <v>81</v>
      </c>
      <c r="L193" s="107" t="s">
        <v>104</v>
      </c>
      <c r="M193" s="107">
        <v>52240000</v>
      </c>
      <c r="N193" s="104">
        <v>41042401.577586956</v>
      </c>
      <c r="O193" s="104">
        <v>56873687.138109572</v>
      </c>
      <c r="P193" s="104">
        <v>17915436.350000001</v>
      </c>
      <c r="Q193" s="104">
        <v>17915436.350000001</v>
      </c>
      <c r="R193" s="104">
        <v>24825957.613285501</v>
      </c>
      <c r="S193" s="104">
        <v>12877296.59</v>
      </c>
      <c r="T193" s="104">
        <v>12877296.59</v>
      </c>
      <c r="U193" s="112">
        <v>17844456.203660697</v>
      </c>
      <c r="V193" s="107" t="s">
        <v>75</v>
      </c>
      <c r="W193" s="104" t="s">
        <v>1265</v>
      </c>
      <c r="X193" s="104" t="s">
        <v>81</v>
      </c>
      <c r="Y193" s="104" t="s">
        <v>78</v>
      </c>
      <c r="Z193" s="104" t="s">
        <v>75</v>
      </c>
      <c r="AA193" s="104">
        <v>999</v>
      </c>
      <c r="AB193" s="108" t="s">
        <v>1266</v>
      </c>
      <c r="AC193" s="104">
        <v>999</v>
      </c>
      <c r="AD193" s="105" t="s">
        <v>1267</v>
      </c>
      <c r="AE193" s="104">
        <v>0</v>
      </c>
      <c r="AF193" s="104" t="s">
        <v>78</v>
      </c>
      <c r="AG193" s="104">
        <v>2</v>
      </c>
      <c r="AH193" s="109" t="s">
        <v>81</v>
      </c>
      <c r="AI193" s="109" t="s">
        <v>78</v>
      </c>
      <c r="AJ193" s="109" t="s">
        <v>75</v>
      </c>
      <c r="AK193" s="109" t="s">
        <v>228</v>
      </c>
      <c r="AL193" s="109" t="s">
        <v>78</v>
      </c>
      <c r="AM193" s="109" t="s">
        <v>81</v>
      </c>
      <c r="AN193" s="109" t="s">
        <v>81</v>
      </c>
      <c r="AO193" s="109" t="s">
        <v>78</v>
      </c>
      <c r="AP193" s="109" t="s">
        <v>81</v>
      </c>
      <c r="AQ193" s="109">
        <v>1</v>
      </c>
      <c r="AR193" s="109" t="s">
        <v>104</v>
      </c>
    </row>
    <row r="194" spans="1:44" ht="30.6" customHeight="1" x14ac:dyDescent="0.45">
      <c r="A194" s="104" t="s">
        <v>1268</v>
      </c>
      <c r="B194" s="125" t="s">
        <v>1269</v>
      </c>
      <c r="C194" s="105">
        <v>2016</v>
      </c>
      <c r="D194" s="105" t="s">
        <v>155</v>
      </c>
      <c r="E194" s="105" t="s">
        <v>78</v>
      </c>
      <c r="F194" s="105" t="s">
        <v>559</v>
      </c>
      <c r="G194" s="105" t="s">
        <v>520</v>
      </c>
      <c r="H194" s="105" t="s">
        <v>597</v>
      </c>
      <c r="I194" s="106" t="s">
        <v>101</v>
      </c>
      <c r="J194" s="104" t="s">
        <v>689</v>
      </c>
      <c r="K194" s="104" t="s">
        <v>81</v>
      </c>
      <c r="L194" s="107" t="s">
        <v>74</v>
      </c>
      <c r="M194" s="107">
        <v>34780000</v>
      </c>
      <c r="N194" s="104">
        <v>34780000</v>
      </c>
      <c r="O194" s="104">
        <v>48195689.399999999</v>
      </c>
      <c r="P194" s="104">
        <v>34780000</v>
      </c>
      <c r="Q194" s="104">
        <v>34780000</v>
      </c>
      <c r="R194" s="104">
        <v>48195689.399999999</v>
      </c>
      <c r="S194" s="104">
        <v>34780000</v>
      </c>
      <c r="T194" s="104">
        <v>34780000</v>
      </c>
      <c r="U194" s="112">
        <v>48195689.399999999</v>
      </c>
      <c r="V194" s="107" t="s">
        <v>81</v>
      </c>
      <c r="W194" s="104" t="s">
        <v>78</v>
      </c>
      <c r="X194" s="104" t="s">
        <v>81</v>
      </c>
      <c r="Y194" s="104" t="s">
        <v>78</v>
      </c>
      <c r="Z194" s="104" t="s">
        <v>81</v>
      </c>
      <c r="AA194" s="104">
        <v>0</v>
      </c>
      <c r="AB194" s="108" t="s">
        <v>78</v>
      </c>
      <c r="AC194" s="104">
        <v>0</v>
      </c>
      <c r="AD194" s="105" t="s">
        <v>78</v>
      </c>
      <c r="AE194" s="104">
        <v>0</v>
      </c>
      <c r="AF194" s="104" t="s">
        <v>78</v>
      </c>
      <c r="AG194" s="104">
        <v>0</v>
      </c>
      <c r="AH194" s="109" t="s">
        <v>81</v>
      </c>
      <c r="AI194" s="109" t="s">
        <v>78</v>
      </c>
      <c r="AJ194" s="109" t="s">
        <v>81</v>
      </c>
      <c r="AK194" s="109" t="s">
        <v>78</v>
      </c>
      <c r="AL194" s="109" t="s">
        <v>78</v>
      </c>
      <c r="AM194" s="109" t="s">
        <v>81</v>
      </c>
      <c r="AN194" s="109" t="s">
        <v>81</v>
      </c>
      <c r="AO194" s="109" t="s">
        <v>78</v>
      </c>
      <c r="AP194" s="109" t="s">
        <v>81</v>
      </c>
      <c r="AQ194" s="109">
        <v>1</v>
      </c>
      <c r="AR194" s="109" t="s">
        <v>74</v>
      </c>
    </row>
    <row r="195" spans="1:44" ht="30.6" customHeight="1" x14ac:dyDescent="0.45">
      <c r="A195" s="104" t="s">
        <v>1270</v>
      </c>
      <c r="B195" s="125" t="s">
        <v>1271</v>
      </c>
      <c r="C195" s="105">
        <v>2016</v>
      </c>
      <c r="D195" s="105" t="s">
        <v>155</v>
      </c>
      <c r="E195" s="105" t="s">
        <v>78</v>
      </c>
      <c r="F195" s="105" t="s">
        <v>559</v>
      </c>
      <c r="G195" s="105" t="s">
        <v>520</v>
      </c>
      <c r="H195" s="105" t="s">
        <v>588</v>
      </c>
      <c r="I195" s="106" t="s">
        <v>256</v>
      </c>
      <c r="J195" s="104" t="s">
        <v>689</v>
      </c>
      <c r="K195" s="104" t="s">
        <v>81</v>
      </c>
      <c r="L195" s="107" t="s">
        <v>104</v>
      </c>
      <c r="M195" s="107">
        <v>101600000</v>
      </c>
      <c r="N195" s="104">
        <v>79822128.642473862</v>
      </c>
      <c r="O195" s="104">
        <v>110611918.3237353</v>
      </c>
      <c r="P195" s="104">
        <v>53313648.289999999</v>
      </c>
      <c r="Q195" s="104">
        <v>53313648.289999999</v>
      </c>
      <c r="R195" s="104">
        <v>73878321.844901696</v>
      </c>
      <c r="S195" s="104">
        <v>53313648.289999999</v>
      </c>
      <c r="T195" s="104">
        <v>53313648.289999999</v>
      </c>
      <c r="U195" s="112">
        <v>73878321.844901696</v>
      </c>
      <c r="V195" s="107" t="s">
        <v>75</v>
      </c>
      <c r="W195" s="104" t="s">
        <v>1272</v>
      </c>
      <c r="X195" s="104" t="s">
        <v>81</v>
      </c>
      <c r="Y195" s="104" t="s">
        <v>78</v>
      </c>
      <c r="Z195" s="104" t="s">
        <v>75</v>
      </c>
      <c r="AA195" s="104">
        <v>999</v>
      </c>
      <c r="AB195" s="108" t="s">
        <v>1273</v>
      </c>
      <c r="AC195" s="104">
        <v>999</v>
      </c>
      <c r="AD195" s="105" t="s">
        <v>1272</v>
      </c>
      <c r="AE195" s="104">
        <v>0</v>
      </c>
      <c r="AF195" s="104" t="s">
        <v>78</v>
      </c>
      <c r="AG195" s="104">
        <v>2</v>
      </c>
      <c r="AH195" s="109" t="s">
        <v>81</v>
      </c>
      <c r="AI195" s="109" t="s">
        <v>78</v>
      </c>
      <c r="AJ195" s="109" t="s">
        <v>81</v>
      </c>
      <c r="AK195" s="109" t="s">
        <v>78</v>
      </c>
      <c r="AL195" s="109" t="s">
        <v>78</v>
      </c>
      <c r="AM195" s="109" t="s">
        <v>81</v>
      </c>
      <c r="AN195" s="109" t="s">
        <v>81</v>
      </c>
      <c r="AO195" s="109" t="s">
        <v>78</v>
      </c>
      <c r="AP195" s="109" t="s">
        <v>81</v>
      </c>
      <c r="AQ195" s="109">
        <v>1</v>
      </c>
      <c r="AR195" s="109" t="s">
        <v>104</v>
      </c>
    </row>
    <row r="196" spans="1:44" ht="30.6" customHeight="1" x14ac:dyDescent="0.45">
      <c r="A196" s="104" t="s">
        <v>1274</v>
      </c>
      <c r="B196" s="125" t="s">
        <v>1275</v>
      </c>
      <c r="C196" s="105">
        <v>2016</v>
      </c>
      <c r="D196" s="105" t="s">
        <v>113</v>
      </c>
      <c r="E196" s="105" t="s">
        <v>78</v>
      </c>
      <c r="F196" s="105" t="s">
        <v>565</v>
      </c>
      <c r="G196" s="105" t="s">
        <v>518</v>
      </c>
      <c r="H196" s="105" t="s">
        <v>587</v>
      </c>
      <c r="I196" s="106" t="s">
        <v>256</v>
      </c>
      <c r="J196" s="104" t="s">
        <v>689</v>
      </c>
      <c r="K196" s="104" t="s">
        <v>81</v>
      </c>
      <c r="L196" s="107" t="s">
        <v>104</v>
      </c>
      <c r="M196" s="107">
        <v>124700000</v>
      </c>
      <c r="N196" s="104">
        <v>97970663.796422154</v>
      </c>
      <c r="O196" s="104">
        <v>135760887.94261608</v>
      </c>
      <c r="P196" s="104">
        <v>102280183.7</v>
      </c>
      <c r="Q196" s="104">
        <v>102280183.7</v>
      </c>
      <c r="R196" s="104">
        <v>141732718.958601</v>
      </c>
      <c r="S196" s="104">
        <v>101459973.8</v>
      </c>
      <c r="T196" s="104">
        <v>101459973.8</v>
      </c>
      <c r="U196" s="112">
        <v>140596129.49387398</v>
      </c>
      <c r="V196" s="107" t="s">
        <v>75</v>
      </c>
      <c r="W196" s="104" t="s">
        <v>1276</v>
      </c>
      <c r="X196" s="104" t="s">
        <v>81</v>
      </c>
      <c r="Y196" s="104" t="s">
        <v>78</v>
      </c>
      <c r="Z196" s="104" t="s">
        <v>81</v>
      </c>
      <c r="AA196" s="104">
        <v>0</v>
      </c>
      <c r="AB196" s="108" t="s">
        <v>78</v>
      </c>
      <c r="AC196" s="104">
        <v>0</v>
      </c>
      <c r="AD196" s="105" t="s">
        <v>78</v>
      </c>
      <c r="AE196" s="104">
        <v>0</v>
      </c>
      <c r="AF196" s="104" t="s">
        <v>78</v>
      </c>
      <c r="AG196" s="104">
        <v>0</v>
      </c>
      <c r="AH196" s="109" t="s">
        <v>81</v>
      </c>
      <c r="AI196" s="109" t="s">
        <v>78</v>
      </c>
      <c r="AJ196" s="109" t="s">
        <v>75</v>
      </c>
      <c r="AK196" s="109" t="s">
        <v>256</v>
      </c>
      <c r="AL196" s="109" t="s">
        <v>78</v>
      </c>
      <c r="AM196" s="109" t="s">
        <v>81</v>
      </c>
      <c r="AN196" s="109" t="s">
        <v>81</v>
      </c>
      <c r="AO196" s="109" t="s">
        <v>78</v>
      </c>
      <c r="AP196" s="109" t="s">
        <v>81</v>
      </c>
      <c r="AQ196" s="109">
        <v>1</v>
      </c>
      <c r="AR196" s="109" t="s">
        <v>104</v>
      </c>
    </row>
    <row r="197" spans="1:44" ht="30.6" customHeight="1" x14ac:dyDescent="0.45">
      <c r="A197" s="104" t="s">
        <v>1277</v>
      </c>
      <c r="B197" s="125" t="s">
        <v>1278</v>
      </c>
      <c r="C197" s="105">
        <v>2016</v>
      </c>
      <c r="D197" s="105" t="s">
        <v>353</v>
      </c>
      <c r="E197" s="105" t="s">
        <v>78</v>
      </c>
      <c r="F197" s="105" t="s">
        <v>78</v>
      </c>
      <c r="G197" s="105" t="s">
        <v>519</v>
      </c>
      <c r="H197" s="105" t="s">
        <v>597</v>
      </c>
      <c r="I197" s="106" t="s">
        <v>101</v>
      </c>
      <c r="J197" s="104" t="s">
        <v>689</v>
      </c>
      <c r="K197" s="104" t="s">
        <v>81</v>
      </c>
      <c r="L197" s="107" t="s">
        <v>616</v>
      </c>
      <c r="M197" s="107">
        <v>3000000000</v>
      </c>
      <c r="N197" s="104">
        <v>139268007.35335079</v>
      </c>
      <c r="O197" s="104">
        <v>192987855.82975876</v>
      </c>
      <c r="P197" s="104">
        <v>151402746.5</v>
      </c>
      <c r="Q197" s="104">
        <v>151402746.5</v>
      </c>
      <c r="R197" s="104">
        <v>209803327.90744498</v>
      </c>
      <c r="S197" s="104">
        <v>151402746.5</v>
      </c>
      <c r="T197" s="104">
        <v>151402746.5</v>
      </c>
      <c r="U197" s="112">
        <v>209803327.90744498</v>
      </c>
      <c r="V197" s="107" t="s">
        <v>81</v>
      </c>
      <c r="W197" s="104" t="s">
        <v>78</v>
      </c>
      <c r="X197" s="104" t="s">
        <v>81</v>
      </c>
      <c r="Y197" s="104" t="s">
        <v>78</v>
      </c>
      <c r="Z197" s="104" t="s">
        <v>81</v>
      </c>
      <c r="AA197" s="104">
        <v>0</v>
      </c>
      <c r="AB197" s="108" t="s">
        <v>78</v>
      </c>
      <c r="AC197" s="104">
        <v>0</v>
      </c>
      <c r="AD197" s="105" t="s">
        <v>78</v>
      </c>
      <c r="AE197" s="104">
        <v>0</v>
      </c>
      <c r="AF197" s="104" t="s">
        <v>78</v>
      </c>
      <c r="AG197" s="104">
        <v>0</v>
      </c>
      <c r="AH197" s="109" t="s">
        <v>81</v>
      </c>
      <c r="AI197" s="109" t="s">
        <v>78</v>
      </c>
      <c r="AJ197" s="109" t="s">
        <v>81</v>
      </c>
      <c r="AK197" s="109" t="s">
        <v>78</v>
      </c>
      <c r="AL197" s="109" t="s">
        <v>78</v>
      </c>
      <c r="AM197" s="109" t="s">
        <v>81</v>
      </c>
      <c r="AN197" s="109" t="s">
        <v>81</v>
      </c>
      <c r="AO197" s="109" t="s">
        <v>78</v>
      </c>
      <c r="AP197" s="109" t="s">
        <v>81</v>
      </c>
      <c r="AQ197" s="109">
        <v>1</v>
      </c>
      <c r="AR197" s="109" t="s">
        <v>616</v>
      </c>
    </row>
    <row r="198" spans="1:44" ht="30.6" customHeight="1" x14ac:dyDescent="0.45">
      <c r="A198" s="104" t="s">
        <v>1279</v>
      </c>
      <c r="B198" s="125" t="s">
        <v>1280</v>
      </c>
      <c r="C198" s="105">
        <v>2016</v>
      </c>
      <c r="D198" s="105" t="s">
        <v>195</v>
      </c>
      <c r="E198" s="105" t="s">
        <v>78</v>
      </c>
      <c r="F198" s="105" t="s">
        <v>536</v>
      </c>
      <c r="G198" s="105" t="s">
        <v>522</v>
      </c>
      <c r="H198" s="105" t="s">
        <v>596</v>
      </c>
      <c r="I198" s="106" t="s">
        <v>101</v>
      </c>
      <c r="J198" s="104" t="s">
        <v>676</v>
      </c>
      <c r="K198" s="104" t="s">
        <v>81</v>
      </c>
      <c r="L198" s="107" t="s">
        <v>74</v>
      </c>
      <c r="M198" s="107">
        <v>88660000</v>
      </c>
      <c r="N198" s="104">
        <v>88660000</v>
      </c>
      <c r="O198" s="104">
        <v>122858821.8</v>
      </c>
      <c r="P198" s="104">
        <v>88660000</v>
      </c>
      <c r="Q198" s="104">
        <v>88660000</v>
      </c>
      <c r="R198" s="104">
        <v>122858821.8</v>
      </c>
      <c r="S198" s="104">
        <v>88660000</v>
      </c>
      <c r="T198" s="104">
        <v>88660000</v>
      </c>
      <c r="U198" s="112">
        <v>122858821.8</v>
      </c>
      <c r="V198" s="107" t="s">
        <v>75</v>
      </c>
      <c r="W198" s="104" t="s">
        <v>1281</v>
      </c>
      <c r="X198" s="104" t="s">
        <v>81</v>
      </c>
      <c r="Y198" s="104" t="s">
        <v>78</v>
      </c>
      <c r="Z198" s="104" t="s">
        <v>81</v>
      </c>
      <c r="AA198" s="104">
        <v>0</v>
      </c>
      <c r="AB198" s="108" t="s">
        <v>78</v>
      </c>
      <c r="AC198" s="104">
        <v>0</v>
      </c>
      <c r="AD198" s="105" t="s">
        <v>78</v>
      </c>
      <c r="AE198" s="104">
        <v>0</v>
      </c>
      <c r="AF198" s="104" t="s">
        <v>78</v>
      </c>
      <c r="AG198" s="104">
        <v>0</v>
      </c>
      <c r="AH198" s="109" t="s">
        <v>81</v>
      </c>
      <c r="AI198" s="109" t="s">
        <v>78</v>
      </c>
      <c r="AJ198" s="109" t="s">
        <v>75</v>
      </c>
      <c r="AK198" s="109" t="s">
        <v>256</v>
      </c>
      <c r="AL198" s="109" t="s">
        <v>78</v>
      </c>
      <c r="AM198" s="109" t="s">
        <v>81</v>
      </c>
      <c r="AN198" s="109" t="s">
        <v>81</v>
      </c>
      <c r="AO198" s="109" t="s">
        <v>78</v>
      </c>
      <c r="AP198" s="109" t="s">
        <v>81</v>
      </c>
      <c r="AQ198" s="109">
        <v>1</v>
      </c>
      <c r="AR198" s="109" t="s">
        <v>74</v>
      </c>
    </row>
    <row r="199" spans="1:44" ht="30.6" customHeight="1" x14ac:dyDescent="0.45">
      <c r="A199" s="104" t="s">
        <v>1282</v>
      </c>
      <c r="B199" s="125" t="s">
        <v>1283</v>
      </c>
      <c r="C199" s="105">
        <v>2016</v>
      </c>
      <c r="D199" s="105" t="s">
        <v>145</v>
      </c>
      <c r="E199" s="105" t="s">
        <v>78</v>
      </c>
      <c r="F199" s="105" t="s">
        <v>543</v>
      </c>
      <c r="G199" s="105" t="s">
        <v>522</v>
      </c>
      <c r="H199" s="105" t="s">
        <v>228</v>
      </c>
      <c r="I199" s="106" t="s">
        <v>228</v>
      </c>
      <c r="J199" s="104" t="s">
        <v>689</v>
      </c>
      <c r="K199" s="104" t="s">
        <v>81</v>
      </c>
      <c r="L199" s="107" t="s">
        <v>74</v>
      </c>
      <c r="M199" s="107">
        <v>37500000</v>
      </c>
      <c r="N199" s="104">
        <v>37500000</v>
      </c>
      <c r="O199" s="104">
        <v>51964875</v>
      </c>
      <c r="P199" s="104">
        <v>33958372.700000003</v>
      </c>
      <c r="Q199" s="104">
        <v>33958372.700000003</v>
      </c>
      <c r="R199" s="104">
        <v>47057135.801571004</v>
      </c>
      <c r="S199" s="104">
        <v>33958372.700000003</v>
      </c>
      <c r="T199" s="104">
        <v>33958372.700000003</v>
      </c>
      <c r="U199" s="112">
        <v>47057135.801571004</v>
      </c>
      <c r="V199" s="107" t="s">
        <v>81</v>
      </c>
      <c r="W199" s="104" t="s">
        <v>78</v>
      </c>
      <c r="X199" s="104" t="s">
        <v>81</v>
      </c>
      <c r="Y199" s="104" t="s">
        <v>78</v>
      </c>
      <c r="Z199" s="104" t="s">
        <v>81</v>
      </c>
      <c r="AA199" s="104">
        <v>0</v>
      </c>
      <c r="AB199" s="108" t="s">
        <v>78</v>
      </c>
      <c r="AC199" s="104">
        <v>0</v>
      </c>
      <c r="AD199" s="105" t="s">
        <v>78</v>
      </c>
      <c r="AE199" s="104">
        <v>0</v>
      </c>
      <c r="AF199" s="104" t="s">
        <v>78</v>
      </c>
      <c r="AG199" s="104">
        <v>0</v>
      </c>
      <c r="AH199" s="109" t="s">
        <v>81</v>
      </c>
      <c r="AI199" s="109" t="s">
        <v>78</v>
      </c>
      <c r="AJ199" s="109" t="s">
        <v>81</v>
      </c>
      <c r="AK199" s="109" t="s">
        <v>78</v>
      </c>
      <c r="AL199" s="109" t="s">
        <v>78</v>
      </c>
      <c r="AM199" s="109" t="s">
        <v>81</v>
      </c>
      <c r="AN199" s="109" t="s">
        <v>81</v>
      </c>
      <c r="AO199" s="109" t="s">
        <v>78</v>
      </c>
      <c r="AP199" s="109" t="s">
        <v>81</v>
      </c>
      <c r="AQ199" s="109">
        <v>1</v>
      </c>
      <c r="AR199" s="109" t="s">
        <v>74</v>
      </c>
    </row>
    <row r="200" spans="1:44" ht="30.6" customHeight="1" x14ac:dyDescent="0.45">
      <c r="A200" s="104" t="s">
        <v>1284</v>
      </c>
      <c r="B200" s="125" t="s">
        <v>1285</v>
      </c>
      <c r="C200" s="105">
        <v>2016</v>
      </c>
      <c r="D200" s="105" t="s">
        <v>145</v>
      </c>
      <c r="E200" s="105" t="s">
        <v>78</v>
      </c>
      <c r="F200" s="105" t="s">
        <v>543</v>
      </c>
      <c r="G200" s="105" t="s">
        <v>522</v>
      </c>
      <c r="H200" s="105" t="s">
        <v>590</v>
      </c>
      <c r="I200" s="106" t="s">
        <v>256</v>
      </c>
      <c r="J200" s="104" t="s">
        <v>676</v>
      </c>
      <c r="K200" s="104" t="s">
        <v>81</v>
      </c>
      <c r="L200" s="107" t="s">
        <v>74</v>
      </c>
      <c r="M200" s="107">
        <v>53818794.869999997</v>
      </c>
      <c r="N200" s="104">
        <v>53818794.869999997</v>
      </c>
      <c r="O200" s="104">
        <v>74578318.615205094</v>
      </c>
      <c r="P200" s="104">
        <v>51636213.909999996</v>
      </c>
      <c r="Q200" s="104">
        <v>51636213.909999996</v>
      </c>
      <c r="R200" s="104">
        <v>71553850.70150429</v>
      </c>
      <c r="S200" s="104">
        <v>51636213.909999996</v>
      </c>
      <c r="T200" s="104">
        <v>51636213.909999996</v>
      </c>
      <c r="U200" s="112">
        <v>71553850.70150429</v>
      </c>
      <c r="V200" s="107" t="s">
        <v>75</v>
      </c>
      <c r="W200" s="104" t="s">
        <v>1286</v>
      </c>
      <c r="X200" s="104" t="s">
        <v>81</v>
      </c>
      <c r="Y200" s="104" t="s">
        <v>78</v>
      </c>
      <c r="Z200" s="104" t="s">
        <v>75</v>
      </c>
      <c r="AA200" s="104">
        <v>999</v>
      </c>
      <c r="AB200" s="108" t="s">
        <v>1287</v>
      </c>
      <c r="AC200" s="104">
        <v>999</v>
      </c>
      <c r="AD200" s="105" t="s">
        <v>1288</v>
      </c>
      <c r="AE200" s="104">
        <v>0</v>
      </c>
      <c r="AF200" s="104" t="s">
        <v>78</v>
      </c>
      <c r="AG200" s="104">
        <v>2</v>
      </c>
      <c r="AH200" s="109" t="s">
        <v>81</v>
      </c>
      <c r="AI200" s="109" t="s">
        <v>78</v>
      </c>
      <c r="AJ200" s="109" t="s">
        <v>75</v>
      </c>
      <c r="AK200" s="109" t="s">
        <v>256</v>
      </c>
      <c r="AL200" s="109" t="s">
        <v>796</v>
      </c>
      <c r="AM200" s="109" t="s">
        <v>81</v>
      </c>
      <c r="AN200" s="109" t="s">
        <v>81</v>
      </c>
      <c r="AO200" s="109" t="s">
        <v>78</v>
      </c>
      <c r="AP200" s="109" t="s">
        <v>81</v>
      </c>
      <c r="AQ200" s="109">
        <v>1</v>
      </c>
      <c r="AR200" s="109" t="s">
        <v>74</v>
      </c>
    </row>
    <row r="201" spans="1:44" ht="30.6" customHeight="1" x14ac:dyDescent="0.45">
      <c r="A201" s="104" t="s">
        <v>1289</v>
      </c>
      <c r="B201" s="125" t="s">
        <v>1290</v>
      </c>
      <c r="C201" s="105">
        <v>2016</v>
      </c>
      <c r="D201" s="105" t="s">
        <v>226</v>
      </c>
      <c r="E201" s="105" t="s">
        <v>78</v>
      </c>
      <c r="F201" s="105" t="s">
        <v>534</v>
      </c>
      <c r="G201" s="105" t="s">
        <v>518</v>
      </c>
      <c r="H201" s="105" t="s">
        <v>596</v>
      </c>
      <c r="I201" s="106" t="s">
        <v>101</v>
      </c>
      <c r="J201" s="104" t="s">
        <v>689</v>
      </c>
      <c r="K201" s="104" t="s">
        <v>81</v>
      </c>
      <c r="L201" s="107" t="s">
        <v>126</v>
      </c>
      <c r="M201" s="107">
        <v>500000000</v>
      </c>
      <c r="N201" s="104">
        <v>360820650.48746872</v>
      </c>
      <c r="O201" s="104">
        <v>500000000</v>
      </c>
      <c r="P201" s="104">
        <v>361613955.39999998</v>
      </c>
      <c r="Q201" s="104">
        <v>361613955.39999998</v>
      </c>
      <c r="R201" s="104">
        <v>501099306.41644192</v>
      </c>
      <c r="S201" s="104">
        <v>361613955.39999998</v>
      </c>
      <c r="T201" s="104">
        <v>361613955.39999998</v>
      </c>
      <c r="U201" s="112">
        <v>501099306.41644192</v>
      </c>
      <c r="V201" s="107" t="s">
        <v>81</v>
      </c>
      <c r="W201" s="104" t="s">
        <v>78</v>
      </c>
      <c r="X201" s="104" t="s">
        <v>81</v>
      </c>
      <c r="Y201" s="104" t="s">
        <v>78</v>
      </c>
      <c r="Z201" s="104" t="s">
        <v>81</v>
      </c>
      <c r="AA201" s="104">
        <v>0</v>
      </c>
      <c r="AB201" s="108" t="s">
        <v>78</v>
      </c>
      <c r="AC201" s="104">
        <v>0</v>
      </c>
      <c r="AD201" s="105" t="s">
        <v>78</v>
      </c>
      <c r="AE201" s="104">
        <v>0</v>
      </c>
      <c r="AF201" s="104" t="s">
        <v>78</v>
      </c>
      <c r="AG201" s="104">
        <v>0</v>
      </c>
      <c r="AH201" s="109" t="s">
        <v>81</v>
      </c>
      <c r="AI201" s="109" t="s">
        <v>78</v>
      </c>
      <c r="AJ201" s="109" t="s">
        <v>81</v>
      </c>
      <c r="AK201" s="109" t="s">
        <v>78</v>
      </c>
      <c r="AL201" s="109" t="s">
        <v>78</v>
      </c>
      <c r="AM201" s="109" t="s">
        <v>81</v>
      </c>
      <c r="AN201" s="109" t="s">
        <v>81</v>
      </c>
      <c r="AO201" s="109" t="s">
        <v>78</v>
      </c>
      <c r="AP201" s="109" t="s">
        <v>81</v>
      </c>
      <c r="AQ201" s="109">
        <v>1</v>
      </c>
      <c r="AR201" s="109" t="s">
        <v>126</v>
      </c>
    </row>
    <row r="202" spans="1:44" ht="30.6" customHeight="1" x14ac:dyDescent="0.45">
      <c r="A202" s="104" t="s">
        <v>1291</v>
      </c>
      <c r="B202" s="125" t="s">
        <v>1292</v>
      </c>
      <c r="C202" s="105">
        <v>2016</v>
      </c>
      <c r="D202" s="105" t="s">
        <v>226</v>
      </c>
      <c r="E202" s="105" t="s">
        <v>78</v>
      </c>
      <c r="F202" s="105" t="s">
        <v>534</v>
      </c>
      <c r="G202" s="105" t="s">
        <v>518</v>
      </c>
      <c r="H202" s="105" t="s">
        <v>115</v>
      </c>
      <c r="I202" s="106" t="s">
        <v>115</v>
      </c>
      <c r="J202" s="104" t="s">
        <v>689</v>
      </c>
      <c r="K202" s="104" t="s">
        <v>81</v>
      </c>
      <c r="L202" s="107" t="s">
        <v>74</v>
      </c>
      <c r="M202" s="107">
        <v>396000</v>
      </c>
      <c r="N202" s="104">
        <v>396000</v>
      </c>
      <c r="O202" s="104">
        <v>548749.07999999996</v>
      </c>
      <c r="P202" s="104">
        <v>396000</v>
      </c>
      <c r="Q202" s="104">
        <v>396000</v>
      </c>
      <c r="R202" s="104">
        <v>548749.07999999996</v>
      </c>
      <c r="S202" s="104">
        <v>396000</v>
      </c>
      <c r="T202" s="104">
        <v>396000</v>
      </c>
      <c r="U202" s="112">
        <v>548749.07999999996</v>
      </c>
      <c r="V202" s="107" t="s">
        <v>81</v>
      </c>
      <c r="W202" s="104" t="s">
        <v>78</v>
      </c>
      <c r="X202" s="104" t="s">
        <v>81</v>
      </c>
      <c r="Y202" s="104" t="s">
        <v>78</v>
      </c>
      <c r="Z202" s="104" t="s">
        <v>81</v>
      </c>
      <c r="AA202" s="104">
        <v>0</v>
      </c>
      <c r="AB202" s="108" t="s">
        <v>78</v>
      </c>
      <c r="AC202" s="104">
        <v>0</v>
      </c>
      <c r="AD202" s="105" t="s">
        <v>78</v>
      </c>
      <c r="AE202" s="104">
        <v>0</v>
      </c>
      <c r="AF202" s="104" t="s">
        <v>78</v>
      </c>
      <c r="AG202" s="104">
        <v>0</v>
      </c>
      <c r="AH202" s="109" t="s">
        <v>81</v>
      </c>
      <c r="AI202" s="109" t="s">
        <v>78</v>
      </c>
      <c r="AJ202" s="109" t="s">
        <v>81</v>
      </c>
      <c r="AK202" s="109" t="s">
        <v>78</v>
      </c>
      <c r="AL202" s="109" t="s">
        <v>78</v>
      </c>
      <c r="AM202" s="109" t="s">
        <v>81</v>
      </c>
      <c r="AN202" s="109" t="s">
        <v>81</v>
      </c>
      <c r="AO202" s="109" t="s">
        <v>78</v>
      </c>
      <c r="AP202" s="109" t="s">
        <v>81</v>
      </c>
      <c r="AQ202" s="109">
        <v>1</v>
      </c>
      <c r="AR202" s="109" t="s">
        <v>74</v>
      </c>
    </row>
    <row r="203" spans="1:44" ht="30.6" customHeight="1" x14ac:dyDescent="0.45">
      <c r="A203" s="104" t="s">
        <v>1293</v>
      </c>
      <c r="B203" s="125" t="s">
        <v>1294</v>
      </c>
      <c r="C203" s="105">
        <v>2016</v>
      </c>
      <c r="D203" s="105" t="s">
        <v>151</v>
      </c>
      <c r="E203" s="105" t="s">
        <v>78</v>
      </c>
      <c r="F203" s="105" t="s">
        <v>546</v>
      </c>
      <c r="G203" s="105" t="s">
        <v>518</v>
      </c>
      <c r="H203" s="105" t="s">
        <v>228</v>
      </c>
      <c r="I203" s="106" t="s">
        <v>228</v>
      </c>
      <c r="J203" s="104" t="s">
        <v>689</v>
      </c>
      <c r="K203" s="104" t="s">
        <v>81</v>
      </c>
      <c r="L203" s="107" t="s">
        <v>104</v>
      </c>
      <c r="M203" s="107">
        <v>200000000</v>
      </c>
      <c r="N203" s="104">
        <v>157130174.4930588</v>
      </c>
      <c r="O203" s="104">
        <v>217739996.70026636</v>
      </c>
      <c r="P203" s="104">
        <v>164041994.80000001</v>
      </c>
      <c r="Q203" s="104">
        <v>164041994.80000001</v>
      </c>
      <c r="R203" s="104">
        <v>227317913.45420399</v>
      </c>
      <c r="S203" s="104">
        <v>164041994.80000001</v>
      </c>
      <c r="T203" s="104">
        <v>164041994.80000001</v>
      </c>
      <c r="U203" s="112">
        <v>227317913.45420399</v>
      </c>
      <c r="V203" s="107" t="s">
        <v>81</v>
      </c>
      <c r="W203" s="104" t="s">
        <v>78</v>
      </c>
      <c r="X203" s="104" t="s">
        <v>81</v>
      </c>
      <c r="Y203" s="104" t="s">
        <v>78</v>
      </c>
      <c r="Z203" s="104" t="s">
        <v>81</v>
      </c>
      <c r="AA203" s="104">
        <v>0</v>
      </c>
      <c r="AB203" s="108" t="s">
        <v>78</v>
      </c>
      <c r="AC203" s="104">
        <v>0</v>
      </c>
      <c r="AD203" s="105" t="s">
        <v>78</v>
      </c>
      <c r="AE203" s="104">
        <v>0</v>
      </c>
      <c r="AF203" s="104" t="s">
        <v>78</v>
      </c>
      <c r="AG203" s="104">
        <v>0</v>
      </c>
      <c r="AH203" s="109" t="s">
        <v>75</v>
      </c>
      <c r="AI203" s="109" t="s">
        <v>1295</v>
      </c>
      <c r="AJ203" s="109" t="s">
        <v>81</v>
      </c>
      <c r="AK203" s="109" t="s">
        <v>78</v>
      </c>
      <c r="AL203" s="109" t="s">
        <v>78</v>
      </c>
      <c r="AM203" s="109" t="s">
        <v>81</v>
      </c>
      <c r="AN203" s="109" t="s">
        <v>81</v>
      </c>
      <c r="AO203" s="109" t="s">
        <v>78</v>
      </c>
      <c r="AP203" s="109" t="s">
        <v>81</v>
      </c>
      <c r="AQ203" s="109">
        <v>1</v>
      </c>
      <c r="AR203" s="109" t="s">
        <v>104</v>
      </c>
    </row>
    <row r="204" spans="1:44" ht="30.6" customHeight="1" x14ac:dyDescent="0.45">
      <c r="A204" s="104" t="s">
        <v>1296</v>
      </c>
      <c r="B204" s="125" t="s">
        <v>1297</v>
      </c>
      <c r="C204" s="105">
        <v>2016</v>
      </c>
      <c r="D204" s="105" t="s">
        <v>151</v>
      </c>
      <c r="E204" s="105" t="s">
        <v>78</v>
      </c>
      <c r="F204" s="105" t="s">
        <v>546</v>
      </c>
      <c r="G204" s="105" t="s">
        <v>518</v>
      </c>
      <c r="H204" s="105" t="s">
        <v>587</v>
      </c>
      <c r="I204" s="106" t="s">
        <v>256</v>
      </c>
      <c r="J204" s="104" t="s">
        <v>689</v>
      </c>
      <c r="K204" s="104" t="s">
        <v>81</v>
      </c>
      <c r="L204" s="107" t="s">
        <v>104</v>
      </c>
      <c r="M204" s="107">
        <v>88850000</v>
      </c>
      <c r="N204" s="104">
        <v>69805080.018541366</v>
      </c>
      <c r="O204" s="104">
        <v>96730993.53409332</v>
      </c>
      <c r="P204" s="104">
        <v>72875656.170000002</v>
      </c>
      <c r="Q204" s="104">
        <v>72875656.170000002</v>
      </c>
      <c r="R204" s="104">
        <v>100985983.0244541</v>
      </c>
      <c r="S204" s="104">
        <v>72875656.170000002</v>
      </c>
      <c r="T204" s="104">
        <v>72875656.170000002</v>
      </c>
      <c r="U204" s="112">
        <v>100985983.0244541</v>
      </c>
      <c r="V204" s="107" t="s">
        <v>75</v>
      </c>
      <c r="W204" s="104" t="s">
        <v>1298</v>
      </c>
      <c r="X204" s="104" t="s">
        <v>81</v>
      </c>
      <c r="Y204" s="104" t="s">
        <v>78</v>
      </c>
      <c r="Z204" s="104" t="s">
        <v>75</v>
      </c>
      <c r="AA204" s="104">
        <v>999</v>
      </c>
      <c r="AB204" s="108" t="s">
        <v>1299</v>
      </c>
      <c r="AC204" s="104">
        <v>999</v>
      </c>
      <c r="AD204" s="105" t="s">
        <v>1300</v>
      </c>
      <c r="AE204" s="104">
        <v>999</v>
      </c>
      <c r="AF204" s="104" t="s">
        <v>1301</v>
      </c>
      <c r="AG204" s="104">
        <v>3</v>
      </c>
      <c r="AH204" s="109" t="s">
        <v>81</v>
      </c>
      <c r="AI204" s="109" t="s">
        <v>78</v>
      </c>
      <c r="AJ204" s="109" t="s">
        <v>75</v>
      </c>
      <c r="AK204" s="109" t="s">
        <v>256</v>
      </c>
      <c r="AL204" s="109" t="s">
        <v>78</v>
      </c>
      <c r="AM204" s="109" t="s">
        <v>81</v>
      </c>
      <c r="AN204" s="109" t="s">
        <v>81</v>
      </c>
      <c r="AO204" s="109" t="s">
        <v>78</v>
      </c>
      <c r="AP204" s="109" t="s">
        <v>81</v>
      </c>
      <c r="AQ204" s="109">
        <v>1</v>
      </c>
      <c r="AR204" s="109" t="s">
        <v>104</v>
      </c>
    </row>
    <row r="205" spans="1:44" ht="30.6" customHeight="1" x14ac:dyDescent="0.45">
      <c r="A205" s="104" t="s">
        <v>1302</v>
      </c>
      <c r="B205" s="125" t="s">
        <v>1303</v>
      </c>
      <c r="C205" s="105">
        <v>2016</v>
      </c>
      <c r="D205" s="105" t="s">
        <v>433</v>
      </c>
      <c r="E205" s="105" t="s">
        <v>78</v>
      </c>
      <c r="F205" s="105" t="s">
        <v>564</v>
      </c>
      <c r="G205" s="105" t="s">
        <v>520</v>
      </c>
      <c r="H205" s="105" t="s">
        <v>599</v>
      </c>
      <c r="I205" s="106" t="s">
        <v>101</v>
      </c>
      <c r="J205" s="104" t="s">
        <v>676</v>
      </c>
      <c r="K205" s="104" t="s">
        <v>81</v>
      </c>
      <c r="L205" s="107" t="s">
        <v>74</v>
      </c>
      <c r="M205" s="107">
        <v>15000000</v>
      </c>
      <c r="N205" s="104">
        <v>15000000</v>
      </c>
      <c r="O205" s="104">
        <v>20785950</v>
      </c>
      <c r="P205" s="104">
        <v>15000000</v>
      </c>
      <c r="Q205" s="104">
        <v>15000000</v>
      </c>
      <c r="R205" s="104">
        <v>20785950</v>
      </c>
      <c r="S205" s="104">
        <v>15000000</v>
      </c>
      <c r="T205" s="104">
        <v>15000000</v>
      </c>
      <c r="U205" s="112">
        <v>20785950</v>
      </c>
      <c r="V205" s="107" t="s">
        <v>81</v>
      </c>
      <c r="W205" s="104" t="s">
        <v>78</v>
      </c>
      <c r="X205" s="104" t="s">
        <v>81</v>
      </c>
      <c r="Y205" s="104" t="s">
        <v>78</v>
      </c>
      <c r="Z205" s="104" t="s">
        <v>81</v>
      </c>
      <c r="AA205" s="104">
        <v>0</v>
      </c>
      <c r="AB205" s="108" t="s">
        <v>78</v>
      </c>
      <c r="AC205" s="104">
        <v>0</v>
      </c>
      <c r="AD205" s="105" t="s">
        <v>78</v>
      </c>
      <c r="AE205" s="104">
        <v>0</v>
      </c>
      <c r="AF205" s="104" t="s">
        <v>78</v>
      </c>
      <c r="AG205" s="104">
        <v>0</v>
      </c>
      <c r="AH205" s="109" t="s">
        <v>81</v>
      </c>
      <c r="AI205" s="109" t="s">
        <v>78</v>
      </c>
      <c r="AJ205" s="109" t="s">
        <v>81</v>
      </c>
      <c r="AK205" s="109" t="s">
        <v>78</v>
      </c>
      <c r="AL205" s="109" t="s">
        <v>78</v>
      </c>
      <c r="AM205" s="109" t="s">
        <v>81</v>
      </c>
      <c r="AN205" s="109" t="s">
        <v>81</v>
      </c>
      <c r="AO205" s="109" t="s">
        <v>78</v>
      </c>
      <c r="AP205" s="109" t="s">
        <v>81</v>
      </c>
      <c r="AQ205" s="109">
        <v>1</v>
      </c>
      <c r="AR205" s="109" t="s">
        <v>74</v>
      </c>
    </row>
    <row r="206" spans="1:44" ht="30.6" customHeight="1" x14ac:dyDescent="0.45">
      <c r="A206" s="104" t="s">
        <v>1304</v>
      </c>
      <c r="B206" s="125" t="s">
        <v>1305</v>
      </c>
      <c r="C206" s="105">
        <v>2016</v>
      </c>
      <c r="D206" s="105" t="s">
        <v>500</v>
      </c>
      <c r="E206" s="105" t="s">
        <v>78</v>
      </c>
      <c r="F206" s="105" t="s">
        <v>547</v>
      </c>
      <c r="G206" s="105" t="s">
        <v>519</v>
      </c>
      <c r="H206" s="105" t="s">
        <v>597</v>
      </c>
      <c r="I206" s="106" t="s">
        <v>101</v>
      </c>
      <c r="J206" s="104" t="s">
        <v>676</v>
      </c>
      <c r="K206" s="104" t="s">
        <v>81</v>
      </c>
      <c r="L206" s="107" t="s">
        <v>74</v>
      </c>
      <c r="M206" s="107">
        <v>41037591.140000001</v>
      </c>
      <c r="N206" s="104">
        <v>41037591.140000001</v>
      </c>
      <c r="O206" s="104">
        <v>56867021.170432195</v>
      </c>
      <c r="P206" s="104">
        <v>43093832.020000003</v>
      </c>
      <c r="Q206" s="104">
        <v>43093832.020000003</v>
      </c>
      <c r="R206" s="104">
        <v>59716415.845074601</v>
      </c>
      <c r="S206" s="104">
        <v>43093832.020000003</v>
      </c>
      <c r="T206" s="104">
        <v>43093832.020000003</v>
      </c>
      <c r="U206" s="112">
        <v>59716415.845074601</v>
      </c>
      <c r="V206" s="107" t="s">
        <v>75</v>
      </c>
      <c r="W206" s="104" t="s">
        <v>1306</v>
      </c>
      <c r="X206" s="104" t="s">
        <v>81</v>
      </c>
      <c r="Y206" s="104" t="s">
        <v>78</v>
      </c>
      <c r="Z206" s="104" t="s">
        <v>81</v>
      </c>
      <c r="AA206" s="104">
        <v>0</v>
      </c>
      <c r="AB206" s="108" t="s">
        <v>78</v>
      </c>
      <c r="AC206" s="104">
        <v>0</v>
      </c>
      <c r="AD206" s="105" t="s">
        <v>78</v>
      </c>
      <c r="AE206" s="104">
        <v>0</v>
      </c>
      <c r="AF206" s="104" t="s">
        <v>78</v>
      </c>
      <c r="AG206" s="104">
        <v>0</v>
      </c>
      <c r="AH206" s="109" t="s">
        <v>81</v>
      </c>
      <c r="AI206" s="109" t="s">
        <v>78</v>
      </c>
      <c r="AJ206" s="109" t="s">
        <v>75</v>
      </c>
      <c r="AK206" s="109" t="s">
        <v>256</v>
      </c>
      <c r="AL206" s="109" t="s">
        <v>78</v>
      </c>
      <c r="AM206" s="109" t="s">
        <v>81</v>
      </c>
      <c r="AN206" s="109" t="s">
        <v>81</v>
      </c>
      <c r="AO206" s="109" t="s">
        <v>78</v>
      </c>
      <c r="AP206" s="109" t="s">
        <v>81</v>
      </c>
      <c r="AQ206" s="109">
        <v>1</v>
      </c>
      <c r="AR206" s="109" t="s">
        <v>74</v>
      </c>
    </row>
    <row r="207" spans="1:44" ht="30.6" customHeight="1" x14ac:dyDescent="0.45">
      <c r="A207" s="104" t="s">
        <v>1307</v>
      </c>
      <c r="B207" s="125" t="s">
        <v>1308</v>
      </c>
      <c r="C207" s="105">
        <v>2016</v>
      </c>
      <c r="D207" s="105" t="s">
        <v>500</v>
      </c>
      <c r="E207" s="105" t="s">
        <v>78</v>
      </c>
      <c r="F207" s="105" t="s">
        <v>547</v>
      </c>
      <c r="G207" s="105" t="s">
        <v>519</v>
      </c>
      <c r="H207" s="105" t="s">
        <v>577</v>
      </c>
      <c r="I207" s="106" t="s">
        <v>115</v>
      </c>
      <c r="J207" s="104" t="s">
        <v>689</v>
      </c>
      <c r="K207" s="104" t="s">
        <v>81</v>
      </c>
      <c r="L207" s="107" t="s">
        <v>126</v>
      </c>
      <c r="M207" s="107">
        <v>1000000</v>
      </c>
      <c r="N207" s="104">
        <v>721641.30097493739</v>
      </c>
      <c r="O207" s="104">
        <v>999999.99999999988</v>
      </c>
      <c r="P207" s="104">
        <v>723227.91</v>
      </c>
      <c r="Q207" s="104">
        <v>723227.91</v>
      </c>
      <c r="R207" s="104">
        <v>1002198.6117243</v>
      </c>
      <c r="S207" s="104">
        <v>723227.91</v>
      </c>
      <c r="T207" s="104">
        <v>723227.91</v>
      </c>
      <c r="U207" s="112">
        <v>1002198.6117243</v>
      </c>
      <c r="V207" s="107" t="s">
        <v>75</v>
      </c>
      <c r="W207" s="104" t="s">
        <v>1309</v>
      </c>
      <c r="X207" s="104" t="s">
        <v>75</v>
      </c>
      <c r="Y207" s="104" t="s">
        <v>1310</v>
      </c>
      <c r="Z207" s="104" t="s">
        <v>75</v>
      </c>
      <c r="AA207" s="104">
        <v>999</v>
      </c>
      <c r="AB207" s="108" t="s">
        <v>1311</v>
      </c>
      <c r="AC207" s="104">
        <v>999</v>
      </c>
      <c r="AD207" s="105" t="s">
        <v>1312</v>
      </c>
      <c r="AE207" s="110">
        <v>0</v>
      </c>
      <c r="AF207" s="104" t="s">
        <v>78</v>
      </c>
      <c r="AG207" s="104">
        <v>2</v>
      </c>
      <c r="AH207" s="109" t="s">
        <v>81</v>
      </c>
      <c r="AI207" s="109" t="s">
        <v>78</v>
      </c>
      <c r="AJ207" s="109" t="s">
        <v>75</v>
      </c>
      <c r="AK207" s="109" t="s">
        <v>256</v>
      </c>
      <c r="AL207" s="109" t="s">
        <v>78</v>
      </c>
      <c r="AM207" s="109" t="s">
        <v>81</v>
      </c>
      <c r="AN207" s="109" t="s">
        <v>81</v>
      </c>
      <c r="AO207" s="109" t="s">
        <v>78</v>
      </c>
      <c r="AP207" s="109" t="s">
        <v>75</v>
      </c>
      <c r="AQ207" s="109">
        <v>1</v>
      </c>
      <c r="AR207" s="109" t="s">
        <v>126</v>
      </c>
    </row>
    <row r="208" spans="1:44" ht="30.6" customHeight="1" x14ac:dyDescent="0.45">
      <c r="A208" s="104" t="s">
        <v>1313</v>
      </c>
      <c r="B208" s="125" t="s">
        <v>1314</v>
      </c>
      <c r="C208" s="105">
        <v>2016</v>
      </c>
      <c r="D208" s="105" t="s">
        <v>99</v>
      </c>
      <c r="E208" s="105" t="s">
        <v>78</v>
      </c>
      <c r="F208" s="105" t="s">
        <v>532</v>
      </c>
      <c r="G208" s="105" t="s">
        <v>520</v>
      </c>
      <c r="H208" s="105" t="s">
        <v>573</v>
      </c>
      <c r="I208" s="106" t="s">
        <v>466</v>
      </c>
      <c r="J208" s="104" t="s">
        <v>689</v>
      </c>
      <c r="K208" s="104" t="s">
        <v>81</v>
      </c>
      <c r="L208" s="107" t="s">
        <v>74</v>
      </c>
      <c r="M208" s="107">
        <v>800000</v>
      </c>
      <c r="N208" s="104">
        <v>800000</v>
      </c>
      <c r="O208" s="104">
        <v>1108584</v>
      </c>
      <c r="P208" s="104">
        <v>800000</v>
      </c>
      <c r="Q208" s="104">
        <v>800000</v>
      </c>
      <c r="R208" s="104">
        <v>1108584</v>
      </c>
      <c r="S208" s="104">
        <v>800000</v>
      </c>
      <c r="T208" s="104">
        <v>800000</v>
      </c>
      <c r="U208" s="112">
        <v>1108584</v>
      </c>
      <c r="V208" s="107" t="s">
        <v>81</v>
      </c>
      <c r="W208" s="104" t="s">
        <v>78</v>
      </c>
      <c r="X208" s="104" t="s">
        <v>81</v>
      </c>
      <c r="Y208" s="104" t="s">
        <v>78</v>
      </c>
      <c r="Z208" s="104" t="s">
        <v>81</v>
      </c>
      <c r="AA208" s="104">
        <v>0</v>
      </c>
      <c r="AB208" s="108" t="s">
        <v>78</v>
      </c>
      <c r="AC208" s="104">
        <v>0</v>
      </c>
      <c r="AD208" s="105" t="s">
        <v>78</v>
      </c>
      <c r="AE208" s="110">
        <v>0</v>
      </c>
      <c r="AF208" s="104" t="s">
        <v>78</v>
      </c>
      <c r="AG208" s="104">
        <v>0</v>
      </c>
      <c r="AH208" s="109" t="s">
        <v>81</v>
      </c>
      <c r="AI208" s="109" t="s">
        <v>78</v>
      </c>
      <c r="AJ208" s="109" t="s">
        <v>81</v>
      </c>
      <c r="AK208" s="109" t="s">
        <v>78</v>
      </c>
      <c r="AL208" s="109" t="s">
        <v>78</v>
      </c>
      <c r="AM208" s="109" t="s">
        <v>81</v>
      </c>
      <c r="AN208" s="109" t="s">
        <v>81</v>
      </c>
      <c r="AO208" s="109" t="s">
        <v>78</v>
      </c>
      <c r="AP208" s="109" t="s">
        <v>81</v>
      </c>
      <c r="AQ208" s="109">
        <v>1</v>
      </c>
      <c r="AR208" s="109" t="s">
        <v>74</v>
      </c>
    </row>
    <row r="209" spans="1:44" ht="30.6" customHeight="1" x14ac:dyDescent="0.45">
      <c r="A209" s="104" t="s">
        <v>1315</v>
      </c>
      <c r="B209" s="125" t="s">
        <v>1316</v>
      </c>
      <c r="C209" s="105">
        <v>2015</v>
      </c>
      <c r="D209" s="111" t="s">
        <v>419</v>
      </c>
      <c r="E209" s="105" t="s">
        <v>78</v>
      </c>
      <c r="F209" s="105" t="s">
        <v>563</v>
      </c>
      <c r="G209" s="105" t="s">
        <v>519</v>
      </c>
      <c r="H209" s="105" t="s">
        <v>589</v>
      </c>
      <c r="I209" s="106" t="s">
        <v>256</v>
      </c>
      <c r="J209" s="104" t="s">
        <v>689</v>
      </c>
      <c r="K209" s="104" t="s">
        <v>81</v>
      </c>
      <c r="L209" s="107" t="s">
        <v>74</v>
      </c>
      <c r="M209" s="107">
        <v>797500</v>
      </c>
      <c r="N209" s="104">
        <v>797500</v>
      </c>
      <c r="O209" s="104">
        <v>1155425.9749999999</v>
      </c>
      <c r="P209" s="104">
        <v>797416</v>
      </c>
      <c r="Q209" s="104">
        <v>797416</v>
      </c>
      <c r="R209" s="104">
        <v>1155304.2749599998</v>
      </c>
      <c r="S209" s="104">
        <v>797416</v>
      </c>
      <c r="T209" s="104">
        <v>797416</v>
      </c>
      <c r="U209" s="112">
        <v>1155304.2749599998</v>
      </c>
      <c r="V209" s="107" t="s">
        <v>81</v>
      </c>
      <c r="W209" s="104" t="s">
        <v>78</v>
      </c>
      <c r="X209" s="104" t="s">
        <v>81</v>
      </c>
      <c r="Y209" s="104" t="s">
        <v>78</v>
      </c>
      <c r="Z209" s="104" t="s">
        <v>75</v>
      </c>
      <c r="AA209" s="104">
        <v>0</v>
      </c>
      <c r="AB209" s="108" t="s">
        <v>78</v>
      </c>
      <c r="AC209" s="104">
        <v>0</v>
      </c>
      <c r="AD209" s="105" t="s">
        <v>78</v>
      </c>
      <c r="AE209" s="104">
        <v>0</v>
      </c>
      <c r="AF209" s="104" t="s">
        <v>78</v>
      </c>
      <c r="AG209" s="104">
        <v>0</v>
      </c>
      <c r="AH209" s="109" t="s">
        <v>81</v>
      </c>
      <c r="AI209" s="109" t="s">
        <v>78</v>
      </c>
      <c r="AJ209" s="109" t="s">
        <v>81</v>
      </c>
      <c r="AK209" s="109" t="s">
        <v>78</v>
      </c>
      <c r="AL209" s="109" t="s">
        <v>78</v>
      </c>
      <c r="AM209" s="109" t="s">
        <v>81</v>
      </c>
      <c r="AN209" s="109" t="s">
        <v>81</v>
      </c>
      <c r="AO209" s="109" t="s">
        <v>78</v>
      </c>
      <c r="AP209" s="109" t="s">
        <v>81</v>
      </c>
      <c r="AQ209" s="109">
        <v>1</v>
      </c>
      <c r="AR209" s="109" t="s">
        <v>74</v>
      </c>
    </row>
    <row r="210" spans="1:44" ht="30.6" customHeight="1" x14ac:dyDescent="0.45">
      <c r="A210" s="104" t="s">
        <v>1317</v>
      </c>
      <c r="B210" s="125" t="s">
        <v>1318</v>
      </c>
      <c r="C210" s="105">
        <v>2015</v>
      </c>
      <c r="D210" s="111" t="s">
        <v>70</v>
      </c>
      <c r="E210" s="105" t="s">
        <v>78</v>
      </c>
      <c r="F210" s="105" t="s">
        <v>570</v>
      </c>
      <c r="G210" s="105" t="s">
        <v>519</v>
      </c>
      <c r="H210" s="105" t="s">
        <v>589</v>
      </c>
      <c r="I210" s="106" t="s">
        <v>256</v>
      </c>
      <c r="J210" s="104" t="s">
        <v>679</v>
      </c>
      <c r="K210" s="104" t="s">
        <v>75</v>
      </c>
      <c r="L210" s="107" t="s">
        <v>104</v>
      </c>
      <c r="M210" s="107">
        <v>2340500</v>
      </c>
      <c r="N210" s="104">
        <v>1961334.7635169108</v>
      </c>
      <c r="O210" s="104">
        <v>2841601.4187309355</v>
      </c>
      <c r="P210" s="104">
        <v>1638041.34</v>
      </c>
      <c r="Q210" s="104">
        <v>1638041.34</v>
      </c>
      <c r="R210" s="104">
        <v>2373210.6738053998</v>
      </c>
      <c r="S210" s="104">
        <v>0</v>
      </c>
      <c r="T210" s="104">
        <v>0</v>
      </c>
      <c r="U210" s="112">
        <v>0</v>
      </c>
      <c r="V210" s="107" t="s">
        <v>81</v>
      </c>
      <c r="W210" s="104" t="s">
        <v>78</v>
      </c>
      <c r="X210" s="104" t="s">
        <v>81</v>
      </c>
      <c r="Y210" s="104" t="s">
        <v>78</v>
      </c>
      <c r="Z210" s="104" t="s">
        <v>81</v>
      </c>
      <c r="AA210" s="104">
        <v>0</v>
      </c>
      <c r="AB210" s="108" t="s">
        <v>78</v>
      </c>
      <c r="AC210" s="104">
        <v>0</v>
      </c>
      <c r="AD210" s="105" t="s">
        <v>78</v>
      </c>
      <c r="AE210" s="104">
        <v>0</v>
      </c>
      <c r="AF210" s="104" t="s">
        <v>78</v>
      </c>
      <c r="AG210" s="104">
        <v>0</v>
      </c>
      <c r="AH210" s="109" t="s">
        <v>81</v>
      </c>
      <c r="AI210" s="109" t="s">
        <v>78</v>
      </c>
      <c r="AJ210" s="109" t="s">
        <v>81</v>
      </c>
      <c r="AK210" s="109" t="s">
        <v>78</v>
      </c>
      <c r="AL210" s="109" t="s">
        <v>78</v>
      </c>
      <c r="AM210" s="109" t="s">
        <v>81</v>
      </c>
      <c r="AN210" s="109" t="s">
        <v>81</v>
      </c>
      <c r="AO210" s="109" t="s">
        <v>78</v>
      </c>
      <c r="AP210" s="109" t="s">
        <v>81</v>
      </c>
      <c r="AQ210" s="109">
        <v>1</v>
      </c>
      <c r="AR210" s="109" t="s">
        <v>104</v>
      </c>
    </row>
    <row r="211" spans="1:44" ht="30.6" customHeight="1" x14ac:dyDescent="0.45">
      <c r="A211" s="104" t="s">
        <v>845</v>
      </c>
      <c r="B211" s="125" t="s">
        <v>846</v>
      </c>
      <c r="C211" s="105">
        <v>2015</v>
      </c>
      <c r="D211" s="111" t="s">
        <v>254</v>
      </c>
      <c r="E211" s="105" t="s">
        <v>78</v>
      </c>
      <c r="F211" s="105" t="s">
        <v>555</v>
      </c>
      <c r="G211" s="105" t="s">
        <v>522</v>
      </c>
      <c r="H211" s="105" t="s">
        <v>587</v>
      </c>
      <c r="I211" s="106" t="s">
        <v>256</v>
      </c>
      <c r="J211" s="104" t="s">
        <v>689</v>
      </c>
      <c r="K211" s="104" t="s">
        <v>81</v>
      </c>
      <c r="L211" s="107" t="s">
        <v>126</v>
      </c>
      <c r="M211" s="107">
        <v>13705168.91</v>
      </c>
      <c r="N211" s="104">
        <v>9459604.0267529916</v>
      </c>
      <c r="O211" s="104">
        <v>13705168.910000002</v>
      </c>
      <c r="P211" s="104">
        <v>15674999.460000001</v>
      </c>
      <c r="Q211" s="104">
        <v>15674999.460000001</v>
      </c>
      <c r="R211" s="104">
        <v>22710095.967642602</v>
      </c>
      <c r="S211" s="104">
        <v>13705168.91</v>
      </c>
      <c r="T211" s="104">
        <v>13705168.91</v>
      </c>
      <c r="U211" s="112">
        <v>19856185.768497098</v>
      </c>
      <c r="V211" s="107" t="s">
        <v>81</v>
      </c>
      <c r="W211" s="104" t="s">
        <v>78</v>
      </c>
      <c r="X211" s="104" t="s">
        <v>81</v>
      </c>
      <c r="Y211" s="104" t="s">
        <v>78</v>
      </c>
      <c r="Z211" s="104" t="s">
        <v>81</v>
      </c>
      <c r="AA211" s="104">
        <v>0</v>
      </c>
      <c r="AB211" s="108" t="s">
        <v>78</v>
      </c>
      <c r="AC211" s="104">
        <v>0</v>
      </c>
      <c r="AD211" s="105" t="s">
        <v>78</v>
      </c>
      <c r="AE211" s="110">
        <v>0</v>
      </c>
      <c r="AF211" s="104" t="s">
        <v>78</v>
      </c>
      <c r="AG211" s="104">
        <v>0</v>
      </c>
      <c r="AH211" s="109" t="s">
        <v>81</v>
      </c>
      <c r="AI211" s="109" t="s">
        <v>78</v>
      </c>
      <c r="AJ211" s="109" t="s">
        <v>81</v>
      </c>
      <c r="AK211" s="109" t="s">
        <v>78</v>
      </c>
      <c r="AL211" s="109" t="s">
        <v>78</v>
      </c>
      <c r="AM211" s="109" t="s">
        <v>81</v>
      </c>
      <c r="AN211" s="109" t="s">
        <v>81</v>
      </c>
      <c r="AO211" s="109" t="s">
        <v>78</v>
      </c>
      <c r="AP211" s="109" t="s">
        <v>81</v>
      </c>
      <c r="AQ211" s="109">
        <v>1</v>
      </c>
      <c r="AR211" s="109" t="s">
        <v>126</v>
      </c>
    </row>
    <row r="212" spans="1:44" ht="30.6" customHeight="1" x14ac:dyDescent="0.45">
      <c r="A212" s="104" t="s">
        <v>1319</v>
      </c>
      <c r="B212" s="125" t="s">
        <v>1320</v>
      </c>
      <c r="C212" s="105">
        <v>2015</v>
      </c>
      <c r="D212" s="111" t="s">
        <v>70</v>
      </c>
      <c r="E212" s="105" t="s">
        <v>78</v>
      </c>
      <c r="F212" s="105" t="s">
        <v>570</v>
      </c>
      <c r="G212" s="105" t="s">
        <v>519</v>
      </c>
      <c r="H212" s="105" t="s">
        <v>587</v>
      </c>
      <c r="I212" s="106" t="s">
        <v>256</v>
      </c>
      <c r="J212" s="104" t="s">
        <v>676</v>
      </c>
      <c r="K212" s="104" t="s">
        <v>81</v>
      </c>
      <c r="L212" s="107" t="s">
        <v>74</v>
      </c>
      <c r="M212" s="107">
        <v>26660000</v>
      </c>
      <c r="N212" s="104">
        <v>26660000</v>
      </c>
      <c r="O212" s="104">
        <v>38625274.600000001</v>
      </c>
      <c r="P212" s="104">
        <v>24000000</v>
      </c>
      <c r="Q212" s="104">
        <v>24000000</v>
      </c>
      <c r="R212" s="104">
        <v>34771440</v>
      </c>
      <c r="S212" s="104">
        <v>24000000</v>
      </c>
      <c r="T212" s="104">
        <v>24000000</v>
      </c>
      <c r="U212" s="112">
        <v>34771440</v>
      </c>
      <c r="V212" s="107" t="s">
        <v>81</v>
      </c>
      <c r="W212" s="104" t="s">
        <v>78</v>
      </c>
      <c r="X212" s="104" t="s">
        <v>81</v>
      </c>
      <c r="Y212" s="104" t="s">
        <v>78</v>
      </c>
      <c r="Z212" s="104" t="s">
        <v>81</v>
      </c>
      <c r="AA212" s="104">
        <v>0</v>
      </c>
      <c r="AB212" s="108" t="s">
        <v>78</v>
      </c>
      <c r="AC212" s="104">
        <v>0</v>
      </c>
      <c r="AD212" s="105" t="s">
        <v>78</v>
      </c>
      <c r="AE212" s="104">
        <v>0</v>
      </c>
      <c r="AF212" s="104" t="s">
        <v>78</v>
      </c>
      <c r="AG212" s="104">
        <v>0</v>
      </c>
      <c r="AH212" s="109" t="s">
        <v>81</v>
      </c>
      <c r="AI212" s="109" t="s">
        <v>78</v>
      </c>
      <c r="AJ212" s="109" t="s">
        <v>81</v>
      </c>
      <c r="AK212" s="109" t="s">
        <v>78</v>
      </c>
      <c r="AL212" s="109" t="s">
        <v>78</v>
      </c>
      <c r="AM212" s="109" t="s">
        <v>81</v>
      </c>
      <c r="AN212" s="109" t="s">
        <v>81</v>
      </c>
      <c r="AO212" s="109" t="s">
        <v>78</v>
      </c>
      <c r="AP212" s="109" t="s">
        <v>81</v>
      </c>
      <c r="AQ212" s="109">
        <v>1</v>
      </c>
      <c r="AR212" s="109" t="s">
        <v>74</v>
      </c>
    </row>
    <row r="213" spans="1:44" ht="30.6" customHeight="1" x14ac:dyDescent="0.45">
      <c r="A213" s="104" t="s">
        <v>1321</v>
      </c>
      <c r="B213" s="125" t="s">
        <v>1322</v>
      </c>
      <c r="C213" s="105">
        <v>2015</v>
      </c>
      <c r="D213" s="111" t="s">
        <v>254</v>
      </c>
      <c r="E213" s="105" t="s">
        <v>78</v>
      </c>
      <c r="F213" s="105" t="s">
        <v>555</v>
      </c>
      <c r="G213" s="105" t="s">
        <v>522</v>
      </c>
      <c r="H213" s="105" t="s">
        <v>585</v>
      </c>
      <c r="I213" s="106" t="s">
        <v>228</v>
      </c>
      <c r="J213" s="104" t="s">
        <v>689</v>
      </c>
      <c r="K213" s="104" t="s">
        <v>81</v>
      </c>
      <c r="L213" s="107" t="s">
        <v>126</v>
      </c>
      <c r="M213" s="107">
        <v>1000000</v>
      </c>
      <c r="N213" s="104">
        <v>690221.6301654462</v>
      </c>
      <c r="O213" s="104">
        <v>1000000.0000000001</v>
      </c>
      <c r="P213" s="104">
        <v>723227.91</v>
      </c>
      <c r="Q213" s="104">
        <v>723227.91</v>
      </c>
      <c r="R213" s="104">
        <v>1047819.8282871</v>
      </c>
      <c r="S213" s="104">
        <v>723227.91</v>
      </c>
      <c r="T213" s="104">
        <v>723227.91</v>
      </c>
      <c r="U213" s="112">
        <v>1047819.8282871</v>
      </c>
      <c r="V213" s="107" t="s">
        <v>81</v>
      </c>
      <c r="W213" s="104" t="s">
        <v>78</v>
      </c>
      <c r="X213" s="104" t="s">
        <v>81</v>
      </c>
      <c r="Y213" s="104" t="s">
        <v>78</v>
      </c>
      <c r="Z213" s="104" t="s">
        <v>81</v>
      </c>
      <c r="AA213" s="104">
        <v>0</v>
      </c>
      <c r="AB213" s="108" t="s">
        <v>78</v>
      </c>
      <c r="AC213" s="104">
        <v>0</v>
      </c>
      <c r="AD213" s="105" t="s">
        <v>78</v>
      </c>
      <c r="AE213" s="104">
        <v>0</v>
      </c>
      <c r="AF213" s="104" t="s">
        <v>78</v>
      </c>
      <c r="AG213" s="104">
        <v>0</v>
      </c>
      <c r="AH213" s="109" t="s">
        <v>81</v>
      </c>
      <c r="AI213" s="109" t="s">
        <v>78</v>
      </c>
      <c r="AJ213" s="109" t="s">
        <v>81</v>
      </c>
      <c r="AK213" s="109" t="s">
        <v>78</v>
      </c>
      <c r="AL213" s="109" t="s">
        <v>78</v>
      </c>
      <c r="AM213" s="109" t="s">
        <v>81</v>
      </c>
      <c r="AN213" s="109" t="s">
        <v>81</v>
      </c>
      <c r="AO213" s="109" t="s">
        <v>78</v>
      </c>
      <c r="AP213" s="109" t="s">
        <v>81</v>
      </c>
      <c r="AQ213" s="109">
        <v>1</v>
      </c>
      <c r="AR213" s="109" t="s">
        <v>126</v>
      </c>
    </row>
    <row r="214" spans="1:44" ht="30.6" customHeight="1" x14ac:dyDescent="0.45">
      <c r="A214" s="104" t="s">
        <v>1323</v>
      </c>
      <c r="B214" s="125" t="s">
        <v>1324</v>
      </c>
      <c r="C214" s="105">
        <v>2015</v>
      </c>
      <c r="D214" s="111" t="s">
        <v>516</v>
      </c>
      <c r="E214" s="105" t="s">
        <v>78</v>
      </c>
      <c r="F214" s="105" t="s">
        <v>569</v>
      </c>
      <c r="G214" s="105" t="s">
        <v>519</v>
      </c>
      <c r="H214" s="105" t="s">
        <v>228</v>
      </c>
      <c r="I214" s="106" t="s">
        <v>228</v>
      </c>
      <c r="J214" s="104" t="s">
        <v>689</v>
      </c>
      <c r="K214" s="104" t="s">
        <v>81</v>
      </c>
      <c r="L214" s="107" t="s">
        <v>126</v>
      </c>
      <c r="M214" s="107">
        <v>56000000</v>
      </c>
      <c r="N214" s="104">
        <v>38652411.289264984</v>
      </c>
      <c r="O214" s="104">
        <v>56000000</v>
      </c>
      <c r="P214" s="104">
        <v>32545255.989999998</v>
      </c>
      <c r="Q214" s="104">
        <v>32545255.989999998</v>
      </c>
      <c r="R214" s="104">
        <v>47151892.330871895</v>
      </c>
      <c r="S214" s="104">
        <v>32545255.989999998</v>
      </c>
      <c r="T214" s="104">
        <v>32545255.989999998</v>
      </c>
      <c r="U214" s="112">
        <v>47151892.330871895</v>
      </c>
      <c r="V214" s="107" t="s">
        <v>81</v>
      </c>
      <c r="W214" s="104" t="s">
        <v>78</v>
      </c>
      <c r="X214" s="104" t="s">
        <v>81</v>
      </c>
      <c r="Y214" s="104" t="s">
        <v>78</v>
      </c>
      <c r="Z214" s="104" t="s">
        <v>81</v>
      </c>
      <c r="AA214" s="104">
        <v>0</v>
      </c>
      <c r="AB214" s="108" t="s">
        <v>78</v>
      </c>
      <c r="AC214" s="104">
        <v>0</v>
      </c>
      <c r="AD214" s="105" t="s">
        <v>78</v>
      </c>
      <c r="AE214" s="104">
        <v>0</v>
      </c>
      <c r="AF214" s="104" t="s">
        <v>78</v>
      </c>
      <c r="AG214" s="104">
        <v>0</v>
      </c>
      <c r="AH214" s="109" t="s">
        <v>81</v>
      </c>
      <c r="AI214" s="109" t="s">
        <v>78</v>
      </c>
      <c r="AJ214" s="109" t="s">
        <v>81</v>
      </c>
      <c r="AK214" s="109" t="s">
        <v>78</v>
      </c>
      <c r="AL214" s="109" t="s">
        <v>78</v>
      </c>
      <c r="AM214" s="109" t="s">
        <v>81</v>
      </c>
      <c r="AN214" s="109" t="s">
        <v>81</v>
      </c>
      <c r="AO214" s="109" t="s">
        <v>78</v>
      </c>
      <c r="AP214" s="109" t="s">
        <v>81</v>
      </c>
      <c r="AQ214" s="109">
        <v>1</v>
      </c>
      <c r="AR214" s="109" t="s">
        <v>126</v>
      </c>
    </row>
    <row r="215" spans="1:44" ht="30.6" customHeight="1" x14ac:dyDescent="0.45">
      <c r="A215" s="104" t="s">
        <v>1325</v>
      </c>
      <c r="B215" s="125" t="s">
        <v>1326</v>
      </c>
      <c r="C215" s="105">
        <v>2015</v>
      </c>
      <c r="D215" s="111" t="s">
        <v>70</v>
      </c>
      <c r="E215" s="105" t="s">
        <v>78</v>
      </c>
      <c r="F215" s="105" t="s">
        <v>570</v>
      </c>
      <c r="G215" s="105" t="s">
        <v>519</v>
      </c>
      <c r="H215" s="105" t="s">
        <v>584</v>
      </c>
      <c r="I215" s="106" t="s">
        <v>228</v>
      </c>
      <c r="J215" s="104" t="s">
        <v>676</v>
      </c>
      <c r="K215" s="104" t="s">
        <v>81</v>
      </c>
      <c r="L215" s="107" t="s">
        <v>126</v>
      </c>
      <c r="M215" s="107">
        <v>1676177.15</v>
      </c>
      <c r="N215" s="104">
        <v>1156933.7249190714</v>
      </c>
      <c r="O215" s="104">
        <v>1676177.1499999997</v>
      </c>
      <c r="P215" s="104">
        <v>1442393.67</v>
      </c>
      <c r="Q215" s="104">
        <v>1442393.67</v>
      </c>
      <c r="R215" s="104">
        <v>2089754.3730326998</v>
      </c>
      <c r="S215" s="104">
        <v>719165.76</v>
      </c>
      <c r="T215" s="104">
        <v>719165.76</v>
      </c>
      <c r="U215" s="112">
        <v>1041934.5447456</v>
      </c>
      <c r="V215" s="107" t="s">
        <v>81</v>
      </c>
      <c r="W215" s="104" t="s">
        <v>78</v>
      </c>
      <c r="X215" s="104" t="s">
        <v>81</v>
      </c>
      <c r="Y215" s="104" t="s">
        <v>78</v>
      </c>
      <c r="Z215" s="104" t="s">
        <v>81</v>
      </c>
      <c r="AA215" s="104">
        <v>0</v>
      </c>
      <c r="AB215" s="108" t="s">
        <v>78</v>
      </c>
      <c r="AC215" s="104">
        <v>0</v>
      </c>
      <c r="AD215" s="105" t="s">
        <v>78</v>
      </c>
      <c r="AE215" s="104">
        <v>0</v>
      </c>
      <c r="AF215" s="104" t="s">
        <v>78</v>
      </c>
      <c r="AG215" s="104">
        <v>0</v>
      </c>
      <c r="AH215" s="109" t="s">
        <v>81</v>
      </c>
      <c r="AI215" s="109" t="s">
        <v>78</v>
      </c>
      <c r="AJ215" s="109" t="s">
        <v>81</v>
      </c>
      <c r="AK215" s="109" t="s">
        <v>78</v>
      </c>
      <c r="AL215" s="109" t="s">
        <v>78</v>
      </c>
      <c r="AM215" s="109" t="s">
        <v>81</v>
      </c>
      <c r="AN215" s="109" t="s">
        <v>81</v>
      </c>
      <c r="AO215" s="109" t="s">
        <v>78</v>
      </c>
      <c r="AP215" s="109" t="s">
        <v>81</v>
      </c>
      <c r="AQ215" s="109">
        <v>1</v>
      </c>
      <c r="AR215" s="109" t="s">
        <v>126</v>
      </c>
    </row>
    <row r="216" spans="1:44" ht="30.6" customHeight="1" x14ac:dyDescent="0.45">
      <c r="A216" s="104" t="s">
        <v>1327</v>
      </c>
      <c r="B216" s="125" t="s">
        <v>1328</v>
      </c>
      <c r="C216" s="105">
        <v>2015</v>
      </c>
      <c r="D216" s="111" t="s">
        <v>70</v>
      </c>
      <c r="E216" s="105" t="s">
        <v>78</v>
      </c>
      <c r="F216" s="105" t="s">
        <v>570</v>
      </c>
      <c r="G216" s="105" t="s">
        <v>519</v>
      </c>
      <c r="H216" s="105" t="s">
        <v>587</v>
      </c>
      <c r="I216" s="106" t="s">
        <v>256</v>
      </c>
      <c r="J216" s="104" t="s">
        <v>679</v>
      </c>
      <c r="K216" s="104" t="s">
        <v>75</v>
      </c>
      <c r="L216" s="107" t="s">
        <v>126</v>
      </c>
      <c r="M216" s="107">
        <v>16150000</v>
      </c>
      <c r="N216" s="104">
        <v>11147079.327171955</v>
      </c>
      <c r="O216" s="104">
        <v>16150000</v>
      </c>
      <c r="P216" s="104">
        <v>11680130.76</v>
      </c>
      <c r="Q216" s="104">
        <v>11680130.76</v>
      </c>
      <c r="R216" s="104">
        <v>16922290.246395599</v>
      </c>
      <c r="S216" s="104">
        <v>0</v>
      </c>
      <c r="T216" s="104">
        <v>0</v>
      </c>
      <c r="U216" s="112">
        <v>0</v>
      </c>
      <c r="V216" s="107" t="s">
        <v>75</v>
      </c>
      <c r="W216" s="104" t="s">
        <v>1329</v>
      </c>
      <c r="X216" s="104" t="s">
        <v>81</v>
      </c>
      <c r="Y216" s="104" t="s">
        <v>78</v>
      </c>
      <c r="Z216" s="104" t="s">
        <v>75</v>
      </c>
      <c r="AA216" s="104">
        <v>999</v>
      </c>
      <c r="AB216" s="108" t="s">
        <v>1330</v>
      </c>
      <c r="AC216" s="104">
        <v>999</v>
      </c>
      <c r="AD216" s="105" t="s">
        <v>1331</v>
      </c>
      <c r="AE216" s="104">
        <v>0</v>
      </c>
      <c r="AF216" s="104" t="s">
        <v>78</v>
      </c>
      <c r="AG216" s="104">
        <v>2</v>
      </c>
      <c r="AH216" s="109" t="s">
        <v>81</v>
      </c>
      <c r="AI216" s="109" t="s">
        <v>78</v>
      </c>
      <c r="AJ216" s="109" t="s">
        <v>75</v>
      </c>
      <c r="AK216" s="109" t="s">
        <v>256</v>
      </c>
      <c r="AL216" s="109" t="s">
        <v>704</v>
      </c>
      <c r="AM216" s="109" t="s">
        <v>81</v>
      </c>
      <c r="AN216" s="109" t="s">
        <v>81</v>
      </c>
      <c r="AO216" s="109" t="s">
        <v>78</v>
      </c>
      <c r="AP216" s="109" t="s">
        <v>81</v>
      </c>
      <c r="AQ216" s="109">
        <v>1</v>
      </c>
      <c r="AR216" s="109" t="s">
        <v>126</v>
      </c>
    </row>
    <row r="217" spans="1:44" ht="30.6" customHeight="1" x14ac:dyDescent="0.45">
      <c r="A217" s="104" t="s">
        <v>1332</v>
      </c>
      <c r="B217" s="125" t="s">
        <v>1333</v>
      </c>
      <c r="C217" s="105">
        <v>2015</v>
      </c>
      <c r="D217" s="111" t="s">
        <v>163</v>
      </c>
      <c r="E217" s="105" t="s">
        <v>78</v>
      </c>
      <c r="F217" s="105" t="s">
        <v>556</v>
      </c>
      <c r="G217" s="105" t="s">
        <v>522</v>
      </c>
      <c r="H217" s="105" t="s">
        <v>596</v>
      </c>
      <c r="I217" s="106" t="s">
        <v>101</v>
      </c>
      <c r="J217" s="104" t="s">
        <v>689</v>
      </c>
      <c r="K217" s="104" t="s">
        <v>81</v>
      </c>
      <c r="L217" s="107" t="s">
        <v>126</v>
      </c>
      <c r="M217" s="107">
        <v>10000000</v>
      </c>
      <c r="N217" s="104">
        <v>6902216.3016544618</v>
      </c>
      <c r="O217" s="104">
        <v>10000000</v>
      </c>
      <c r="P217" s="104">
        <v>7232279.1100000003</v>
      </c>
      <c r="Q217" s="104">
        <v>7232279.1100000003</v>
      </c>
      <c r="R217" s="104">
        <v>10478198.2973591</v>
      </c>
      <c r="S217" s="104">
        <v>7232279.1100000003</v>
      </c>
      <c r="T217" s="104">
        <v>7232279.1100000003</v>
      </c>
      <c r="U217" s="112">
        <v>10478198.2973591</v>
      </c>
      <c r="V217" s="107" t="s">
        <v>81</v>
      </c>
      <c r="W217" s="104" t="s">
        <v>78</v>
      </c>
      <c r="X217" s="104" t="s">
        <v>81</v>
      </c>
      <c r="Y217" s="104" t="s">
        <v>78</v>
      </c>
      <c r="Z217" s="104" t="s">
        <v>81</v>
      </c>
      <c r="AA217" s="104">
        <v>0</v>
      </c>
      <c r="AB217" s="108" t="s">
        <v>78</v>
      </c>
      <c r="AC217" s="104">
        <v>0</v>
      </c>
      <c r="AD217" s="105" t="s">
        <v>78</v>
      </c>
      <c r="AE217" s="104">
        <v>0</v>
      </c>
      <c r="AF217" s="104" t="s">
        <v>78</v>
      </c>
      <c r="AG217" s="104">
        <v>0</v>
      </c>
      <c r="AH217" s="109" t="s">
        <v>81</v>
      </c>
      <c r="AI217" s="109" t="s">
        <v>78</v>
      </c>
      <c r="AJ217" s="109" t="s">
        <v>81</v>
      </c>
      <c r="AK217" s="109" t="s">
        <v>78</v>
      </c>
      <c r="AL217" s="109" t="s">
        <v>78</v>
      </c>
      <c r="AM217" s="109" t="s">
        <v>81</v>
      </c>
      <c r="AN217" s="109" t="s">
        <v>81</v>
      </c>
      <c r="AO217" s="109" t="s">
        <v>78</v>
      </c>
      <c r="AP217" s="109" t="s">
        <v>81</v>
      </c>
      <c r="AQ217" s="109">
        <v>1</v>
      </c>
      <c r="AR217" s="109" t="s">
        <v>126</v>
      </c>
    </row>
    <row r="218" spans="1:44" ht="30.6" customHeight="1" x14ac:dyDescent="0.45">
      <c r="A218" s="104" t="s">
        <v>1334</v>
      </c>
      <c r="B218" s="125" t="s">
        <v>1335</v>
      </c>
      <c r="C218" s="105">
        <v>2015</v>
      </c>
      <c r="D218" s="111" t="s">
        <v>87</v>
      </c>
      <c r="E218" s="105" t="s">
        <v>1336</v>
      </c>
      <c r="F218" s="105" t="s">
        <v>87</v>
      </c>
      <c r="G218" s="105" t="s">
        <v>87</v>
      </c>
      <c r="H218" s="105" t="s">
        <v>596</v>
      </c>
      <c r="I218" s="106" t="s">
        <v>101</v>
      </c>
      <c r="J218" s="104" t="s">
        <v>676</v>
      </c>
      <c r="K218" s="104" t="s">
        <v>81</v>
      </c>
      <c r="L218" s="107" t="s">
        <v>74</v>
      </c>
      <c r="M218" s="107">
        <v>10000000</v>
      </c>
      <c r="N218" s="104">
        <v>10000000</v>
      </c>
      <c r="O218" s="104">
        <v>14488100</v>
      </c>
      <c r="P218" s="104">
        <v>10000000</v>
      </c>
      <c r="Q218" s="104">
        <v>10000000</v>
      </c>
      <c r="R218" s="104">
        <v>14488100</v>
      </c>
      <c r="S218" s="104">
        <v>10000000</v>
      </c>
      <c r="T218" s="104">
        <v>10000000</v>
      </c>
      <c r="U218" s="112">
        <v>14488100</v>
      </c>
      <c r="V218" s="107" t="s">
        <v>81</v>
      </c>
      <c r="W218" s="104" t="s">
        <v>78</v>
      </c>
      <c r="X218" s="104" t="s">
        <v>81</v>
      </c>
      <c r="Y218" s="104" t="s">
        <v>78</v>
      </c>
      <c r="Z218" s="104" t="s">
        <v>81</v>
      </c>
      <c r="AA218" s="104">
        <v>0</v>
      </c>
      <c r="AB218" s="108" t="s">
        <v>78</v>
      </c>
      <c r="AC218" s="104">
        <v>0</v>
      </c>
      <c r="AD218" s="105" t="s">
        <v>78</v>
      </c>
      <c r="AE218" s="104">
        <v>0</v>
      </c>
      <c r="AF218" s="104" t="s">
        <v>78</v>
      </c>
      <c r="AG218" s="104">
        <v>0</v>
      </c>
      <c r="AH218" s="109" t="s">
        <v>81</v>
      </c>
      <c r="AI218" s="109" t="s">
        <v>78</v>
      </c>
      <c r="AJ218" s="109" t="s">
        <v>81</v>
      </c>
      <c r="AK218" s="109" t="s">
        <v>78</v>
      </c>
      <c r="AL218" s="109" t="s">
        <v>78</v>
      </c>
      <c r="AM218" s="109" t="s">
        <v>81</v>
      </c>
      <c r="AN218" s="109" t="s">
        <v>81</v>
      </c>
      <c r="AO218" s="109" t="s">
        <v>78</v>
      </c>
      <c r="AP218" s="109" t="s">
        <v>81</v>
      </c>
      <c r="AQ218" s="109">
        <v>1</v>
      </c>
      <c r="AR218" s="109" t="s">
        <v>74</v>
      </c>
    </row>
    <row r="219" spans="1:44" ht="30.6" customHeight="1" x14ac:dyDescent="0.45">
      <c r="A219" s="104" t="s">
        <v>1337</v>
      </c>
      <c r="B219" s="125" t="s">
        <v>1338</v>
      </c>
      <c r="C219" s="105">
        <v>2015</v>
      </c>
      <c r="D219" s="111" t="s">
        <v>297</v>
      </c>
      <c r="E219" s="105" t="s">
        <v>78</v>
      </c>
      <c r="F219" s="105" t="s">
        <v>566</v>
      </c>
      <c r="G219" s="105" t="s">
        <v>522</v>
      </c>
      <c r="H219" s="105" t="s">
        <v>587</v>
      </c>
      <c r="I219" s="106" t="s">
        <v>256</v>
      </c>
      <c r="J219" s="104" t="s">
        <v>679</v>
      </c>
      <c r="K219" s="104" t="s">
        <v>81</v>
      </c>
      <c r="L219" s="107" t="s">
        <v>74</v>
      </c>
      <c r="M219" s="107">
        <v>166320000</v>
      </c>
      <c r="N219" s="104">
        <v>166320000</v>
      </c>
      <c r="O219" s="104">
        <v>240966079.19999999</v>
      </c>
      <c r="P219" s="104">
        <v>152265092</v>
      </c>
      <c r="Q219" s="104">
        <v>152265092</v>
      </c>
      <c r="R219" s="104">
        <v>220603187.94051999</v>
      </c>
      <c r="S219" s="104">
        <v>121889519.7</v>
      </c>
      <c r="T219" s="104">
        <v>121889519.7</v>
      </c>
      <c r="U219" s="112">
        <v>176594755.03655699</v>
      </c>
      <c r="V219" s="107" t="s">
        <v>81</v>
      </c>
      <c r="W219" s="104" t="s">
        <v>78</v>
      </c>
      <c r="X219" s="104" t="s">
        <v>81</v>
      </c>
      <c r="Y219" s="104" t="s">
        <v>78</v>
      </c>
      <c r="Z219" s="104" t="s">
        <v>81</v>
      </c>
      <c r="AA219" s="104">
        <v>0</v>
      </c>
      <c r="AB219" s="108" t="s">
        <v>78</v>
      </c>
      <c r="AC219" s="104">
        <v>0</v>
      </c>
      <c r="AD219" s="105" t="s">
        <v>78</v>
      </c>
      <c r="AE219" s="104">
        <v>0</v>
      </c>
      <c r="AF219" s="104" t="s">
        <v>78</v>
      </c>
      <c r="AG219" s="104">
        <v>0</v>
      </c>
      <c r="AH219" s="109" t="s">
        <v>81</v>
      </c>
      <c r="AI219" s="109" t="s">
        <v>78</v>
      </c>
      <c r="AJ219" s="109" t="s">
        <v>81</v>
      </c>
      <c r="AK219" s="109" t="s">
        <v>78</v>
      </c>
      <c r="AL219" s="109" t="s">
        <v>78</v>
      </c>
      <c r="AM219" s="109" t="s">
        <v>81</v>
      </c>
      <c r="AN219" s="109" t="s">
        <v>81</v>
      </c>
      <c r="AO219" s="109" t="s">
        <v>78</v>
      </c>
      <c r="AP219" s="109" t="s">
        <v>81</v>
      </c>
      <c r="AQ219" s="109">
        <v>1</v>
      </c>
      <c r="AR219" s="109" t="s">
        <v>74</v>
      </c>
    </row>
    <row r="220" spans="1:44" ht="30.6" customHeight="1" x14ac:dyDescent="0.45">
      <c r="A220" s="104" t="s">
        <v>1339</v>
      </c>
      <c r="B220" s="125" t="s">
        <v>1340</v>
      </c>
      <c r="C220" s="105">
        <v>2015</v>
      </c>
      <c r="D220" s="111" t="s">
        <v>314</v>
      </c>
      <c r="E220" s="105" t="s">
        <v>78</v>
      </c>
      <c r="F220" s="105" t="s">
        <v>557</v>
      </c>
      <c r="G220" s="105" t="s">
        <v>522</v>
      </c>
      <c r="H220" s="105" t="s">
        <v>587</v>
      </c>
      <c r="I220" s="106" t="s">
        <v>256</v>
      </c>
      <c r="J220" s="104" t="s">
        <v>676</v>
      </c>
      <c r="K220" s="104" t="s">
        <v>81</v>
      </c>
      <c r="L220" s="107" t="s">
        <v>74</v>
      </c>
      <c r="M220" s="107">
        <v>15638000</v>
      </c>
      <c r="N220" s="104">
        <v>15638000</v>
      </c>
      <c r="O220" s="104">
        <v>22656490.779999997</v>
      </c>
      <c r="P220" s="104">
        <v>15656167.98</v>
      </c>
      <c r="Q220" s="104">
        <v>15656167.98</v>
      </c>
      <c r="R220" s="104">
        <v>22682812.7311038</v>
      </c>
      <c r="S220" s="104">
        <v>15000000</v>
      </c>
      <c r="T220" s="104">
        <v>15000000</v>
      </c>
      <c r="U220" s="112">
        <v>21732150</v>
      </c>
      <c r="V220" s="107" t="s">
        <v>81</v>
      </c>
      <c r="W220" s="104" t="s">
        <v>78</v>
      </c>
      <c r="X220" s="104" t="s">
        <v>81</v>
      </c>
      <c r="Y220" s="104" t="s">
        <v>78</v>
      </c>
      <c r="Z220" s="104" t="s">
        <v>81</v>
      </c>
      <c r="AA220" s="104">
        <v>0</v>
      </c>
      <c r="AB220" s="108" t="s">
        <v>78</v>
      </c>
      <c r="AC220" s="104">
        <v>0</v>
      </c>
      <c r="AD220" s="105" t="s">
        <v>78</v>
      </c>
      <c r="AE220" s="104">
        <v>0</v>
      </c>
      <c r="AF220" s="104" t="s">
        <v>78</v>
      </c>
      <c r="AG220" s="104">
        <v>0</v>
      </c>
      <c r="AH220" s="109" t="s">
        <v>81</v>
      </c>
      <c r="AI220" s="109" t="s">
        <v>78</v>
      </c>
      <c r="AJ220" s="109" t="s">
        <v>81</v>
      </c>
      <c r="AK220" s="109" t="s">
        <v>78</v>
      </c>
      <c r="AL220" s="109" t="s">
        <v>78</v>
      </c>
      <c r="AM220" s="109" t="s">
        <v>81</v>
      </c>
      <c r="AN220" s="109" t="s">
        <v>81</v>
      </c>
      <c r="AO220" s="109" t="s">
        <v>78</v>
      </c>
      <c r="AP220" s="109" t="s">
        <v>81</v>
      </c>
      <c r="AQ220" s="109">
        <v>1</v>
      </c>
      <c r="AR220" s="109" t="s">
        <v>74</v>
      </c>
    </row>
    <row r="221" spans="1:44" ht="30.6" customHeight="1" x14ac:dyDescent="0.45">
      <c r="A221" s="104" t="s">
        <v>1341</v>
      </c>
      <c r="B221" s="125" t="s">
        <v>1342</v>
      </c>
      <c r="C221" s="105">
        <v>2015</v>
      </c>
      <c r="D221" s="111" t="s">
        <v>70</v>
      </c>
      <c r="E221" s="105" t="s">
        <v>78</v>
      </c>
      <c r="F221" s="105" t="s">
        <v>570</v>
      </c>
      <c r="G221" s="105" t="s">
        <v>519</v>
      </c>
      <c r="H221" s="105" t="s">
        <v>599</v>
      </c>
      <c r="I221" s="106" t="s">
        <v>101</v>
      </c>
      <c r="J221" s="104" t="s">
        <v>676</v>
      </c>
      <c r="K221" s="104" t="s">
        <v>81</v>
      </c>
      <c r="L221" s="107" t="s">
        <v>74</v>
      </c>
      <c r="M221" s="107">
        <v>2000000</v>
      </c>
      <c r="N221" s="104">
        <v>2000000</v>
      </c>
      <c r="O221" s="104">
        <v>2897620</v>
      </c>
      <c r="P221" s="104">
        <v>2000000</v>
      </c>
      <c r="Q221" s="104">
        <v>2000000</v>
      </c>
      <c r="R221" s="104">
        <v>2897620</v>
      </c>
      <c r="S221" s="104">
        <v>2000000</v>
      </c>
      <c r="T221" s="104">
        <v>2000000</v>
      </c>
      <c r="U221" s="112">
        <v>2897620</v>
      </c>
      <c r="V221" s="107" t="s">
        <v>81</v>
      </c>
      <c r="W221" s="104" t="s">
        <v>78</v>
      </c>
      <c r="X221" s="104" t="s">
        <v>81</v>
      </c>
      <c r="Y221" s="104" t="s">
        <v>78</v>
      </c>
      <c r="Z221" s="104" t="s">
        <v>81</v>
      </c>
      <c r="AA221" s="104">
        <v>0</v>
      </c>
      <c r="AB221" s="108" t="s">
        <v>78</v>
      </c>
      <c r="AC221" s="104">
        <v>0</v>
      </c>
      <c r="AD221" s="105" t="s">
        <v>78</v>
      </c>
      <c r="AE221" s="104">
        <v>0</v>
      </c>
      <c r="AF221" s="104" t="s">
        <v>78</v>
      </c>
      <c r="AG221" s="104">
        <v>0</v>
      </c>
      <c r="AH221" s="109" t="s">
        <v>81</v>
      </c>
      <c r="AI221" s="109" t="s">
        <v>78</v>
      </c>
      <c r="AJ221" s="109" t="s">
        <v>81</v>
      </c>
      <c r="AK221" s="109" t="s">
        <v>78</v>
      </c>
      <c r="AL221" s="109" t="s">
        <v>78</v>
      </c>
      <c r="AM221" s="109" t="s">
        <v>81</v>
      </c>
      <c r="AN221" s="109" t="s">
        <v>81</v>
      </c>
      <c r="AO221" s="109" t="s">
        <v>78</v>
      </c>
      <c r="AP221" s="109" t="s">
        <v>81</v>
      </c>
      <c r="AQ221" s="109">
        <v>1</v>
      </c>
      <c r="AR221" s="109" t="s">
        <v>74</v>
      </c>
    </row>
    <row r="222" spans="1:44" ht="30.6" customHeight="1" x14ac:dyDescent="0.45">
      <c r="A222" s="104" t="s">
        <v>1343</v>
      </c>
      <c r="B222" s="125" t="s">
        <v>1344</v>
      </c>
      <c r="C222" s="105">
        <v>2015</v>
      </c>
      <c r="D222" s="111" t="s">
        <v>353</v>
      </c>
      <c r="E222" s="105" t="s">
        <v>78</v>
      </c>
      <c r="F222" s="105" t="s">
        <v>78</v>
      </c>
      <c r="G222" s="105" t="s">
        <v>519</v>
      </c>
      <c r="H222" s="105" t="s">
        <v>597</v>
      </c>
      <c r="I222" s="106" t="s">
        <v>101</v>
      </c>
      <c r="J222" s="104" t="s">
        <v>689</v>
      </c>
      <c r="K222" s="104" t="s">
        <v>81</v>
      </c>
      <c r="L222" s="107" t="s">
        <v>74</v>
      </c>
      <c r="M222" s="107">
        <v>787681</v>
      </c>
      <c r="N222" s="104">
        <v>787681</v>
      </c>
      <c r="O222" s="104">
        <v>1141200.1096099999</v>
      </c>
      <c r="P222" s="104">
        <v>787671</v>
      </c>
      <c r="Q222" s="104">
        <v>787671</v>
      </c>
      <c r="R222" s="104">
        <v>1141185.62151</v>
      </c>
      <c r="S222" s="104">
        <v>787671</v>
      </c>
      <c r="T222" s="104">
        <v>787671</v>
      </c>
      <c r="U222" s="112">
        <v>1141185.62151</v>
      </c>
      <c r="V222" s="107" t="s">
        <v>81</v>
      </c>
      <c r="W222" s="104" t="s">
        <v>78</v>
      </c>
      <c r="X222" s="104" t="s">
        <v>81</v>
      </c>
      <c r="Y222" s="104" t="s">
        <v>78</v>
      </c>
      <c r="Z222" s="104" t="s">
        <v>81</v>
      </c>
      <c r="AA222" s="104">
        <v>0</v>
      </c>
      <c r="AB222" s="108" t="s">
        <v>78</v>
      </c>
      <c r="AC222" s="104">
        <v>0</v>
      </c>
      <c r="AD222" s="105" t="s">
        <v>78</v>
      </c>
      <c r="AE222" s="104">
        <v>0</v>
      </c>
      <c r="AF222" s="104" t="s">
        <v>78</v>
      </c>
      <c r="AG222" s="104">
        <v>0</v>
      </c>
      <c r="AH222" s="109" t="s">
        <v>81</v>
      </c>
      <c r="AI222" s="109" t="s">
        <v>78</v>
      </c>
      <c r="AJ222" s="109" t="s">
        <v>81</v>
      </c>
      <c r="AK222" s="109" t="s">
        <v>78</v>
      </c>
      <c r="AL222" s="109" t="s">
        <v>78</v>
      </c>
      <c r="AM222" s="109" t="s">
        <v>81</v>
      </c>
      <c r="AN222" s="109" t="s">
        <v>81</v>
      </c>
      <c r="AO222" s="109" t="s">
        <v>78</v>
      </c>
      <c r="AP222" s="109" t="s">
        <v>81</v>
      </c>
      <c r="AQ222" s="109">
        <v>1</v>
      </c>
      <c r="AR222" s="109" t="s">
        <v>74</v>
      </c>
    </row>
    <row r="223" spans="1:44" ht="30.6" customHeight="1" x14ac:dyDescent="0.45">
      <c r="A223" s="104" t="s">
        <v>1345</v>
      </c>
      <c r="B223" s="125" t="s">
        <v>1346</v>
      </c>
      <c r="C223" s="105">
        <v>2015</v>
      </c>
      <c r="D223" s="111" t="s">
        <v>516</v>
      </c>
      <c r="E223" s="105" t="s">
        <v>78</v>
      </c>
      <c r="F223" s="105" t="s">
        <v>569</v>
      </c>
      <c r="G223" s="105" t="s">
        <v>519</v>
      </c>
      <c r="H223" s="105" t="s">
        <v>587</v>
      </c>
      <c r="I223" s="106" t="s">
        <v>256</v>
      </c>
      <c r="J223" s="104" t="s">
        <v>679</v>
      </c>
      <c r="K223" s="104" t="s">
        <v>81</v>
      </c>
      <c r="L223" s="107" t="s">
        <v>74</v>
      </c>
      <c r="M223" s="107">
        <v>24981509</v>
      </c>
      <c r="N223" s="104">
        <v>24981509</v>
      </c>
      <c r="O223" s="104">
        <v>36193460.054289997</v>
      </c>
      <c r="P223" s="104">
        <v>24205958.280000001</v>
      </c>
      <c r="Q223" s="104">
        <v>24205958.280000001</v>
      </c>
      <c r="R223" s="104">
        <v>35069834.415646799</v>
      </c>
      <c r="S223" s="104">
        <v>11210032.619999999</v>
      </c>
      <c r="T223" s="104">
        <v>11210032.619999999</v>
      </c>
      <c r="U223" s="112">
        <v>16241207.360182198</v>
      </c>
      <c r="V223" s="107" t="s">
        <v>75</v>
      </c>
      <c r="W223" s="104" t="s">
        <v>1347</v>
      </c>
      <c r="X223" s="104" t="s">
        <v>81</v>
      </c>
      <c r="Y223" s="104" t="s">
        <v>78</v>
      </c>
      <c r="Z223" s="104" t="s">
        <v>75</v>
      </c>
      <c r="AA223" s="104">
        <v>999</v>
      </c>
      <c r="AB223" s="108" t="s">
        <v>1013</v>
      </c>
      <c r="AC223" s="104">
        <v>0</v>
      </c>
      <c r="AD223" s="105" t="s">
        <v>78</v>
      </c>
      <c r="AE223" s="104">
        <v>0</v>
      </c>
      <c r="AF223" s="104" t="s">
        <v>78</v>
      </c>
      <c r="AG223" s="104">
        <v>1</v>
      </c>
      <c r="AH223" s="109" t="s">
        <v>81</v>
      </c>
      <c r="AI223" s="109" t="s">
        <v>78</v>
      </c>
      <c r="AJ223" s="109" t="s">
        <v>75</v>
      </c>
      <c r="AK223" s="109" t="s">
        <v>256</v>
      </c>
      <c r="AL223" s="109" t="s">
        <v>704</v>
      </c>
      <c r="AM223" s="109" t="s">
        <v>81</v>
      </c>
      <c r="AN223" s="109" t="s">
        <v>81</v>
      </c>
      <c r="AO223" s="109" t="s">
        <v>78</v>
      </c>
      <c r="AP223" s="109" t="s">
        <v>81</v>
      </c>
      <c r="AQ223" s="109">
        <v>1</v>
      </c>
      <c r="AR223" s="109" t="s">
        <v>74</v>
      </c>
    </row>
    <row r="224" spans="1:44" ht="30.6" customHeight="1" x14ac:dyDescent="0.45">
      <c r="A224" s="104" t="s">
        <v>1348</v>
      </c>
      <c r="B224" s="125" t="s">
        <v>1349</v>
      </c>
      <c r="C224" s="105">
        <v>2015</v>
      </c>
      <c r="D224" s="111" t="s">
        <v>516</v>
      </c>
      <c r="E224" s="105" t="s">
        <v>78</v>
      </c>
      <c r="F224" s="105" t="s">
        <v>569</v>
      </c>
      <c r="G224" s="105" t="s">
        <v>519</v>
      </c>
      <c r="H224" s="105" t="s">
        <v>587</v>
      </c>
      <c r="I224" s="106" t="s">
        <v>256</v>
      </c>
      <c r="J224" s="104" t="s">
        <v>689</v>
      </c>
      <c r="K224" s="104" t="s">
        <v>81</v>
      </c>
      <c r="L224" s="107" t="s">
        <v>126</v>
      </c>
      <c r="M224" s="107">
        <v>168000000</v>
      </c>
      <c r="N224" s="104">
        <v>115957233.86779496</v>
      </c>
      <c r="O224" s="104">
        <v>168000000</v>
      </c>
      <c r="P224" s="104">
        <v>36161395.539999999</v>
      </c>
      <c r="Q224" s="104">
        <v>36161395.539999999</v>
      </c>
      <c r="R224" s="104">
        <v>52390991.472307399</v>
      </c>
      <c r="S224" s="104">
        <v>36161395.539999999</v>
      </c>
      <c r="T224" s="104">
        <v>36161395.539999999</v>
      </c>
      <c r="U224" s="112">
        <v>52390991.472307399</v>
      </c>
      <c r="V224" s="107" t="s">
        <v>75</v>
      </c>
      <c r="W224" s="104" t="s">
        <v>1350</v>
      </c>
      <c r="X224" s="104" t="s">
        <v>81</v>
      </c>
      <c r="Y224" s="104" t="s">
        <v>78</v>
      </c>
      <c r="Z224" s="104" t="s">
        <v>75</v>
      </c>
      <c r="AA224" s="104">
        <v>999</v>
      </c>
      <c r="AB224" s="108" t="s">
        <v>1351</v>
      </c>
      <c r="AC224" s="104">
        <v>999</v>
      </c>
      <c r="AD224" s="105" t="s">
        <v>1331</v>
      </c>
      <c r="AE224" s="104">
        <v>0</v>
      </c>
      <c r="AF224" s="104" t="s">
        <v>78</v>
      </c>
      <c r="AG224" s="104">
        <v>2</v>
      </c>
      <c r="AH224" s="109" t="s">
        <v>75</v>
      </c>
      <c r="AI224" s="109" t="s">
        <v>1352</v>
      </c>
      <c r="AJ224" s="109" t="s">
        <v>75</v>
      </c>
      <c r="AK224" s="109" t="s">
        <v>466</v>
      </c>
      <c r="AL224" s="109" t="s">
        <v>704</v>
      </c>
      <c r="AM224" s="109" t="s">
        <v>81</v>
      </c>
      <c r="AN224" s="109" t="s">
        <v>81</v>
      </c>
      <c r="AO224" s="109" t="s">
        <v>78</v>
      </c>
      <c r="AP224" s="109" t="s">
        <v>81</v>
      </c>
      <c r="AQ224" s="109">
        <v>1</v>
      </c>
      <c r="AR224" s="109" t="s">
        <v>126</v>
      </c>
    </row>
    <row r="225" spans="1:44" ht="30.6" customHeight="1" x14ac:dyDescent="0.45">
      <c r="A225" s="104" t="s">
        <v>1353</v>
      </c>
      <c r="B225" s="125" t="s">
        <v>1354</v>
      </c>
      <c r="C225" s="105">
        <v>2015</v>
      </c>
      <c r="D225" s="111" t="s">
        <v>297</v>
      </c>
      <c r="E225" s="105" t="s">
        <v>78</v>
      </c>
      <c r="F225" s="105" t="s">
        <v>566</v>
      </c>
      <c r="G225" s="105" t="s">
        <v>522</v>
      </c>
      <c r="H225" s="105" t="s">
        <v>596</v>
      </c>
      <c r="I225" s="106" t="s">
        <v>101</v>
      </c>
      <c r="J225" s="104" t="s">
        <v>676</v>
      </c>
      <c r="K225" s="104" t="s">
        <v>81</v>
      </c>
      <c r="L225" s="107" t="s">
        <v>74</v>
      </c>
      <c r="M225" s="107">
        <v>50000000</v>
      </c>
      <c r="N225" s="104">
        <v>50000000</v>
      </c>
      <c r="O225" s="104">
        <v>72440500</v>
      </c>
      <c r="P225" s="104">
        <v>50000000</v>
      </c>
      <c r="Q225" s="104">
        <v>50000000</v>
      </c>
      <c r="R225" s="104">
        <v>72440500</v>
      </c>
      <c r="S225" s="104">
        <v>50000000</v>
      </c>
      <c r="T225" s="104">
        <v>50000000</v>
      </c>
      <c r="U225" s="112">
        <v>72440500</v>
      </c>
      <c r="V225" s="107" t="s">
        <v>81</v>
      </c>
      <c r="W225" s="104" t="s">
        <v>78</v>
      </c>
      <c r="X225" s="104" t="s">
        <v>81</v>
      </c>
      <c r="Y225" s="104" t="s">
        <v>78</v>
      </c>
      <c r="Z225" s="104" t="s">
        <v>81</v>
      </c>
      <c r="AA225" s="104">
        <v>0</v>
      </c>
      <c r="AB225" s="108" t="s">
        <v>78</v>
      </c>
      <c r="AC225" s="104">
        <v>0</v>
      </c>
      <c r="AD225" s="105" t="s">
        <v>78</v>
      </c>
      <c r="AE225" s="104">
        <v>0</v>
      </c>
      <c r="AF225" s="104" t="s">
        <v>78</v>
      </c>
      <c r="AG225" s="104">
        <v>0</v>
      </c>
      <c r="AH225" s="109" t="s">
        <v>81</v>
      </c>
      <c r="AI225" s="109" t="s">
        <v>78</v>
      </c>
      <c r="AJ225" s="109" t="s">
        <v>81</v>
      </c>
      <c r="AK225" s="109" t="s">
        <v>78</v>
      </c>
      <c r="AL225" s="109" t="s">
        <v>78</v>
      </c>
      <c r="AM225" s="109" t="s">
        <v>81</v>
      </c>
      <c r="AN225" s="109" t="s">
        <v>81</v>
      </c>
      <c r="AO225" s="109" t="s">
        <v>78</v>
      </c>
      <c r="AP225" s="109" t="s">
        <v>81</v>
      </c>
      <c r="AQ225" s="109">
        <v>1</v>
      </c>
      <c r="AR225" s="109" t="s">
        <v>74</v>
      </c>
    </row>
    <row r="226" spans="1:44" ht="30.6" customHeight="1" x14ac:dyDescent="0.45">
      <c r="A226" s="104" t="s">
        <v>1355</v>
      </c>
      <c r="B226" s="125" t="s">
        <v>1356</v>
      </c>
      <c r="C226" s="105">
        <v>2015</v>
      </c>
      <c r="D226" s="111" t="s">
        <v>514</v>
      </c>
      <c r="E226" s="105" t="s">
        <v>78</v>
      </c>
      <c r="F226" s="105" t="s">
        <v>567</v>
      </c>
      <c r="G226" s="105" t="s">
        <v>522</v>
      </c>
      <c r="H226" s="105" t="s">
        <v>583</v>
      </c>
      <c r="I226" s="106" t="s">
        <v>228</v>
      </c>
      <c r="J226" s="104" t="s">
        <v>676</v>
      </c>
      <c r="K226" s="104" t="s">
        <v>81</v>
      </c>
      <c r="L226" s="107" t="s">
        <v>74</v>
      </c>
      <c r="M226" s="107">
        <v>5000000</v>
      </c>
      <c r="N226" s="104">
        <v>5000000</v>
      </c>
      <c r="O226" s="104">
        <v>7244050</v>
      </c>
      <c r="P226" s="104">
        <v>5000000</v>
      </c>
      <c r="Q226" s="104">
        <v>5000000</v>
      </c>
      <c r="R226" s="104">
        <v>7244050</v>
      </c>
      <c r="S226" s="104">
        <v>5000000</v>
      </c>
      <c r="T226" s="104">
        <v>5000000</v>
      </c>
      <c r="U226" s="112">
        <v>7244050</v>
      </c>
      <c r="V226" s="107" t="s">
        <v>81</v>
      </c>
      <c r="W226" s="104" t="s">
        <v>78</v>
      </c>
      <c r="X226" s="104" t="s">
        <v>81</v>
      </c>
      <c r="Y226" s="104" t="s">
        <v>78</v>
      </c>
      <c r="Z226" s="104" t="s">
        <v>81</v>
      </c>
      <c r="AA226" s="104">
        <v>0</v>
      </c>
      <c r="AB226" s="108" t="s">
        <v>78</v>
      </c>
      <c r="AC226" s="104">
        <v>0</v>
      </c>
      <c r="AD226" s="105" t="s">
        <v>78</v>
      </c>
      <c r="AE226" s="104">
        <v>0</v>
      </c>
      <c r="AF226" s="104" t="s">
        <v>78</v>
      </c>
      <c r="AG226" s="104">
        <v>0</v>
      </c>
      <c r="AH226" s="109" t="s">
        <v>81</v>
      </c>
      <c r="AI226" s="109" t="s">
        <v>78</v>
      </c>
      <c r="AJ226" s="109" t="s">
        <v>81</v>
      </c>
      <c r="AK226" s="109" t="s">
        <v>78</v>
      </c>
      <c r="AL226" s="109" t="s">
        <v>78</v>
      </c>
      <c r="AM226" s="109" t="s">
        <v>81</v>
      </c>
      <c r="AN226" s="109" t="s">
        <v>81</v>
      </c>
      <c r="AO226" s="109" t="s">
        <v>78</v>
      </c>
      <c r="AP226" s="109" t="s">
        <v>81</v>
      </c>
      <c r="AQ226" s="109">
        <v>1</v>
      </c>
      <c r="AR226" s="109" t="s">
        <v>74</v>
      </c>
    </row>
    <row r="227" spans="1:44" ht="30.6" customHeight="1" x14ac:dyDescent="0.45">
      <c r="A227" s="104" t="s">
        <v>1357</v>
      </c>
      <c r="B227" s="125" t="s">
        <v>1358</v>
      </c>
      <c r="C227" s="105">
        <v>2015</v>
      </c>
      <c r="D227" s="111" t="s">
        <v>184</v>
      </c>
      <c r="E227" s="105" t="s">
        <v>78</v>
      </c>
      <c r="F227" s="105" t="s">
        <v>554</v>
      </c>
      <c r="G227" s="105" t="s">
        <v>520</v>
      </c>
      <c r="H227" s="105" t="s">
        <v>228</v>
      </c>
      <c r="I227" s="106" t="s">
        <v>228</v>
      </c>
      <c r="J227" s="104" t="s">
        <v>689</v>
      </c>
      <c r="K227" s="104" t="s">
        <v>81</v>
      </c>
      <c r="L227" s="107" t="s">
        <v>74</v>
      </c>
      <c r="M227" s="107">
        <v>425000</v>
      </c>
      <c r="N227" s="104">
        <v>425000</v>
      </c>
      <c r="O227" s="104">
        <v>615744.25</v>
      </c>
      <c r="P227" s="104">
        <v>367700</v>
      </c>
      <c r="Q227" s="104">
        <v>367700</v>
      </c>
      <c r="R227" s="104">
        <v>532727.43699999992</v>
      </c>
      <c r="S227" s="104">
        <v>367700</v>
      </c>
      <c r="T227" s="104">
        <v>367700</v>
      </c>
      <c r="U227" s="112">
        <v>532727.43699999992</v>
      </c>
      <c r="V227" s="107" t="s">
        <v>81</v>
      </c>
      <c r="W227" s="104" t="s">
        <v>78</v>
      </c>
      <c r="X227" s="104" t="s">
        <v>81</v>
      </c>
      <c r="Y227" s="104" t="s">
        <v>78</v>
      </c>
      <c r="Z227" s="104" t="s">
        <v>81</v>
      </c>
      <c r="AA227" s="104">
        <v>0</v>
      </c>
      <c r="AB227" s="108" t="s">
        <v>78</v>
      </c>
      <c r="AC227" s="104">
        <v>0</v>
      </c>
      <c r="AD227" s="105" t="s">
        <v>78</v>
      </c>
      <c r="AE227" s="104">
        <v>0</v>
      </c>
      <c r="AF227" s="104" t="s">
        <v>78</v>
      </c>
      <c r="AG227" s="104">
        <v>0</v>
      </c>
      <c r="AH227" s="109" t="s">
        <v>81</v>
      </c>
      <c r="AI227" s="109" t="s">
        <v>78</v>
      </c>
      <c r="AJ227" s="109" t="s">
        <v>81</v>
      </c>
      <c r="AK227" s="109" t="s">
        <v>78</v>
      </c>
      <c r="AL227" s="109" t="s">
        <v>78</v>
      </c>
      <c r="AM227" s="109" t="s">
        <v>81</v>
      </c>
      <c r="AN227" s="109" t="s">
        <v>81</v>
      </c>
      <c r="AO227" s="109" t="s">
        <v>78</v>
      </c>
      <c r="AP227" s="109" t="s">
        <v>81</v>
      </c>
      <c r="AQ227" s="109">
        <v>1</v>
      </c>
      <c r="AR227" s="109" t="s">
        <v>74</v>
      </c>
    </row>
    <row r="228" spans="1:44" ht="30.6" customHeight="1" x14ac:dyDescent="0.45">
      <c r="A228" s="104" t="s">
        <v>1359</v>
      </c>
      <c r="B228" s="125" t="s">
        <v>1360</v>
      </c>
      <c r="C228" s="105">
        <v>2015</v>
      </c>
      <c r="D228" s="111" t="s">
        <v>163</v>
      </c>
      <c r="E228" s="105" t="s">
        <v>78</v>
      </c>
      <c r="F228" s="105" t="s">
        <v>556</v>
      </c>
      <c r="G228" s="105" t="s">
        <v>522</v>
      </c>
      <c r="H228" s="105" t="s">
        <v>588</v>
      </c>
      <c r="I228" s="106" t="s">
        <v>256</v>
      </c>
      <c r="J228" s="104" t="s">
        <v>689</v>
      </c>
      <c r="K228" s="104" t="s">
        <v>81</v>
      </c>
      <c r="L228" s="107" t="s">
        <v>126</v>
      </c>
      <c r="M228" s="107">
        <v>26374096</v>
      </c>
      <c r="N228" s="104">
        <v>18203971.535259973</v>
      </c>
      <c r="O228" s="104">
        <v>26374096</v>
      </c>
      <c r="P228" s="104">
        <v>16098494.960000001</v>
      </c>
      <c r="Q228" s="104">
        <v>16098494.960000001</v>
      </c>
      <c r="R228" s="104">
        <v>23323660.4829976</v>
      </c>
      <c r="S228" s="104">
        <v>16098494.960000001</v>
      </c>
      <c r="T228" s="104">
        <v>16098494.960000001</v>
      </c>
      <c r="U228" s="112">
        <v>23323660.4829976</v>
      </c>
      <c r="V228" s="107" t="s">
        <v>81</v>
      </c>
      <c r="W228" s="104" t="s">
        <v>78</v>
      </c>
      <c r="X228" s="104" t="s">
        <v>81</v>
      </c>
      <c r="Y228" s="104" t="s">
        <v>78</v>
      </c>
      <c r="Z228" s="104" t="s">
        <v>81</v>
      </c>
      <c r="AA228" s="104">
        <v>0</v>
      </c>
      <c r="AB228" s="108" t="s">
        <v>78</v>
      </c>
      <c r="AC228" s="104">
        <v>0</v>
      </c>
      <c r="AD228" s="105" t="s">
        <v>78</v>
      </c>
      <c r="AE228" s="104">
        <v>0</v>
      </c>
      <c r="AF228" s="104" t="s">
        <v>78</v>
      </c>
      <c r="AG228" s="104">
        <v>0</v>
      </c>
      <c r="AH228" s="109" t="s">
        <v>81</v>
      </c>
      <c r="AI228" s="109" t="s">
        <v>78</v>
      </c>
      <c r="AJ228" s="109" t="s">
        <v>81</v>
      </c>
      <c r="AK228" s="109" t="s">
        <v>78</v>
      </c>
      <c r="AL228" s="109" t="s">
        <v>78</v>
      </c>
      <c r="AM228" s="109" t="s">
        <v>81</v>
      </c>
      <c r="AN228" s="109" t="s">
        <v>81</v>
      </c>
      <c r="AO228" s="109" t="s">
        <v>78</v>
      </c>
      <c r="AP228" s="109" t="s">
        <v>81</v>
      </c>
      <c r="AQ228" s="109">
        <v>1</v>
      </c>
      <c r="AR228" s="109" t="s">
        <v>126</v>
      </c>
    </row>
    <row r="229" spans="1:44" ht="30.6" customHeight="1" x14ac:dyDescent="0.45">
      <c r="A229" s="104" t="s">
        <v>1361</v>
      </c>
      <c r="B229" s="125" t="s">
        <v>1362</v>
      </c>
      <c r="C229" s="105">
        <v>2015</v>
      </c>
      <c r="D229" s="111" t="s">
        <v>514</v>
      </c>
      <c r="E229" s="105" t="s">
        <v>78</v>
      </c>
      <c r="F229" s="105" t="s">
        <v>567</v>
      </c>
      <c r="G229" s="105" t="s">
        <v>522</v>
      </c>
      <c r="H229" s="105" t="s">
        <v>587</v>
      </c>
      <c r="I229" s="106" t="s">
        <v>256</v>
      </c>
      <c r="J229" s="104" t="s">
        <v>679</v>
      </c>
      <c r="K229" s="104" t="s">
        <v>75</v>
      </c>
      <c r="L229" s="107" t="s">
        <v>126</v>
      </c>
      <c r="M229" s="107">
        <v>8370000</v>
      </c>
      <c r="N229" s="104">
        <v>5777155.0444847839</v>
      </c>
      <c r="O229" s="104">
        <v>8369999.9999999991</v>
      </c>
      <c r="P229" s="104">
        <v>6053417.6100000003</v>
      </c>
      <c r="Q229" s="104">
        <v>6053417.6100000003</v>
      </c>
      <c r="R229" s="104">
        <v>8770251.9675440993</v>
      </c>
      <c r="S229" s="104">
        <v>0</v>
      </c>
      <c r="T229" s="104">
        <v>0</v>
      </c>
      <c r="U229" s="112">
        <v>0</v>
      </c>
      <c r="V229" s="107" t="s">
        <v>81</v>
      </c>
      <c r="W229" s="104" t="s">
        <v>78</v>
      </c>
      <c r="X229" s="104" t="s">
        <v>81</v>
      </c>
      <c r="Y229" s="104" t="s">
        <v>78</v>
      </c>
      <c r="Z229" s="104" t="s">
        <v>81</v>
      </c>
      <c r="AA229" s="104">
        <v>0</v>
      </c>
      <c r="AB229" s="108" t="s">
        <v>78</v>
      </c>
      <c r="AC229" s="104">
        <v>0</v>
      </c>
      <c r="AD229" s="105" t="s">
        <v>78</v>
      </c>
      <c r="AE229" s="104">
        <v>0</v>
      </c>
      <c r="AF229" s="104" t="s">
        <v>78</v>
      </c>
      <c r="AG229" s="104">
        <v>0</v>
      </c>
      <c r="AH229" s="109" t="s">
        <v>81</v>
      </c>
      <c r="AI229" s="109" t="s">
        <v>78</v>
      </c>
      <c r="AJ229" s="109" t="s">
        <v>81</v>
      </c>
      <c r="AK229" s="109" t="s">
        <v>78</v>
      </c>
      <c r="AL229" s="109" t="s">
        <v>78</v>
      </c>
      <c r="AM229" s="109" t="s">
        <v>81</v>
      </c>
      <c r="AN229" s="109" t="s">
        <v>81</v>
      </c>
      <c r="AO229" s="109" t="s">
        <v>78</v>
      </c>
      <c r="AP229" s="109" t="s">
        <v>81</v>
      </c>
      <c r="AQ229" s="109">
        <v>1</v>
      </c>
      <c r="AR229" s="109" t="s">
        <v>126</v>
      </c>
    </row>
    <row r="230" spans="1:44" ht="30.6" customHeight="1" x14ac:dyDescent="0.45">
      <c r="A230" s="104" t="s">
        <v>1363</v>
      </c>
      <c r="B230" s="125" t="s">
        <v>1364</v>
      </c>
      <c r="C230" s="105">
        <v>2015</v>
      </c>
      <c r="D230" s="111" t="s">
        <v>297</v>
      </c>
      <c r="E230" s="105" t="s">
        <v>78</v>
      </c>
      <c r="F230" s="105" t="s">
        <v>566</v>
      </c>
      <c r="G230" s="105" t="s">
        <v>522</v>
      </c>
      <c r="H230" s="105" t="s">
        <v>589</v>
      </c>
      <c r="I230" s="106" t="s">
        <v>256</v>
      </c>
      <c r="J230" s="104" t="s">
        <v>679</v>
      </c>
      <c r="K230" s="104" t="s">
        <v>75</v>
      </c>
      <c r="L230" s="107" t="s">
        <v>104</v>
      </c>
      <c r="M230" s="107">
        <v>5000000</v>
      </c>
      <c r="N230" s="104">
        <v>4189990.9496195489</v>
      </c>
      <c r="O230" s="104">
        <v>6070500.7877182979</v>
      </c>
      <c r="P230" s="104">
        <v>1629099.41</v>
      </c>
      <c r="Q230" s="104">
        <v>1629099.41</v>
      </c>
      <c r="R230" s="104">
        <v>2360255.5162020996</v>
      </c>
      <c r="S230" s="104">
        <v>0</v>
      </c>
      <c r="T230" s="104">
        <v>0</v>
      </c>
      <c r="U230" s="112">
        <v>0</v>
      </c>
      <c r="V230" s="107" t="s">
        <v>81</v>
      </c>
      <c r="W230" s="104" t="s">
        <v>78</v>
      </c>
      <c r="X230" s="104" t="s">
        <v>81</v>
      </c>
      <c r="Y230" s="104" t="s">
        <v>78</v>
      </c>
      <c r="Z230" s="104" t="s">
        <v>81</v>
      </c>
      <c r="AA230" s="104">
        <v>0</v>
      </c>
      <c r="AB230" s="108" t="s">
        <v>78</v>
      </c>
      <c r="AC230" s="104">
        <v>0</v>
      </c>
      <c r="AD230" s="105" t="s">
        <v>78</v>
      </c>
      <c r="AE230" s="104">
        <v>0</v>
      </c>
      <c r="AF230" s="104" t="s">
        <v>78</v>
      </c>
      <c r="AG230" s="104">
        <v>0</v>
      </c>
      <c r="AH230" s="109" t="s">
        <v>81</v>
      </c>
      <c r="AI230" s="109" t="s">
        <v>78</v>
      </c>
      <c r="AJ230" s="109" t="s">
        <v>81</v>
      </c>
      <c r="AK230" s="109" t="s">
        <v>78</v>
      </c>
      <c r="AL230" s="109" t="s">
        <v>78</v>
      </c>
      <c r="AM230" s="109" t="s">
        <v>81</v>
      </c>
      <c r="AN230" s="109" t="s">
        <v>81</v>
      </c>
      <c r="AO230" s="109" t="s">
        <v>78</v>
      </c>
      <c r="AP230" s="109" t="s">
        <v>81</v>
      </c>
      <c r="AQ230" s="109">
        <v>1</v>
      </c>
      <c r="AR230" s="109" t="s">
        <v>104</v>
      </c>
    </row>
    <row r="231" spans="1:44" ht="30.6" customHeight="1" x14ac:dyDescent="0.45">
      <c r="A231" s="104" t="s">
        <v>1365</v>
      </c>
      <c r="B231" s="125" t="s">
        <v>1366</v>
      </c>
      <c r="C231" s="105">
        <v>2015</v>
      </c>
      <c r="D231" s="111" t="s">
        <v>507</v>
      </c>
      <c r="E231" s="105" t="s">
        <v>78</v>
      </c>
      <c r="F231" s="105" t="s">
        <v>562</v>
      </c>
      <c r="G231" s="105" t="s">
        <v>519</v>
      </c>
      <c r="H231" s="105" t="s">
        <v>596</v>
      </c>
      <c r="I231" s="106" t="s">
        <v>101</v>
      </c>
      <c r="J231" s="104" t="s">
        <v>689</v>
      </c>
      <c r="K231" s="104" t="s">
        <v>81</v>
      </c>
      <c r="L231" s="107" t="s">
        <v>74</v>
      </c>
      <c r="M231" s="107">
        <v>2160000</v>
      </c>
      <c r="N231" s="104">
        <v>2160000</v>
      </c>
      <c r="O231" s="104">
        <v>3129429.5999999996</v>
      </c>
      <c r="P231" s="104">
        <v>2000000</v>
      </c>
      <c r="Q231" s="104">
        <v>2000000</v>
      </c>
      <c r="R231" s="104">
        <v>2897620</v>
      </c>
      <c r="S231" s="104">
        <v>2000000</v>
      </c>
      <c r="T231" s="104">
        <v>2000000</v>
      </c>
      <c r="U231" s="112">
        <v>2897620</v>
      </c>
      <c r="V231" s="107" t="s">
        <v>81</v>
      </c>
      <c r="W231" s="104" t="s">
        <v>78</v>
      </c>
      <c r="X231" s="104" t="s">
        <v>81</v>
      </c>
      <c r="Y231" s="104" t="s">
        <v>78</v>
      </c>
      <c r="Z231" s="104" t="s">
        <v>81</v>
      </c>
      <c r="AA231" s="104">
        <v>0</v>
      </c>
      <c r="AB231" s="108" t="s">
        <v>78</v>
      </c>
      <c r="AC231" s="104">
        <v>0</v>
      </c>
      <c r="AD231" s="105" t="s">
        <v>78</v>
      </c>
      <c r="AE231" s="104">
        <v>0</v>
      </c>
      <c r="AF231" s="104" t="s">
        <v>78</v>
      </c>
      <c r="AG231" s="104">
        <v>0</v>
      </c>
      <c r="AH231" s="109" t="s">
        <v>81</v>
      </c>
      <c r="AI231" s="109" t="s">
        <v>78</v>
      </c>
      <c r="AJ231" s="109" t="s">
        <v>81</v>
      </c>
      <c r="AK231" s="109" t="s">
        <v>78</v>
      </c>
      <c r="AL231" s="109" t="s">
        <v>78</v>
      </c>
      <c r="AM231" s="109" t="s">
        <v>81</v>
      </c>
      <c r="AN231" s="109" t="s">
        <v>81</v>
      </c>
      <c r="AO231" s="109" t="s">
        <v>78</v>
      </c>
      <c r="AP231" s="109" t="s">
        <v>81</v>
      </c>
      <c r="AQ231" s="109">
        <v>1</v>
      </c>
      <c r="AR231" s="109" t="s">
        <v>74</v>
      </c>
    </row>
    <row r="232" spans="1:44" ht="30.6" customHeight="1" x14ac:dyDescent="0.45">
      <c r="A232" s="104" t="s">
        <v>1367</v>
      </c>
      <c r="B232" s="125" t="s">
        <v>1368</v>
      </c>
      <c r="C232" s="105">
        <v>2015</v>
      </c>
      <c r="D232" s="111" t="s">
        <v>500</v>
      </c>
      <c r="E232" s="105" t="s">
        <v>78</v>
      </c>
      <c r="F232" s="105" t="s">
        <v>547</v>
      </c>
      <c r="G232" s="105" t="s">
        <v>519</v>
      </c>
      <c r="H232" s="105" t="s">
        <v>228</v>
      </c>
      <c r="I232" s="106" t="s">
        <v>228</v>
      </c>
      <c r="J232" s="104" t="s">
        <v>676</v>
      </c>
      <c r="K232" s="104" t="s">
        <v>81</v>
      </c>
      <c r="L232" s="107" t="s">
        <v>74</v>
      </c>
      <c r="M232" s="107">
        <v>467666</v>
      </c>
      <c r="N232" s="104">
        <v>467666</v>
      </c>
      <c r="O232" s="104">
        <v>677559.17745999992</v>
      </c>
      <c r="P232" s="104">
        <v>467666</v>
      </c>
      <c r="Q232" s="104">
        <v>467666</v>
      </c>
      <c r="R232" s="104">
        <v>677559.17745999992</v>
      </c>
      <c r="S232" s="104">
        <v>467666</v>
      </c>
      <c r="T232" s="104">
        <v>467666</v>
      </c>
      <c r="U232" s="112">
        <v>677559.17745999992</v>
      </c>
      <c r="V232" s="107" t="s">
        <v>81</v>
      </c>
      <c r="W232" s="104" t="s">
        <v>78</v>
      </c>
      <c r="X232" s="104" t="s">
        <v>81</v>
      </c>
      <c r="Y232" s="104" t="s">
        <v>78</v>
      </c>
      <c r="Z232" s="104" t="s">
        <v>81</v>
      </c>
      <c r="AA232" s="104">
        <v>0</v>
      </c>
      <c r="AB232" s="108" t="s">
        <v>78</v>
      </c>
      <c r="AC232" s="104">
        <v>0</v>
      </c>
      <c r="AD232" s="105" t="s">
        <v>78</v>
      </c>
      <c r="AE232" s="104">
        <v>0</v>
      </c>
      <c r="AF232" s="104" t="s">
        <v>78</v>
      </c>
      <c r="AG232" s="104">
        <v>0</v>
      </c>
      <c r="AH232" s="109" t="s">
        <v>81</v>
      </c>
      <c r="AI232" s="109" t="s">
        <v>78</v>
      </c>
      <c r="AJ232" s="109" t="s">
        <v>81</v>
      </c>
      <c r="AK232" s="109" t="s">
        <v>78</v>
      </c>
      <c r="AL232" s="109" t="s">
        <v>78</v>
      </c>
      <c r="AM232" s="109" t="s">
        <v>81</v>
      </c>
      <c r="AN232" s="109" t="s">
        <v>81</v>
      </c>
      <c r="AO232" s="109" t="s">
        <v>78</v>
      </c>
      <c r="AP232" s="109" t="s">
        <v>81</v>
      </c>
      <c r="AQ232" s="109">
        <v>1</v>
      </c>
      <c r="AR232" s="109" t="s">
        <v>74</v>
      </c>
    </row>
    <row r="233" spans="1:44" ht="30.6" customHeight="1" x14ac:dyDescent="0.45">
      <c r="A233" s="104" t="s">
        <v>1369</v>
      </c>
      <c r="B233" s="125" t="s">
        <v>1370</v>
      </c>
      <c r="C233" s="105">
        <v>2015</v>
      </c>
      <c r="D233" s="111" t="s">
        <v>501</v>
      </c>
      <c r="E233" s="105" t="s">
        <v>78</v>
      </c>
      <c r="F233" s="105" t="s">
        <v>551</v>
      </c>
      <c r="G233" s="105" t="s">
        <v>519</v>
      </c>
      <c r="H233" s="105" t="s">
        <v>587</v>
      </c>
      <c r="I233" s="106" t="s">
        <v>256</v>
      </c>
      <c r="J233" s="104" t="s">
        <v>676</v>
      </c>
      <c r="K233" s="104" t="s">
        <v>81</v>
      </c>
      <c r="L233" s="107" t="s">
        <v>74</v>
      </c>
      <c r="M233" s="107">
        <v>22500000</v>
      </c>
      <c r="N233" s="104">
        <v>22500000</v>
      </c>
      <c r="O233" s="104">
        <v>32598225</v>
      </c>
      <c r="P233" s="104">
        <v>10500000</v>
      </c>
      <c r="Q233" s="104">
        <v>10500000</v>
      </c>
      <c r="R233" s="104">
        <v>15212505</v>
      </c>
      <c r="S233" s="104">
        <v>10500000</v>
      </c>
      <c r="T233" s="104">
        <v>10500000</v>
      </c>
      <c r="U233" s="112">
        <v>15212505</v>
      </c>
      <c r="V233" s="107" t="s">
        <v>75</v>
      </c>
      <c r="W233" s="104" t="s">
        <v>1371</v>
      </c>
      <c r="X233" s="104" t="s">
        <v>75</v>
      </c>
      <c r="Y233" s="104" t="s">
        <v>1372</v>
      </c>
      <c r="Z233" s="104" t="s">
        <v>75</v>
      </c>
      <c r="AA233" s="104">
        <v>999</v>
      </c>
      <c r="AB233" s="108" t="s">
        <v>1373</v>
      </c>
      <c r="AC233" s="104">
        <v>999</v>
      </c>
      <c r="AD233" s="105" t="s">
        <v>1374</v>
      </c>
      <c r="AE233" s="104">
        <v>999</v>
      </c>
      <c r="AF233" s="104" t="s">
        <v>1375</v>
      </c>
      <c r="AG233" s="104">
        <v>3</v>
      </c>
      <c r="AH233" s="109" t="s">
        <v>81</v>
      </c>
      <c r="AI233" s="109" t="s">
        <v>78</v>
      </c>
      <c r="AJ233" s="109" t="s">
        <v>75</v>
      </c>
      <c r="AK233" s="109" t="s">
        <v>256</v>
      </c>
      <c r="AL233" s="109" t="s">
        <v>796</v>
      </c>
      <c r="AM233" s="109" t="s">
        <v>81</v>
      </c>
      <c r="AN233" s="109" t="s">
        <v>81</v>
      </c>
      <c r="AO233" s="109" t="s">
        <v>78</v>
      </c>
      <c r="AP233" s="109" t="s">
        <v>75</v>
      </c>
      <c r="AQ233" s="109">
        <v>1</v>
      </c>
      <c r="AR233" s="109" t="s">
        <v>74</v>
      </c>
    </row>
    <row r="234" spans="1:44" ht="30.6" customHeight="1" x14ac:dyDescent="0.45">
      <c r="A234" s="104" t="s">
        <v>1376</v>
      </c>
      <c r="B234" s="125" t="s">
        <v>1377</v>
      </c>
      <c r="C234" s="105">
        <v>2015</v>
      </c>
      <c r="D234" s="111" t="s">
        <v>501</v>
      </c>
      <c r="E234" s="105" t="s">
        <v>78</v>
      </c>
      <c r="F234" s="105" t="s">
        <v>551</v>
      </c>
      <c r="G234" s="105" t="s">
        <v>519</v>
      </c>
      <c r="H234" s="105" t="s">
        <v>228</v>
      </c>
      <c r="I234" s="106" t="s">
        <v>228</v>
      </c>
      <c r="J234" s="104" t="s">
        <v>837</v>
      </c>
      <c r="K234" s="104" t="s">
        <v>81</v>
      </c>
      <c r="L234" s="107" t="s">
        <v>74</v>
      </c>
      <c r="M234" s="107">
        <v>50000000</v>
      </c>
      <c r="N234" s="104">
        <v>50000000</v>
      </c>
      <c r="O234" s="104">
        <v>72440500</v>
      </c>
      <c r="P234" s="104">
        <v>24500000</v>
      </c>
      <c r="Q234" s="104">
        <v>24500000</v>
      </c>
      <c r="R234" s="104">
        <v>35495845</v>
      </c>
      <c r="S234" s="104">
        <v>20000000</v>
      </c>
      <c r="T234" s="104">
        <v>20000000</v>
      </c>
      <c r="U234" s="112">
        <v>28976200</v>
      </c>
      <c r="V234" s="107" t="s">
        <v>81</v>
      </c>
      <c r="W234" s="104" t="s">
        <v>78</v>
      </c>
      <c r="X234" s="104" t="s">
        <v>81</v>
      </c>
      <c r="Y234" s="104" t="s">
        <v>78</v>
      </c>
      <c r="Z234" s="104" t="s">
        <v>81</v>
      </c>
      <c r="AA234" s="104">
        <v>0</v>
      </c>
      <c r="AB234" s="108" t="s">
        <v>78</v>
      </c>
      <c r="AC234" s="104">
        <v>0</v>
      </c>
      <c r="AD234" s="105" t="s">
        <v>78</v>
      </c>
      <c r="AE234" s="104">
        <v>0</v>
      </c>
      <c r="AF234" s="104" t="s">
        <v>78</v>
      </c>
      <c r="AG234" s="104">
        <v>0</v>
      </c>
      <c r="AH234" s="109" t="s">
        <v>75</v>
      </c>
      <c r="AI234" s="109" t="s">
        <v>442</v>
      </c>
      <c r="AJ234" s="109" t="s">
        <v>81</v>
      </c>
      <c r="AK234" s="109" t="s">
        <v>78</v>
      </c>
      <c r="AL234" s="109" t="s">
        <v>78</v>
      </c>
      <c r="AM234" s="109" t="s">
        <v>81</v>
      </c>
      <c r="AN234" s="109" t="s">
        <v>81</v>
      </c>
      <c r="AO234" s="109" t="s">
        <v>78</v>
      </c>
      <c r="AP234" s="109" t="s">
        <v>81</v>
      </c>
      <c r="AQ234" s="109">
        <v>1</v>
      </c>
      <c r="AR234" s="109" t="s">
        <v>74</v>
      </c>
    </row>
    <row r="235" spans="1:44" ht="30.6" customHeight="1" x14ac:dyDescent="0.45">
      <c r="A235" s="104" t="s">
        <v>1378</v>
      </c>
      <c r="B235" s="125" t="s">
        <v>1379</v>
      </c>
      <c r="C235" s="105">
        <v>2015</v>
      </c>
      <c r="D235" s="111" t="s">
        <v>87</v>
      </c>
      <c r="E235" s="105" t="s">
        <v>1380</v>
      </c>
      <c r="F235" s="105" t="s">
        <v>87</v>
      </c>
      <c r="G235" s="105" t="s">
        <v>87</v>
      </c>
      <c r="H235" s="105" t="s">
        <v>599</v>
      </c>
      <c r="I235" s="106" t="s">
        <v>101</v>
      </c>
      <c r="J235" s="104" t="s">
        <v>676</v>
      </c>
      <c r="K235" s="104" t="s">
        <v>81</v>
      </c>
      <c r="L235" s="107" t="s">
        <v>74</v>
      </c>
      <c r="M235" s="107">
        <v>687510</v>
      </c>
      <c r="N235" s="104">
        <v>687510</v>
      </c>
      <c r="O235" s="104">
        <v>996071.36309999996</v>
      </c>
      <c r="P235" s="104">
        <v>687510</v>
      </c>
      <c r="Q235" s="104">
        <v>687510</v>
      </c>
      <c r="R235" s="104">
        <v>996071.36309999996</v>
      </c>
      <c r="S235" s="104">
        <v>687510</v>
      </c>
      <c r="T235" s="104">
        <v>687510</v>
      </c>
      <c r="U235" s="112">
        <v>996071.36309999996</v>
      </c>
      <c r="V235" s="107" t="s">
        <v>81</v>
      </c>
      <c r="W235" s="104" t="s">
        <v>78</v>
      </c>
      <c r="X235" s="104" t="s">
        <v>81</v>
      </c>
      <c r="Y235" s="104" t="s">
        <v>78</v>
      </c>
      <c r="Z235" s="104" t="s">
        <v>81</v>
      </c>
      <c r="AA235" s="104">
        <v>0</v>
      </c>
      <c r="AB235" s="108" t="s">
        <v>78</v>
      </c>
      <c r="AC235" s="104">
        <v>0</v>
      </c>
      <c r="AD235" s="105" t="s">
        <v>78</v>
      </c>
      <c r="AE235" s="104">
        <v>0</v>
      </c>
      <c r="AF235" s="104" t="s">
        <v>78</v>
      </c>
      <c r="AG235" s="104">
        <v>0</v>
      </c>
      <c r="AH235" s="109" t="s">
        <v>81</v>
      </c>
      <c r="AI235" s="109" t="s">
        <v>78</v>
      </c>
      <c r="AJ235" s="109" t="s">
        <v>81</v>
      </c>
      <c r="AK235" s="109" t="s">
        <v>78</v>
      </c>
      <c r="AL235" s="109" t="s">
        <v>78</v>
      </c>
      <c r="AM235" s="109" t="s">
        <v>81</v>
      </c>
      <c r="AN235" s="109" t="s">
        <v>81</v>
      </c>
      <c r="AO235" s="109" t="s">
        <v>78</v>
      </c>
      <c r="AP235" s="109" t="s">
        <v>81</v>
      </c>
      <c r="AQ235" s="109">
        <v>1</v>
      </c>
      <c r="AR235" s="109" t="s">
        <v>74</v>
      </c>
    </row>
    <row r="236" spans="1:44" ht="30.6" customHeight="1" x14ac:dyDescent="0.45">
      <c r="A236" s="104" t="s">
        <v>1381</v>
      </c>
      <c r="B236" s="125" t="s">
        <v>1382</v>
      </c>
      <c r="C236" s="105">
        <v>2015</v>
      </c>
      <c r="D236" s="111" t="s">
        <v>87</v>
      </c>
      <c r="E236" s="105" t="s">
        <v>1383</v>
      </c>
      <c r="F236" s="105" t="s">
        <v>87</v>
      </c>
      <c r="G236" s="105" t="s">
        <v>87</v>
      </c>
      <c r="H236" s="105" t="s">
        <v>596</v>
      </c>
      <c r="I236" s="106" t="s">
        <v>101</v>
      </c>
      <c r="J236" s="104" t="s">
        <v>676</v>
      </c>
      <c r="K236" s="104" t="s">
        <v>81</v>
      </c>
      <c r="L236" s="107" t="s">
        <v>74</v>
      </c>
      <c r="M236" s="107">
        <v>585865</v>
      </c>
      <c r="N236" s="104">
        <v>585865</v>
      </c>
      <c r="O236" s="104">
        <v>848807.07065000001</v>
      </c>
      <c r="P236" s="104">
        <v>495365</v>
      </c>
      <c r="Q236" s="104">
        <v>495365</v>
      </c>
      <c r="R236" s="104">
        <v>717689.76564999996</v>
      </c>
      <c r="S236" s="104">
        <v>495365</v>
      </c>
      <c r="T236" s="104">
        <v>495365</v>
      </c>
      <c r="U236" s="112">
        <v>717689.76564999996</v>
      </c>
      <c r="V236" s="107" t="s">
        <v>81</v>
      </c>
      <c r="W236" s="104" t="s">
        <v>78</v>
      </c>
      <c r="X236" s="104" t="s">
        <v>81</v>
      </c>
      <c r="Y236" s="104" t="s">
        <v>78</v>
      </c>
      <c r="Z236" s="104" t="s">
        <v>81</v>
      </c>
      <c r="AA236" s="104">
        <v>0</v>
      </c>
      <c r="AB236" s="108" t="s">
        <v>78</v>
      </c>
      <c r="AC236" s="104">
        <v>0</v>
      </c>
      <c r="AD236" s="105" t="s">
        <v>78</v>
      </c>
      <c r="AE236" s="104">
        <v>0</v>
      </c>
      <c r="AF236" s="104" t="s">
        <v>78</v>
      </c>
      <c r="AG236" s="104">
        <v>0</v>
      </c>
      <c r="AH236" s="109" t="s">
        <v>81</v>
      </c>
      <c r="AI236" s="109" t="s">
        <v>78</v>
      </c>
      <c r="AJ236" s="109" t="s">
        <v>81</v>
      </c>
      <c r="AK236" s="109" t="s">
        <v>78</v>
      </c>
      <c r="AL236" s="109" t="s">
        <v>78</v>
      </c>
      <c r="AM236" s="109" t="s">
        <v>81</v>
      </c>
      <c r="AN236" s="109" t="s">
        <v>81</v>
      </c>
      <c r="AO236" s="109" t="s">
        <v>78</v>
      </c>
      <c r="AP236" s="109" t="s">
        <v>81</v>
      </c>
      <c r="AQ236" s="109">
        <v>1</v>
      </c>
      <c r="AR236" s="109" t="s">
        <v>74</v>
      </c>
    </row>
    <row r="237" spans="1:44" ht="30.6" customHeight="1" x14ac:dyDescent="0.45">
      <c r="A237" s="104" t="s">
        <v>1384</v>
      </c>
      <c r="B237" s="125" t="s">
        <v>1385</v>
      </c>
      <c r="C237" s="105">
        <v>2015</v>
      </c>
      <c r="D237" s="111" t="s">
        <v>155</v>
      </c>
      <c r="E237" s="105" t="s">
        <v>78</v>
      </c>
      <c r="F237" s="105" t="s">
        <v>559</v>
      </c>
      <c r="G237" s="105" t="s">
        <v>520</v>
      </c>
      <c r="H237" s="105" t="s">
        <v>585</v>
      </c>
      <c r="I237" s="106" t="s">
        <v>228</v>
      </c>
      <c r="J237" s="104" t="s">
        <v>676</v>
      </c>
      <c r="K237" s="104" t="s">
        <v>81</v>
      </c>
      <c r="L237" s="107" t="s">
        <v>74</v>
      </c>
      <c r="M237" s="107">
        <v>22250000</v>
      </c>
      <c r="N237" s="104">
        <v>22250000</v>
      </c>
      <c r="O237" s="104">
        <v>32236022.5</v>
      </c>
      <c r="P237" s="104">
        <v>22250000</v>
      </c>
      <c r="Q237" s="104">
        <v>22250000</v>
      </c>
      <c r="R237" s="104">
        <v>32236022.5</v>
      </c>
      <c r="S237" s="104">
        <v>22250000</v>
      </c>
      <c r="T237" s="104">
        <v>22250000</v>
      </c>
      <c r="U237" s="112">
        <v>32236022.5</v>
      </c>
      <c r="V237" s="107" t="s">
        <v>75</v>
      </c>
      <c r="W237" s="104" t="s">
        <v>1386</v>
      </c>
      <c r="X237" s="104" t="s">
        <v>75</v>
      </c>
      <c r="Y237" s="104" t="s">
        <v>1387</v>
      </c>
      <c r="Z237" s="104" t="s">
        <v>75</v>
      </c>
      <c r="AA237" s="104">
        <v>999</v>
      </c>
      <c r="AB237" s="108" t="s">
        <v>1388</v>
      </c>
      <c r="AC237" s="104">
        <v>0</v>
      </c>
      <c r="AD237" s="105" t="s">
        <v>78</v>
      </c>
      <c r="AE237" s="104">
        <v>999</v>
      </c>
      <c r="AF237" s="104" t="s">
        <v>1389</v>
      </c>
      <c r="AG237" s="104">
        <v>2</v>
      </c>
      <c r="AH237" s="109" t="s">
        <v>81</v>
      </c>
      <c r="AI237" s="109" t="s">
        <v>78</v>
      </c>
      <c r="AJ237" s="109" t="s">
        <v>75</v>
      </c>
      <c r="AK237" s="109" t="s">
        <v>228</v>
      </c>
      <c r="AL237" s="109" t="s">
        <v>78</v>
      </c>
      <c r="AM237" s="109" t="s">
        <v>81</v>
      </c>
      <c r="AN237" s="109" t="s">
        <v>81</v>
      </c>
      <c r="AO237" s="109" t="s">
        <v>78</v>
      </c>
      <c r="AP237" s="109" t="s">
        <v>75</v>
      </c>
      <c r="AQ237" s="109">
        <v>1</v>
      </c>
      <c r="AR237" s="109" t="s">
        <v>74</v>
      </c>
    </row>
    <row r="238" spans="1:44" ht="30.6" customHeight="1" x14ac:dyDescent="0.45">
      <c r="A238" s="104" t="s">
        <v>1390</v>
      </c>
      <c r="B238" s="126" t="s">
        <v>1066</v>
      </c>
      <c r="C238" s="105">
        <v>2019</v>
      </c>
      <c r="D238" s="105" t="s">
        <v>172</v>
      </c>
      <c r="E238" s="105" t="s">
        <v>78</v>
      </c>
      <c r="F238" s="105" t="s">
        <v>537</v>
      </c>
      <c r="G238" s="105" t="s">
        <v>521</v>
      </c>
      <c r="H238" s="105" t="s">
        <v>587</v>
      </c>
      <c r="I238" s="106" t="s">
        <v>256</v>
      </c>
      <c r="J238" s="104" t="s">
        <v>1391</v>
      </c>
      <c r="K238" s="104" t="s">
        <v>81</v>
      </c>
      <c r="L238" s="104" t="s">
        <v>74</v>
      </c>
      <c r="M238" s="104">
        <v>96950000</v>
      </c>
      <c r="N238" s="104">
        <v>96950000</v>
      </c>
      <c r="O238" s="104">
        <v>134837090.5</v>
      </c>
      <c r="P238" s="104">
        <v>60702180.93</v>
      </c>
      <c r="Q238" s="104">
        <v>60702180.93</v>
      </c>
      <c r="R238" s="104">
        <v>84423986.215634704</v>
      </c>
      <c r="S238" s="104">
        <v>60702180.93</v>
      </c>
      <c r="T238" s="104">
        <v>60702180.93</v>
      </c>
      <c r="U238" s="112">
        <v>84423986.215634704</v>
      </c>
      <c r="V238" s="104" t="s">
        <v>75</v>
      </c>
      <c r="W238" s="104" t="s">
        <v>1392</v>
      </c>
      <c r="X238" s="104" t="s">
        <v>75</v>
      </c>
      <c r="Y238" s="104" t="s">
        <v>1393</v>
      </c>
      <c r="Z238" s="104" t="s">
        <v>75</v>
      </c>
      <c r="AA238" s="104">
        <v>0</v>
      </c>
      <c r="AB238" s="108" t="s">
        <v>78</v>
      </c>
      <c r="AC238" s="104">
        <v>999</v>
      </c>
      <c r="AD238" s="105" t="s">
        <v>1394</v>
      </c>
      <c r="AE238" s="104">
        <v>0</v>
      </c>
      <c r="AF238" s="104" t="s">
        <v>78</v>
      </c>
      <c r="AG238" s="104">
        <v>1</v>
      </c>
      <c r="AH238" s="109" t="s">
        <v>81</v>
      </c>
      <c r="AI238" s="109" t="s">
        <v>78</v>
      </c>
      <c r="AJ238" s="109" t="s">
        <v>75</v>
      </c>
      <c r="AK238" s="109" t="s">
        <v>1395</v>
      </c>
      <c r="AL238" s="109" t="s">
        <v>121</v>
      </c>
      <c r="AM238" s="109" t="s">
        <v>75</v>
      </c>
      <c r="AN238" s="109" t="s">
        <v>81</v>
      </c>
      <c r="AO238" s="109" t="s">
        <v>78</v>
      </c>
      <c r="AP238" s="109" t="s">
        <v>75</v>
      </c>
      <c r="AQ238" s="109">
        <v>1</v>
      </c>
      <c r="AR238" s="109" t="s">
        <v>74</v>
      </c>
    </row>
    <row r="239" spans="1:44" ht="30.6" customHeight="1" x14ac:dyDescent="0.45">
      <c r="A239" s="104" t="s">
        <v>1396</v>
      </c>
      <c r="B239" s="126" t="s">
        <v>1397</v>
      </c>
      <c r="C239" s="105">
        <v>2019</v>
      </c>
      <c r="D239" s="105" t="s">
        <v>433</v>
      </c>
      <c r="E239" s="105" t="s">
        <v>78</v>
      </c>
      <c r="F239" s="105" t="s">
        <v>564</v>
      </c>
      <c r="G239" s="105" t="s">
        <v>520</v>
      </c>
      <c r="H239" s="105" t="s">
        <v>228</v>
      </c>
      <c r="I239" s="106" t="s">
        <v>228</v>
      </c>
      <c r="J239" s="104" t="s">
        <v>1398</v>
      </c>
      <c r="K239" s="104" t="s">
        <v>75</v>
      </c>
      <c r="L239" s="104" t="s">
        <v>126</v>
      </c>
      <c r="M239" s="104">
        <v>1000000</v>
      </c>
      <c r="N239" s="104">
        <v>719015.81115768733</v>
      </c>
      <c r="O239" s="104">
        <v>1000000</v>
      </c>
      <c r="P239" s="104">
        <v>719016</v>
      </c>
      <c r="Q239" s="104">
        <v>719016</v>
      </c>
      <c r="R239" s="104">
        <v>1000000.26264</v>
      </c>
      <c r="S239" s="104">
        <v>0</v>
      </c>
      <c r="T239" s="104">
        <v>0</v>
      </c>
      <c r="U239" s="112">
        <v>0</v>
      </c>
      <c r="V239" s="104" t="s">
        <v>75</v>
      </c>
      <c r="W239" s="104" t="s">
        <v>1399</v>
      </c>
      <c r="X239" s="104" t="s">
        <v>75</v>
      </c>
      <c r="Y239" s="104" t="s">
        <v>1400</v>
      </c>
      <c r="Z239" s="104" t="s">
        <v>75</v>
      </c>
      <c r="AA239" s="104">
        <v>0</v>
      </c>
      <c r="AB239" s="108" t="s">
        <v>78</v>
      </c>
      <c r="AC239" s="104">
        <v>999</v>
      </c>
      <c r="AD239" s="105" t="s">
        <v>1401</v>
      </c>
      <c r="AE239" s="104">
        <v>0</v>
      </c>
      <c r="AF239" s="104" t="s">
        <v>78</v>
      </c>
      <c r="AG239" s="104">
        <v>2</v>
      </c>
      <c r="AH239" s="109" t="s">
        <v>75</v>
      </c>
      <c r="AI239" s="109" t="s">
        <v>442</v>
      </c>
      <c r="AJ239" s="109" t="s">
        <v>75</v>
      </c>
      <c r="AK239" s="109" t="s">
        <v>1402</v>
      </c>
      <c r="AL239" s="109" t="s">
        <v>286</v>
      </c>
      <c r="AM239" s="109" t="s">
        <v>75</v>
      </c>
      <c r="AN239" s="109" t="s">
        <v>81</v>
      </c>
      <c r="AO239" s="109" t="s">
        <v>78</v>
      </c>
      <c r="AP239" s="109" t="s">
        <v>75</v>
      </c>
      <c r="AQ239" s="109">
        <v>1</v>
      </c>
      <c r="AR239" s="109" t="s">
        <v>126</v>
      </c>
    </row>
    <row r="240" spans="1:44" ht="30.6" customHeight="1" x14ac:dyDescent="0.45">
      <c r="A240" s="104" t="s">
        <v>1403</v>
      </c>
      <c r="B240" s="126" t="s">
        <v>1404</v>
      </c>
      <c r="C240" s="105">
        <v>2019</v>
      </c>
      <c r="D240" s="105" t="s">
        <v>498</v>
      </c>
      <c r="E240" s="105" t="s">
        <v>78</v>
      </c>
      <c r="F240" s="105" t="s">
        <v>540</v>
      </c>
      <c r="G240" s="105" t="s">
        <v>520</v>
      </c>
      <c r="H240" s="105" t="s">
        <v>228</v>
      </c>
      <c r="I240" s="106" t="s">
        <v>228</v>
      </c>
      <c r="J240" s="104" t="s">
        <v>1398</v>
      </c>
      <c r="K240" s="104" t="s">
        <v>75</v>
      </c>
      <c r="L240" s="104" t="s">
        <v>126</v>
      </c>
      <c r="M240" s="104">
        <v>1000000</v>
      </c>
      <c r="N240" s="104">
        <v>719015.81115768733</v>
      </c>
      <c r="O240" s="104">
        <v>1000000</v>
      </c>
      <c r="P240" s="104">
        <v>719016</v>
      </c>
      <c r="Q240" s="104">
        <v>719016</v>
      </c>
      <c r="R240" s="104">
        <v>1000000.26264</v>
      </c>
      <c r="S240" s="104">
        <v>0</v>
      </c>
      <c r="T240" s="104">
        <v>0</v>
      </c>
      <c r="U240" s="112">
        <v>0</v>
      </c>
      <c r="V240" s="104" t="s">
        <v>75</v>
      </c>
      <c r="W240" s="104" t="s">
        <v>1399</v>
      </c>
      <c r="X240" s="104" t="s">
        <v>75</v>
      </c>
      <c r="Y240" s="104" t="s">
        <v>1405</v>
      </c>
      <c r="Z240" s="104" t="s">
        <v>75</v>
      </c>
      <c r="AA240" s="104">
        <v>999</v>
      </c>
      <c r="AB240" s="108" t="s">
        <v>1406</v>
      </c>
      <c r="AC240" s="104">
        <v>0</v>
      </c>
      <c r="AD240" s="105" t="s">
        <v>78</v>
      </c>
      <c r="AE240" s="104">
        <v>0</v>
      </c>
      <c r="AF240" s="104" t="s">
        <v>78</v>
      </c>
      <c r="AG240" s="104">
        <v>1</v>
      </c>
      <c r="AH240" s="109" t="s">
        <v>75</v>
      </c>
      <c r="AI240" s="109" t="s">
        <v>442</v>
      </c>
      <c r="AJ240" s="109" t="s">
        <v>75</v>
      </c>
      <c r="AK240" s="109" t="s">
        <v>1402</v>
      </c>
      <c r="AL240" s="109" t="s">
        <v>286</v>
      </c>
      <c r="AM240" s="109" t="s">
        <v>75</v>
      </c>
      <c r="AN240" s="109" t="s">
        <v>81</v>
      </c>
      <c r="AO240" s="109" t="s">
        <v>78</v>
      </c>
      <c r="AP240" s="109" t="s">
        <v>75</v>
      </c>
      <c r="AQ240" s="109">
        <v>1</v>
      </c>
      <c r="AR240" s="109" t="s">
        <v>126</v>
      </c>
    </row>
    <row r="241" spans="1:44" ht="30.6" customHeight="1" x14ac:dyDescent="0.45">
      <c r="A241" s="104" t="s">
        <v>1407</v>
      </c>
      <c r="B241" s="126" t="s">
        <v>1408</v>
      </c>
      <c r="C241" s="105">
        <v>2019</v>
      </c>
      <c r="D241" s="105" t="s">
        <v>513</v>
      </c>
      <c r="E241" s="105" t="s">
        <v>78</v>
      </c>
      <c r="F241" s="105" t="s">
        <v>539</v>
      </c>
      <c r="G241" s="105" t="s">
        <v>520</v>
      </c>
      <c r="H241" s="105" t="s">
        <v>595</v>
      </c>
      <c r="I241" s="106" t="s">
        <v>101</v>
      </c>
      <c r="J241" s="104" t="s">
        <v>679</v>
      </c>
      <c r="K241" s="104" t="s">
        <v>75</v>
      </c>
      <c r="L241" s="104" t="s">
        <v>74</v>
      </c>
      <c r="M241" s="104">
        <v>2680000</v>
      </c>
      <c r="N241" s="104">
        <v>2680000</v>
      </c>
      <c r="O241" s="104">
        <v>3727317.1999999997</v>
      </c>
      <c r="P241" s="104">
        <v>0</v>
      </c>
      <c r="Q241" s="104">
        <v>0</v>
      </c>
      <c r="R241" s="104">
        <v>0</v>
      </c>
      <c r="S241" s="104">
        <v>0</v>
      </c>
      <c r="T241" s="104">
        <v>0</v>
      </c>
      <c r="U241" s="112">
        <v>0</v>
      </c>
      <c r="V241" s="104" t="s">
        <v>81</v>
      </c>
      <c r="W241" s="104" t="s">
        <v>78</v>
      </c>
      <c r="X241" s="104" t="s">
        <v>81</v>
      </c>
      <c r="Y241" s="104" t="s">
        <v>1409</v>
      </c>
      <c r="Z241" s="104" t="s">
        <v>81</v>
      </c>
      <c r="AA241" s="104">
        <v>0</v>
      </c>
      <c r="AB241" s="108" t="s">
        <v>78</v>
      </c>
      <c r="AC241" s="104">
        <v>0</v>
      </c>
      <c r="AD241" s="105" t="s">
        <v>78</v>
      </c>
      <c r="AE241" s="104">
        <v>0</v>
      </c>
      <c r="AF241" s="104" t="s">
        <v>78</v>
      </c>
      <c r="AG241" s="104">
        <v>0</v>
      </c>
      <c r="AH241" s="109" t="s">
        <v>81</v>
      </c>
      <c r="AI241" s="109" t="s">
        <v>78</v>
      </c>
      <c r="AJ241" s="109" t="s">
        <v>81</v>
      </c>
      <c r="AK241" s="109" t="s">
        <v>1410</v>
      </c>
      <c r="AL241" s="109" t="s">
        <v>286</v>
      </c>
      <c r="AM241" s="109" t="s">
        <v>75</v>
      </c>
      <c r="AN241" s="109" t="s">
        <v>81</v>
      </c>
      <c r="AO241" s="109" t="s">
        <v>78</v>
      </c>
      <c r="AP241" s="109" t="s">
        <v>81</v>
      </c>
      <c r="AQ241" s="109">
        <v>1</v>
      </c>
      <c r="AR241" s="109" t="s">
        <v>74</v>
      </c>
    </row>
    <row r="242" spans="1:44" ht="30.6" customHeight="1" x14ac:dyDescent="0.45">
      <c r="A242" s="104" t="s">
        <v>1411</v>
      </c>
      <c r="B242" s="126" t="s">
        <v>1412</v>
      </c>
      <c r="C242" s="105">
        <v>2019</v>
      </c>
      <c r="D242" s="105" t="s">
        <v>70</v>
      </c>
      <c r="E242" s="105" t="s">
        <v>78</v>
      </c>
      <c r="F242" s="105" t="s">
        <v>570</v>
      </c>
      <c r="G242" s="105" t="s">
        <v>519</v>
      </c>
      <c r="H242" s="105" t="s">
        <v>587</v>
      </c>
      <c r="I242" s="106" t="s">
        <v>256</v>
      </c>
      <c r="J242" s="104" t="s">
        <v>1413</v>
      </c>
      <c r="K242" s="104" t="s">
        <v>75</v>
      </c>
      <c r="L242" s="104" t="s">
        <v>126</v>
      </c>
      <c r="M242" s="104">
        <v>1750000</v>
      </c>
      <c r="N242" s="104">
        <v>1258277.669525953</v>
      </c>
      <c r="O242" s="104">
        <v>1750000.0000000002</v>
      </c>
      <c r="P242" s="104">
        <v>1276841.02</v>
      </c>
      <c r="Q242" s="104">
        <v>1276841.02</v>
      </c>
      <c r="R242" s="104">
        <v>1775817.7222058</v>
      </c>
      <c r="S242" s="104">
        <v>0</v>
      </c>
      <c r="T242" s="104">
        <v>0</v>
      </c>
      <c r="U242" s="112">
        <v>0</v>
      </c>
      <c r="V242" s="104" t="s">
        <v>75</v>
      </c>
      <c r="W242" s="104" t="s">
        <v>1414</v>
      </c>
      <c r="X242" s="104" t="s">
        <v>75</v>
      </c>
      <c r="Y242" s="104" t="s">
        <v>1415</v>
      </c>
      <c r="Z242" s="104" t="s">
        <v>75</v>
      </c>
      <c r="AA242" s="104">
        <v>999</v>
      </c>
      <c r="AB242" s="108" t="s">
        <v>1416</v>
      </c>
      <c r="AC242" s="104">
        <v>999</v>
      </c>
      <c r="AD242" s="105" t="s">
        <v>1417</v>
      </c>
      <c r="AE242" s="104">
        <v>0</v>
      </c>
      <c r="AF242" s="104" t="s">
        <v>78</v>
      </c>
      <c r="AG242" s="104">
        <v>2</v>
      </c>
      <c r="AH242" s="109" t="s">
        <v>81</v>
      </c>
      <c r="AI242" s="109" t="s">
        <v>78</v>
      </c>
      <c r="AJ242" s="109" t="s">
        <v>75</v>
      </c>
      <c r="AK242" s="109" t="s">
        <v>1418</v>
      </c>
      <c r="AL242" s="109" t="s">
        <v>121</v>
      </c>
      <c r="AM242" s="109" t="s">
        <v>81</v>
      </c>
      <c r="AN242" s="109" t="s">
        <v>75</v>
      </c>
      <c r="AO242" s="109" t="s">
        <v>78</v>
      </c>
      <c r="AP242" s="109" t="s">
        <v>75</v>
      </c>
      <c r="AQ242" s="109">
        <v>1</v>
      </c>
      <c r="AR242" s="109" t="s">
        <v>126</v>
      </c>
    </row>
    <row r="243" spans="1:44" ht="30.6" customHeight="1" x14ac:dyDescent="0.45">
      <c r="A243" s="104" t="s">
        <v>1419</v>
      </c>
      <c r="B243" s="126" t="s">
        <v>1859</v>
      </c>
      <c r="C243" s="105">
        <v>2019</v>
      </c>
      <c r="D243" s="105" t="s">
        <v>87</v>
      </c>
      <c r="E243" s="105" t="s">
        <v>1421</v>
      </c>
      <c r="F243" s="105" t="s">
        <v>87</v>
      </c>
      <c r="G243" s="105" t="s">
        <v>87</v>
      </c>
      <c r="H243" s="105" t="s">
        <v>593</v>
      </c>
      <c r="I243" s="106" t="s">
        <v>101</v>
      </c>
      <c r="J243" s="104" t="s">
        <v>676</v>
      </c>
      <c r="K243" s="104" t="s">
        <v>81</v>
      </c>
      <c r="L243" s="104" t="s">
        <v>126</v>
      </c>
      <c r="M243" s="104">
        <v>49000000</v>
      </c>
      <c r="N243" s="104">
        <v>35231774.746726684</v>
      </c>
      <c r="O243" s="104">
        <v>49000000.000000007</v>
      </c>
      <c r="P243" s="104">
        <v>15000000</v>
      </c>
      <c r="Q243" s="104">
        <v>15000000</v>
      </c>
      <c r="R243" s="104">
        <v>20861850</v>
      </c>
      <c r="S243" s="104">
        <v>12000000</v>
      </c>
      <c r="T243" s="104">
        <v>12000000</v>
      </c>
      <c r="U243" s="112">
        <v>16689480</v>
      </c>
      <c r="V243" s="104" t="s">
        <v>81</v>
      </c>
      <c r="W243" s="104" t="s">
        <v>78</v>
      </c>
      <c r="X243" s="104" t="s">
        <v>81</v>
      </c>
      <c r="Y243" s="104" t="s">
        <v>1422</v>
      </c>
      <c r="Z243" s="104" t="s">
        <v>81</v>
      </c>
      <c r="AA243" s="104">
        <v>0</v>
      </c>
      <c r="AB243" s="108" t="s">
        <v>78</v>
      </c>
      <c r="AC243" s="104">
        <v>0</v>
      </c>
      <c r="AD243" s="105" t="s">
        <v>78</v>
      </c>
      <c r="AE243" s="104">
        <v>0</v>
      </c>
      <c r="AF243" s="104" t="s">
        <v>78</v>
      </c>
      <c r="AG243" s="104">
        <v>0</v>
      </c>
      <c r="AH243" s="109" t="s">
        <v>81</v>
      </c>
      <c r="AI243" s="109" t="s">
        <v>78</v>
      </c>
      <c r="AJ243" s="109" t="s">
        <v>81</v>
      </c>
      <c r="AK243" s="109" t="s">
        <v>1423</v>
      </c>
      <c r="AL243" s="109" t="s">
        <v>397</v>
      </c>
      <c r="AM243" s="109" t="s">
        <v>75</v>
      </c>
      <c r="AN243" s="109" t="s">
        <v>81</v>
      </c>
      <c r="AO243" s="109" t="s">
        <v>78</v>
      </c>
      <c r="AP243" s="109" t="s">
        <v>81</v>
      </c>
      <c r="AQ243" s="109">
        <v>1</v>
      </c>
      <c r="AR243" s="109" t="s">
        <v>126</v>
      </c>
    </row>
    <row r="244" spans="1:44" ht="30.6" customHeight="1" x14ac:dyDescent="0.45">
      <c r="A244" s="104" t="s">
        <v>1424</v>
      </c>
      <c r="B244" s="126" t="s">
        <v>1425</v>
      </c>
      <c r="C244" s="105">
        <v>2019</v>
      </c>
      <c r="D244" s="105" t="s">
        <v>482</v>
      </c>
      <c r="E244" s="105" t="s">
        <v>78</v>
      </c>
      <c r="F244" s="105" t="s">
        <v>527</v>
      </c>
      <c r="G244" s="105" t="s">
        <v>520</v>
      </c>
      <c r="H244" s="105" t="s">
        <v>228</v>
      </c>
      <c r="I244" s="106" t="s">
        <v>228</v>
      </c>
      <c r="J244" s="104" t="s">
        <v>676</v>
      </c>
      <c r="K244" s="104" t="s">
        <v>81</v>
      </c>
      <c r="L244" s="104" t="s">
        <v>74</v>
      </c>
      <c r="M244" s="104">
        <v>14590000</v>
      </c>
      <c r="N244" s="104">
        <v>14590000</v>
      </c>
      <c r="O244" s="104">
        <v>20291626.099999998</v>
      </c>
      <c r="P244" s="104">
        <v>13030000</v>
      </c>
      <c r="Q244" s="104">
        <v>13030000</v>
      </c>
      <c r="R244" s="104">
        <v>18121993.699999999</v>
      </c>
      <c r="S244" s="104">
        <v>13030000</v>
      </c>
      <c r="T244" s="104">
        <v>13030000</v>
      </c>
      <c r="U244" s="112">
        <v>18121993.699999999</v>
      </c>
      <c r="V244" s="104" t="s">
        <v>75</v>
      </c>
      <c r="W244" s="104" t="s">
        <v>1426</v>
      </c>
      <c r="X244" s="104" t="s">
        <v>75</v>
      </c>
      <c r="Y244" s="104" t="s">
        <v>1427</v>
      </c>
      <c r="Z244" s="104" t="s">
        <v>75</v>
      </c>
      <c r="AA244" s="104">
        <v>999</v>
      </c>
      <c r="AB244" s="108" t="s">
        <v>1428</v>
      </c>
      <c r="AC244" s="104">
        <v>999</v>
      </c>
      <c r="AD244" s="105" t="s">
        <v>1429</v>
      </c>
      <c r="AE244" s="104">
        <v>999</v>
      </c>
      <c r="AF244" s="104" t="s">
        <v>1430</v>
      </c>
      <c r="AG244" s="104">
        <v>3</v>
      </c>
      <c r="AH244" s="109" t="s">
        <v>81</v>
      </c>
      <c r="AI244" s="109" t="s">
        <v>78</v>
      </c>
      <c r="AJ244" s="109" t="s">
        <v>75</v>
      </c>
      <c r="AK244" s="109" t="s">
        <v>1431</v>
      </c>
      <c r="AL244" s="109" t="s">
        <v>121</v>
      </c>
      <c r="AM244" s="109" t="s">
        <v>75</v>
      </c>
      <c r="AN244" s="109" t="s">
        <v>81</v>
      </c>
      <c r="AO244" s="109" t="s">
        <v>78</v>
      </c>
      <c r="AP244" s="109" t="s">
        <v>75</v>
      </c>
      <c r="AQ244" s="109">
        <v>1</v>
      </c>
      <c r="AR244" s="109" t="s">
        <v>74</v>
      </c>
    </row>
    <row r="245" spans="1:44" ht="30.6" customHeight="1" x14ac:dyDescent="0.45">
      <c r="A245" s="104" t="s">
        <v>1432</v>
      </c>
      <c r="B245" s="126" t="s">
        <v>1433</v>
      </c>
      <c r="C245" s="105">
        <v>2019</v>
      </c>
      <c r="D245" s="105" t="s">
        <v>433</v>
      </c>
      <c r="E245" s="105" t="s">
        <v>78</v>
      </c>
      <c r="F245" s="105" t="s">
        <v>564</v>
      </c>
      <c r="G245" s="105" t="s">
        <v>520</v>
      </c>
      <c r="H245" s="105" t="s">
        <v>228</v>
      </c>
      <c r="I245" s="106" t="s">
        <v>228</v>
      </c>
      <c r="J245" s="104" t="s">
        <v>679</v>
      </c>
      <c r="K245" s="104" t="s">
        <v>75</v>
      </c>
      <c r="L245" s="104" t="s">
        <v>74</v>
      </c>
      <c r="M245" s="104">
        <v>49066000</v>
      </c>
      <c r="N245" s="104">
        <v>49066000</v>
      </c>
      <c r="O245" s="104">
        <v>68240502.140000001</v>
      </c>
      <c r="P245" s="104">
        <v>4000000</v>
      </c>
      <c r="Q245" s="104">
        <v>4000000</v>
      </c>
      <c r="R245" s="104">
        <v>5563160</v>
      </c>
      <c r="S245" s="104">
        <v>0</v>
      </c>
      <c r="T245" s="104">
        <v>0</v>
      </c>
      <c r="U245" s="112">
        <v>0</v>
      </c>
      <c r="V245" s="104" t="s">
        <v>75</v>
      </c>
      <c r="W245" s="104" t="s">
        <v>1434</v>
      </c>
      <c r="X245" s="104" t="s">
        <v>75</v>
      </c>
      <c r="Y245" s="104" t="s">
        <v>1435</v>
      </c>
      <c r="Z245" s="104" t="s">
        <v>75</v>
      </c>
      <c r="AA245" s="104">
        <v>999</v>
      </c>
      <c r="AB245" s="108" t="s">
        <v>1436</v>
      </c>
      <c r="AC245" s="104">
        <v>999</v>
      </c>
      <c r="AD245" s="105" t="s">
        <v>1437</v>
      </c>
      <c r="AE245" s="104">
        <v>0</v>
      </c>
      <c r="AF245" s="104" t="s">
        <v>78</v>
      </c>
      <c r="AG245" s="104">
        <v>3</v>
      </c>
      <c r="AH245" s="109" t="s">
        <v>81</v>
      </c>
      <c r="AI245" s="109" t="s">
        <v>78</v>
      </c>
      <c r="AJ245" s="109" t="s">
        <v>75</v>
      </c>
      <c r="AK245" s="109" t="s">
        <v>1438</v>
      </c>
      <c r="AL245" s="109" t="s">
        <v>132</v>
      </c>
      <c r="AM245" s="109" t="s">
        <v>75</v>
      </c>
      <c r="AN245" s="109" t="s">
        <v>75</v>
      </c>
      <c r="AO245" s="109" t="s">
        <v>78</v>
      </c>
      <c r="AP245" s="109" t="s">
        <v>75</v>
      </c>
      <c r="AQ245" s="109">
        <v>1</v>
      </c>
      <c r="AR245" s="109" t="s">
        <v>74</v>
      </c>
    </row>
    <row r="246" spans="1:44" ht="30.6" customHeight="1" x14ac:dyDescent="0.45">
      <c r="A246" s="104" t="s">
        <v>1439</v>
      </c>
      <c r="B246" s="126" t="s">
        <v>1440</v>
      </c>
      <c r="C246" s="105">
        <v>2019</v>
      </c>
      <c r="D246" s="105" t="s">
        <v>289</v>
      </c>
      <c r="E246" s="105" t="s">
        <v>78</v>
      </c>
      <c r="F246" s="105" t="s">
        <v>492</v>
      </c>
      <c r="G246" s="105" t="s">
        <v>521</v>
      </c>
      <c r="H246" s="105" t="s">
        <v>115</v>
      </c>
      <c r="I246" s="106" t="s">
        <v>115</v>
      </c>
      <c r="J246" s="104" t="s">
        <v>679</v>
      </c>
      <c r="K246" s="104" t="s">
        <v>81</v>
      </c>
      <c r="L246" s="104" t="s">
        <v>126</v>
      </c>
      <c r="M246" s="104">
        <v>115360000</v>
      </c>
      <c r="N246" s="104">
        <v>82945663.975150809</v>
      </c>
      <c r="O246" s="104">
        <v>115359999.99999999</v>
      </c>
      <c r="P246" s="104">
        <v>60000000</v>
      </c>
      <c r="Q246" s="104">
        <v>60000000</v>
      </c>
      <c r="R246" s="104">
        <v>83447400</v>
      </c>
      <c r="S246" s="104">
        <v>60000000</v>
      </c>
      <c r="T246" s="104">
        <v>60000000</v>
      </c>
      <c r="U246" s="112">
        <v>83447400</v>
      </c>
      <c r="V246" s="104" t="s">
        <v>75</v>
      </c>
      <c r="W246" s="104" t="s">
        <v>1441</v>
      </c>
      <c r="X246" s="104" t="s">
        <v>75</v>
      </c>
      <c r="Y246" s="104" t="s">
        <v>1442</v>
      </c>
      <c r="Z246" s="104" t="s">
        <v>75</v>
      </c>
      <c r="AA246" s="104">
        <v>999</v>
      </c>
      <c r="AB246" s="108" t="s">
        <v>1443</v>
      </c>
      <c r="AC246" s="104">
        <v>999</v>
      </c>
      <c r="AD246" s="105" t="s">
        <v>1444</v>
      </c>
      <c r="AE246" s="104">
        <v>0</v>
      </c>
      <c r="AF246" s="104" t="s">
        <v>78</v>
      </c>
      <c r="AG246" s="104">
        <v>3</v>
      </c>
      <c r="AH246" s="109" t="s">
        <v>81</v>
      </c>
      <c r="AI246" s="109" t="s">
        <v>78</v>
      </c>
      <c r="AJ246" s="109" t="s">
        <v>75</v>
      </c>
      <c r="AK246" s="109" t="s">
        <v>1445</v>
      </c>
      <c r="AL246" s="109" t="s">
        <v>1446</v>
      </c>
      <c r="AM246" s="109" t="s">
        <v>75</v>
      </c>
      <c r="AN246" s="109" t="s">
        <v>75</v>
      </c>
      <c r="AO246" s="109" t="s">
        <v>78</v>
      </c>
      <c r="AP246" s="109" t="s">
        <v>75</v>
      </c>
      <c r="AQ246" s="109">
        <v>1</v>
      </c>
      <c r="AR246" s="109" t="s">
        <v>126</v>
      </c>
    </row>
    <row r="247" spans="1:44" ht="30.6" customHeight="1" x14ac:dyDescent="0.45">
      <c r="A247" s="104" t="s">
        <v>1447</v>
      </c>
      <c r="B247" s="126" t="s">
        <v>1448</v>
      </c>
      <c r="C247" s="105">
        <v>2019</v>
      </c>
      <c r="D247" s="105" t="s">
        <v>501</v>
      </c>
      <c r="E247" s="105" t="s">
        <v>78</v>
      </c>
      <c r="F247" s="105" t="s">
        <v>551</v>
      </c>
      <c r="G247" s="105" t="s">
        <v>519</v>
      </c>
      <c r="H247" s="105" t="s">
        <v>587</v>
      </c>
      <c r="I247" s="106" t="s">
        <v>256</v>
      </c>
      <c r="J247" s="104" t="s">
        <v>679</v>
      </c>
      <c r="K247" s="104" t="s">
        <v>75</v>
      </c>
      <c r="L247" s="104" t="s">
        <v>74</v>
      </c>
      <c r="M247" s="104">
        <v>27490000</v>
      </c>
      <c r="N247" s="104">
        <v>27490000</v>
      </c>
      <c r="O247" s="104">
        <v>38232817.100000001</v>
      </c>
      <c r="P247" s="104">
        <v>1928759.57</v>
      </c>
      <c r="Q247" s="104">
        <v>1928759.57</v>
      </c>
      <c r="R247" s="104">
        <v>2682499.5223603002</v>
      </c>
      <c r="S247" s="104">
        <v>0</v>
      </c>
      <c r="T247" s="104">
        <v>0</v>
      </c>
      <c r="U247" s="112">
        <v>0</v>
      </c>
      <c r="V247" s="104" t="s">
        <v>75</v>
      </c>
      <c r="W247" s="104" t="s">
        <v>1449</v>
      </c>
      <c r="X247" s="104" t="s">
        <v>75</v>
      </c>
      <c r="Y247" s="104" t="s">
        <v>1450</v>
      </c>
      <c r="Z247" s="104" t="s">
        <v>75</v>
      </c>
      <c r="AA247" s="104">
        <v>999</v>
      </c>
      <c r="AB247" s="108" t="s">
        <v>1451</v>
      </c>
      <c r="AC247" s="104">
        <v>999</v>
      </c>
      <c r="AD247" s="105" t="s">
        <v>1452</v>
      </c>
      <c r="AE247" s="104">
        <v>999</v>
      </c>
      <c r="AF247" s="104" t="s">
        <v>1453</v>
      </c>
      <c r="AG247" s="104">
        <v>4</v>
      </c>
      <c r="AH247" s="109" t="s">
        <v>81</v>
      </c>
      <c r="AI247" s="109" t="s">
        <v>78</v>
      </c>
      <c r="AJ247" s="109" t="s">
        <v>75</v>
      </c>
      <c r="AK247" s="109" t="s">
        <v>1454</v>
      </c>
      <c r="AL247" s="109" t="s">
        <v>121</v>
      </c>
      <c r="AM247" s="109" t="s">
        <v>75</v>
      </c>
      <c r="AN247" s="109" t="s">
        <v>75</v>
      </c>
      <c r="AO247" s="109" t="s">
        <v>78</v>
      </c>
      <c r="AP247" s="109" t="s">
        <v>75</v>
      </c>
      <c r="AQ247" s="109">
        <v>1</v>
      </c>
      <c r="AR247" s="109" t="s">
        <v>74</v>
      </c>
    </row>
    <row r="248" spans="1:44" ht="30.6" customHeight="1" x14ac:dyDescent="0.45">
      <c r="A248" s="104" t="s">
        <v>1455</v>
      </c>
      <c r="B248" s="126" t="s">
        <v>1456</v>
      </c>
      <c r="C248" s="105">
        <v>2019</v>
      </c>
      <c r="D248" s="105" t="s">
        <v>87</v>
      </c>
      <c r="E248" s="105" t="s">
        <v>1457</v>
      </c>
      <c r="F248" s="105" t="s">
        <v>87</v>
      </c>
      <c r="G248" s="105" t="s">
        <v>87</v>
      </c>
      <c r="H248" s="105" t="s">
        <v>589</v>
      </c>
      <c r="I248" s="106" t="s">
        <v>256</v>
      </c>
      <c r="J248" s="104" t="s">
        <v>679</v>
      </c>
      <c r="K248" s="104" t="s">
        <v>75</v>
      </c>
      <c r="L248" s="104" t="s">
        <v>126</v>
      </c>
      <c r="M248" s="104">
        <v>17423316</v>
      </c>
      <c r="N248" s="104">
        <v>12527639.686796714</v>
      </c>
      <c r="O248" s="104">
        <v>17423316</v>
      </c>
      <c r="P248" s="104">
        <v>4664259.4000000004</v>
      </c>
      <c r="Q248" s="104">
        <v>4664259.4000000004</v>
      </c>
      <c r="R248" s="104">
        <v>6487005.3309260001</v>
      </c>
      <c r="S248" s="104">
        <v>0</v>
      </c>
      <c r="T248" s="104">
        <v>0</v>
      </c>
      <c r="U248" s="112">
        <v>0</v>
      </c>
      <c r="V248" s="104" t="s">
        <v>75</v>
      </c>
      <c r="W248" s="104" t="s">
        <v>1458</v>
      </c>
      <c r="X248" s="104" t="s">
        <v>75</v>
      </c>
      <c r="Y248" s="104" t="s">
        <v>1459</v>
      </c>
      <c r="Z248" s="104" t="s">
        <v>81</v>
      </c>
      <c r="AA248" s="104">
        <v>0</v>
      </c>
      <c r="AB248" s="108" t="s">
        <v>78</v>
      </c>
      <c r="AC248" s="104">
        <v>0</v>
      </c>
      <c r="AD248" s="105" t="s">
        <v>78</v>
      </c>
      <c r="AE248" s="104">
        <v>0</v>
      </c>
      <c r="AF248" s="104" t="s">
        <v>78</v>
      </c>
      <c r="AG248" s="104">
        <v>0</v>
      </c>
      <c r="AH248" s="109" t="s">
        <v>81</v>
      </c>
      <c r="AI248" s="109" t="s">
        <v>78</v>
      </c>
      <c r="AJ248" s="109" t="s">
        <v>81</v>
      </c>
      <c r="AK248" s="109" t="s">
        <v>1423</v>
      </c>
      <c r="AL248" s="109" t="s">
        <v>121</v>
      </c>
      <c r="AM248" s="109" t="s">
        <v>81</v>
      </c>
      <c r="AN248" s="109" t="s">
        <v>81</v>
      </c>
      <c r="AO248" s="109" t="s">
        <v>78</v>
      </c>
      <c r="AP248" s="109" t="s">
        <v>81</v>
      </c>
      <c r="AQ248" s="109">
        <v>1</v>
      </c>
      <c r="AR248" s="109" t="s">
        <v>126</v>
      </c>
    </row>
    <row r="249" spans="1:44" ht="30.6" customHeight="1" x14ac:dyDescent="0.45">
      <c r="A249" s="104" t="s">
        <v>1460</v>
      </c>
      <c r="B249" s="126" t="s">
        <v>1461</v>
      </c>
      <c r="C249" s="105">
        <v>2019</v>
      </c>
      <c r="D249" s="105" t="s">
        <v>282</v>
      </c>
      <c r="E249" s="105" t="s">
        <v>78</v>
      </c>
      <c r="F249" s="105" t="s">
        <v>553</v>
      </c>
      <c r="G249" s="105" t="s">
        <v>520</v>
      </c>
      <c r="H249" s="105" t="s">
        <v>228</v>
      </c>
      <c r="I249" s="106" t="s">
        <v>228</v>
      </c>
      <c r="J249" s="104" t="s">
        <v>679</v>
      </c>
      <c r="K249" s="104" t="s">
        <v>81</v>
      </c>
      <c r="L249" s="104" t="s">
        <v>74</v>
      </c>
      <c r="M249" s="104">
        <v>92000000</v>
      </c>
      <c r="N249" s="104">
        <v>92000000</v>
      </c>
      <c r="O249" s="104">
        <v>127952680</v>
      </c>
      <c r="P249" s="104">
        <v>92000000</v>
      </c>
      <c r="Q249" s="104">
        <v>92000000</v>
      </c>
      <c r="R249" s="104">
        <v>127952680</v>
      </c>
      <c r="S249" s="104">
        <v>82000000</v>
      </c>
      <c r="T249" s="104">
        <v>82000000</v>
      </c>
      <c r="U249" s="112">
        <v>114044780</v>
      </c>
      <c r="V249" s="104" t="s">
        <v>75</v>
      </c>
      <c r="W249" s="104" t="s">
        <v>1462</v>
      </c>
      <c r="X249" s="104" t="s">
        <v>75</v>
      </c>
      <c r="Y249" s="104" t="s">
        <v>1463</v>
      </c>
      <c r="Z249" s="104" t="s">
        <v>75</v>
      </c>
      <c r="AA249" s="104">
        <v>0</v>
      </c>
      <c r="AB249" s="108" t="s">
        <v>78</v>
      </c>
      <c r="AC249" s="104">
        <v>999</v>
      </c>
      <c r="AD249" s="105" t="s">
        <v>1464</v>
      </c>
      <c r="AE249" s="104">
        <v>0</v>
      </c>
      <c r="AF249" s="104" t="s">
        <v>78</v>
      </c>
      <c r="AG249" s="104">
        <v>1</v>
      </c>
      <c r="AH249" s="109" t="s">
        <v>81</v>
      </c>
      <c r="AI249" s="109" t="s">
        <v>78</v>
      </c>
      <c r="AJ249" s="109" t="s">
        <v>81</v>
      </c>
      <c r="AK249" s="109" t="s">
        <v>1423</v>
      </c>
      <c r="AL249" s="109" t="s">
        <v>132</v>
      </c>
      <c r="AM249" s="109" t="s">
        <v>75</v>
      </c>
      <c r="AN249" s="109" t="s">
        <v>81</v>
      </c>
      <c r="AO249" s="109" t="s">
        <v>78</v>
      </c>
      <c r="AP249" s="109" t="s">
        <v>75</v>
      </c>
      <c r="AQ249" s="109">
        <v>1</v>
      </c>
      <c r="AR249" s="109" t="s">
        <v>74</v>
      </c>
    </row>
    <row r="250" spans="1:44" ht="30.6" customHeight="1" x14ac:dyDescent="0.45">
      <c r="A250" s="104" t="s">
        <v>1465</v>
      </c>
      <c r="B250" s="126" t="s">
        <v>1466</v>
      </c>
      <c r="C250" s="105">
        <v>2019</v>
      </c>
      <c r="D250" s="105" t="s">
        <v>289</v>
      </c>
      <c r="E250" s="105" t="s">
        <v>78</v>
      </c>
      <c r="F250" s="105" t="s">
        <v>492</v>
      </c>
      <c r="G250" s="105" t="s">
        <v>521</v>
      </c>
      <c r="H250" s="105" t="s">
        <v>228</v>
      </c>
      <c r="I250" s="106" t="s">
        <v>228</v>
      </c>
      <c r="J250" s="104" t="s">
        <v>676</v>
      </c>
      <c r="K250" s="104" t="s">
        <v>81</v>
      </c>
      <c r="L250" s="104" t="s">
        <v>74</v>
      </c>
      <c r="M250" s="104">
        <v>21434370</v>
      </c>
      <c r="N250" s="104">
        <v>21434370</v>
      </c>
      <c r="O250" s="104">
        <v>29810707.452300001</v>
      </c>
      <c r="P250" s="104">
        <v>20000000</v>
      </c>
      <c r="Q250" s="104">
        <v>20000000</v>
      </c>
      <c r="R250" s="104">
        <v>27815800</v>
      </c>
      <c r="S250" s="104">
        <v>20000000</v>
      </c>
      <c r="T250" s="104">
        <v>20000000</v>
      </c>
      <c r="U250" s="112">
        <v>27815800</v>
      </c>
      <c r="V250" s="104" t="s">
        <v>75</v>
      </c>
      <c r="W250" s="104" t="s">
        <v>1467</v>
      </c>
      <c r="X250" s="104" t="s">
        <v>75</v>
      </c>
      <c r="Y250" s="104" t="s">
        <v>1468</v>
      </c>
      <c r="Z250" s="104" t="s">
        <v>75</v>
      </c>
      <c r="AA250" s="104">
        <v>999</v>
      </c>
      <c r="AB250" s="108" t="s">
        <v>1469</v>
      </c>
      <c r="AC250" s="104">
        <v>0</v>
      </c>
      <c r="AD250" s="105" t="s">
        <v>78</v>
      </c>
      <c r="AE250" s="104">
        <v>999</v>
      </c>
      <c r="AF250" s="104" t="s">
        <v>1470</v>
      </c>
      <c r="AG250" s="104">
        <v>3</v>
      </c>
      <c r="AH250" s="109" t="s">
        <v>81</v>
      </c>
      <c r="AI250" s="109" t="s">
        <v>78</v>
      </c>
      <c r="AJ250" s="109" t="s">
        <v>75</v>
      </c>
      <c r="AK250" s="109" t="s">
        <v>1471</v>
      </c>
      <c r="AL250" s="109" t="s">
        <v>121</v>
      </c>
      <c r="AM250" s="109" t="s">
        <v>75</v>
      </c>
      <c r="AN250" s="109" t="s">
        <v>75</v>
      </c>
      <c r="AO250" s="109" t="s">
        <v>78</v>
      </c>
      <c r="AP250" s="109" t="s">
        <v>75</v>
      </c>
      <c r="AQ250" s="109">
        <v>1</v>
      </c>
      <c r="AR250" s="109" t="s">
        <v>74</v>
      </c>
    </row>
    <row r="251" spans="1:44" ht="30.6" customHeight="1" x14ac:dyDescent="0.45">
      <c r="A251" s="104" t="s">
        <v>1472</v>
      </c>
      <c r="B251" s="126" t="s">
        <v>1473</v>
      </c>
      <c r="C251" s="105">
        <v>2019</v>
      </c>
      <c r="D251" s="105" t="s">
        <v>124</v>
      </c>
      <c r="E251" s="105" t="s">
        <v>78</v>
      </c>
      <c r="F251" s="105" t="s">
        <v>550</v>
      </c>
      <c r="G251" s="105" t="s">
        <v>519</v>
      </c>
      <c r="H251" s="105" t="s">
        <v>585</v>
      </c>
      <c r="I251" s="106" t="s">
        <v>228</v>
      </c>
      <c r="J251" s="104" t="s">
        <v>689</v>
      </c>
      <c r="K251" s="104" t="s">
        <v>81</v>
      </c>
      <c r="L251" s="104" t="s">
        <v>104</v>
      </c>
      <c r="M251" s="104">
        <v>100000000</v>
      </c>
      <c r="N251" s="104">
        <v>82356041.63921465</v>
      </c>
      <c r="O251" s="104">
        <v>114539959.15140334</v>
      </c>
      <c r="P251" s="104">
        <v>80951995</v>
      </c>
      <c r="Q251" s="104">
        <v>80951995</v>
      </c>
      <c r="R251" s="104">
        <v>112587225.12605</v>
      </c>
      <c r="S251" s="104">
        <v>80951995</v>
      </c>
      <c r="T251" s="104">
        <v>80951995</v>
      </c>
      <c r="U251" s="112">
        <v>112587225.12605</v>
      </c>
      <c r="V251" s="104" t="s">
        <v>81</v>
      </c>
      <c r="W251" s="104" t="s">
        <v>78</v>
      </c>
      <c r="X251" s="104" t="s">
        <v>81</v>
      </c>
      <c r="Y251" s="104" t="s">
        <v>1474</v>
      </c>
      <c r="Z251" s="104" t="s">
        <v>81</v>
      </c>
      <c r="AA251" s="104">
        <v>0</v>
      </c>
      <c r="AB251" s="108" t="s">
        <v>78</v>
      </c>
      <c r="AC251" s="104">
        <v>0</v>
      </c>
      <c r="AD251" s="105" t="s">
        <v>78</v>
      </c>
      <c r="AE251" s="104">
        <v>0</v>
      </c>
      <c r="AF251" s="104" t="s">
        <v>78</v>
      </c>
      <c r="AG251" s="104">
        <v>0</v>
      </c>
      <c r="AH251" s="109" t="s">
        <v>81</v>
      </c>
      <c r="AI251" s="109" t="s">
        <v>78</v>
      </c>
      <c r="AJ251" s="109" t="s">
        <v>81</v>
      </c>
      <c r="AK251" s="109" t="s">
        <v>1423</v>
      </c>
      <c r="AL251" s="109" t="s">
        <v>397</v>
      </c>
      <c r="AM251" s="109" t="s">
        <v>75</v>
      </c>
      <c r="AN251" s="109" t="s">
        <v>81</v>
      </c>
      <c r="AO251" s="109" t="s">
        <v>78</v>
      </c>
      <c r="AP251" s="109" t="s">
        <v>81</v>
      </c>
      <c r="AQ251" s="109">
        <v>1</v>
      </c>
      <c r="AR251" s="109" t="s">
        <v>104</v>
      </c>
    </row>
    <row r="252" spans="1:44" ht="30.6" customHeight="1" x14ac:dyDescent="0.45">
      <c r="A252" s="104" t="s">
        <v>1475</v>
      </c>
      <c r="B252" s="126" t="s">
        <v>1476</v>
      </c>
      <c r="C252" s="105">
        <v>2019</v>
      </c>
      <c r="D252" s="105" t="s">
        <v>396</v>
      </c>
      <c r="E252" s="105" t="s">
        <v>78</v>
      </c>
      <c r="F252" s="105" t="s">
        <v>545</v>
      </c>
      <c r="G252" s="105" t="s">
        <v>519</v>
      </c>
      <c r="H252" s="105" t="s">
        <v>587</v>
      </c>
      <c r="I252" s="106" t="s">
        <v>256</v>
      </c>
      <c r="J252" s="104" t="s">
        <v>679</v>
      </c>
      <c r="K252" s="104" t="s">
        <v>75</v>
      </c>
      <c r="L252" s="104" t="s">
        <v>74</v>
      </c>
      <c r="M252" s="104">
        <v>3143904</v>
      </c>
      <c r="N252" s="104">
        <v>3143904</v>
      </c>
      <c r="O252" s="104">
        <v>4372510.2441600002</v>
      </c>
      <c r="P252" s="104">
        <v>3222170.34</v>
      </c>
      <c r="Q252" s="104">
        <v>3222170.34</v>
      </c>
      <c r="R252" s="104">
        <v>4481362.2871685997</v>
      </c>
      <c r="S252" s="104">
        <v>0</v>
      </c>
      <c r="T252" s="104">
        <v>0</v>
      </c>
      <c r="U252" s="112">
        <v>0</v>
      </c>
      <c r="V252" s="104" t="s">
        <v>75</v>
      </c>
      <c r="W252" s="104" t="s">
        <v>1477</v>
      </c>
      <c r="X252" s="104" t="s">
        <v>75</v>
      </c>
      <c r="Y252" s="104" t="s">
        <v>1478</v>
      </c>
      <c r="Z252" s="104" t="s">
        <v>75</v>
      </c>
      <c r="AA252" s="104">
        <v>999</v>
      </c>
      <c r="AB252" s="108" t="s">
        <v>1479</v>
      </c>
      <c r="AC252" s="104">
        <v>999</v>
      </c>
      <c r="AD252" s="105" t="s">
        <v>1480</v>
      </c>
      <c r="AE252" s="104">
        <v>999</v>
      </c>
      <c r="AF252" s="104" t="s">
        <v>1481</v>
      </c>
      <c r="AG252" s="104">
        <v>3</v>
      </c>
      <c r="AH252" s="109" t="s">
        <v>81</v>
      </c>
      <c r="AI252" s="109" t="s">
        <v>78</v>
      </c>
      <c r="AJ252" s="109" t="s">
        <v>75</v>
      </c>
      <c r="AK252" s="109" t="s">
        <v>1482</v>
      </c>
      <c r="AL252" s="109" t="s">
        <v>121</v>
      </c>
      <c r="AM252" s="109" t="s">
        <v>75</v>
      </c>
      <c r="AN252" s="109" t="s">
        <v>75</v>
      </c>
      <c r="AO252" s="109" t="s">
        <v>78</v>
      </c>
      <c r="AP252" s="109" t="s">
        <v>75</v>
      </c>
      <c r="AQ252" s="109">
        <v>1</v>
      </c>
      <c r="AR252" s="109" t="s">
        <v>74</v>
      </c>
    </row>
    <row r="253" spans="1:44" ht="30.6" customHeight="1" x14ac:dyDescent="0.45">
      <c r="A253" s="104" t="s">
        <v>1483</v>
      </c>
      <c r="B253" s="126" t="s">
        <v>1484</v>
      </c>
      <c r="C253" s="105">
        <v>2019</v>
      </c>
      <c r="D253" s="105" t="s">
        <v>500</v>
      </c>
      <c r="E253" s="105" t="s">
        <v>78</v>
      </c>
      <c r="F253" s="105" t="s">
        <v>547</v>
      </c>
      <c r="G253" s="105" t="s">
        <v>519</v>
      </c>
      <c r="H253" s="105" t="s">
        <v>595</v>
      </c>
      <c r="I253" s="106" t="s">
        <v>101</v>
      </c>
      <c r="J253" s="104" t="s">
        <v>679</v>
      </c>
      <c r="K253" s="104" t="s">
        <v>75</v>
      </c>
      <c r="L253" s="104" t="s">
        <v>74</v>
      </c>
      <c r="M253" s="104">
        <v>3290000</v>
      </c>
      <c r="N253" s="104">
        <v>3290000</v>
      </c>
      <c r="O253" s="104">
        <v>4575699.0999999996</v>
      </c>
      <c r="P253" s="104">
        <v>0</v>
      </c>
      <c r="Q253" s="104">
        <v>0</v>
      </c>
      <c r="R253" s="104">
        <v>0</v>
      </c>
      <c r="S253" s="104">
        <v>0</v>
      </c>
      <c r="T253" s="104">
        <v>0</v>
      </c>
      <c r="U253" s="112">
        <v>0</v>
      </c>
      <c r="V253" s="104" t="s">
        <v>81</v>
      </c>
      <c r="W253" s="104" t="s">
        <v>78</v>
      </c>
      <c r="X253" s="104" t="s">
        <v>81</v>
      </c>
      <c r="Y253" s="104" t="s">
        <v>1409</v>
      </c>
      <c r="Z253" s="104" t="s">
        <v>81</v>
      </c>
      <c r="AA253" s="104">
        <v>0</v>
      </c>
      <c r="AB253" s="108" t="s">
        <v>78</v>
      </c>
      <c r="AC253" s="104">
        <v>0</v>
      </c>
      <c r="AD253" s="105" t="s">
        <v>78</v>
      </c>
      <c r="AE253" s="104">
        <v>0</v>
      </c>
      <c r="AF253" s="104" t="s">
        <v>78</v>
      </c>
      <c r="AG253" s="104">
        <v>0</v>
      </c>
      <c r="AH253" s="109" t="s">
        <v>81</v>
      </c>
      <c r="AI253" s="109" t="s">
        <v>78</v>
      </c>
      <c r="AJ253" s="109" t="s">
        <v>81</v>
      </c>
      <c r="AK253" s="109" t="s">
        <v>1423</v>
      </c>
      <c r="AL253" s="109" t="s">
        <v>286</v>
      </c>
      <c r="AM253" s="109" t="s">
        <v>75</v>
      </c>
      <c r="AN253" s="109" t="s">
        <v>81</v>
      </c>
      <c r="AO253" s="109" t="s">
        <v>78</v>
      </c>
      <c r="AP253" s="109" t="s">
        <v>81</v>
      </c>
      <c r="AQ253" s="109">
        <v>1</v>
      </c>
      <c r="AR253" s="109" t="s">
        <v>74</v>
      </c>
    </row>
    <row r="254" spans="1:44" ht="18" customHeight="1" x14ac:dyDescent="0.45">
      <c r="A254" s="104" t="s">
        <v>1485</v>
      </c>
      <c r="B254" s="126" t="s">
        <v>1486</v>
      </c>
      <c r="C254" s="105">
        <v>2019</v>
      </c>
      <c r="D254" s="105" t="s">
        <v>195</v>
      </c>
      <c r="E254" s="105" t="s">
        <v>78</v>
      </c>
      <c r="F254" s="105" t="s">
        <v>536</v>
      </c>
      <c r="G254" s="105" t="s">
        <v>522</v>
      </c>
      <c r="H254" s="105" t="s">
        <v>584</v>
      </c>
      <c r="I254" s="106" t="s">
        <v>228</v>
      </c>
      <c r="J254" s="104" t="s">
        <v>679</v>
      </c>
      <c r="K254" s="104" t="s">
        <v>75</v>
      </c>
      <c r="L254" s="104" t="s">
        <v>74</v>
      </c>
      <c r="M254" s="104">
        <v>61330000</v>
      </c>
      <c r="N254" s="104">
        <v>61330000</v>
      </c>
      <c r="O254" s="104">
        <v>85297150.700000003</v>
      </c>
      <c r="P254" s="104">
        <v>8175357</v>
      </c>
      <c r="Q254" s="104">
        <v>8175357</v>
      </c>
      <c r="R254" s="104">
        <v>11370204.76203</v>
      </c>
      <c r="S254" s="104">
        <v>0</v>
      </c>
      <c r="T254" s="104">
        <v>0</v>
      </c>
      <c r="U254" s="112">
        <v>0</v>
      </c>
      <c r="V254" s="104" t="s">
        <v>75</v>
      </c>
      <c r="W254" s="104" t="s">
        <v>1487</v>
      </c>
      <c r="X254" s="104" t="s">
        <v>75</v>
      </c>
      <c r="Y254" s="104" t="s">
        <v>1488</v>
      </c>
      <c r="Z254" s="104" t="s">
        <v>75</v>
      </c>
      <c r="AA254" s="104">
        <v>0</v>
      </c>
      <c r="AB254" s="108" t="s">
        <v>78</v>
      </c>
      <c r="AC254" s="104">
        <v>999</v>
      </c>
      <c r="AD254" s="105" t="s">
        <v>1489</v>
      </c>
      <c r="AE254" s="104">
        <v>0</v>
      </c>
      <c r="AF254" s="104" t="s">
        <v>78</v>
      </c>
      <c r="AG254" s="104">
        <v>1</v>
      </c>
      <c r="AH254" s="109" t="s">
        <v>81</v>
      </c>
      <c r="AI254" s="109" t="s">
        <v>78</v>
      </c>
      <c r="AJ254" s="109" t="s">
        <v>75</v>
      </c>
      <c r="AK254" s="109" t="s">
        <v>1490</v>
      </c>
      <c r="AL254" s="109" t="s">
        <v>1491</v>
      </c>
      <c r="AM254" s="109" t="s">
        <v>75</v>
      </c>
      <c r="AN254" s="109" t="s">
        <v>81</v>
      </c>
      <c r="AO254" s="109" t="s">
        <v>78</v>
      </c>
      <c r="AP254" s="109" t="s">
        <v>75</v>
      </c>
      <c r="AQ254" s="109">
        <v>1</v>
      </c>
      <c r="AR254" s="109" t="s">
        <v>74</v>
      </c>
    </row>
    <row r="255" spans="1:44" ht="18" customHeight="1" x14ac:dyDescent="0.45">
      <c r="A255" s="104" t="s">
        <v>1492</v>
      </c>
      <c r="B255" s="126" t="s">
        <v>1493</v>
      </c>
      <c r="C255" s="105">
        <v>2019</v>
      </c>
      <c r="D255" s="105" t="s">
        <v>179</v>
      </c>
      <c r="E255" s="105" t="s">
        <v>78</v>
      </c>
      <c r="F255" s="105" t="s">
        <v>561</v>
      </c>
      <c r="G255" s="105" t="s">
        <v>522</v>
      </c>
      <c r="H255" s="105" t="s">
        <v>587</v>
      </c>
      <c r="I255" s="106" t="s">
        <v>256</v>
      </c>
      <c r="J255" s="104" t="s">
        <v>679</v>
      </c>
      <c r="K255" s="104" t="s">
        <v>81</v>
      </c>
      <c r="L255" s="104" t="s">
        <v>74</v>
      </c>
      <c r="M255" s="104">
        <v>19621111</v>
      </c>
      <c r="N255" s="104">
        <v>19621111</v>
      </c>
      <c r="O255" s="104">
        <v>27288844.967689998</v>
      </c>
      <c r="P255" s="104">
        <v>8000000</v>
      </c>
      <c r="Q255" s="104">
        <v>8000000</v>
      </c>
      <c r="R255" s="104">
        <v>11126320</v>
      </c>
      <c r="S255" s="104">
        <v>8000000</v>
      </c>
      <c r="T255" s="104">
        <v>8000000</v>
      </c>
      <c r="U255" s="112">
        <v>11126320</v>
      </c>
      <c r="V255" s="104" t="s">
        <v>75</v>
      </c>
      <c r="W255" s="104" t="s">
        <v>1494</v>
      </c>
      <c r="X255" s="104" t="s">
        <v>75</v>
      </c>
      <c r="Y255" s="104" t="s">
        <v>1495</v>
      </c>
      <c r="Z255" s="104" t="s">
        <v>75</v>
      </c>
      <c r="AA255" s="104">
        <v>999</v>
      </c>
      <c r="AB255" s="108" t="s">
        <v>1496</v>
      </c>
      <c r="AC255" s="104">
        <v>0</v>
      </c>
      <c r="AD255" s="105" t="s">
        <v>78</v>
      </c>
      <c r="AE255" s="104">
        <v>999</v>
      </c>
      <c r="AF255" s="104" t="s">
        <v>1497</v>
      </c>
      <c r="AG255" s="104">
        <v>3</v>
      </c>
      <c r="AH255" s="109" t="s">
        <v>75</v>
      </c>
      <c r="AI255" s="109" t="s">
        <v>1498</v>
      </c>
      <c r="AJ255" s="109" t="s">
        <v>75</v>
      </c>
      <c r="AK255" s="109" t="s">
        <v>1499</v>
      </c>
      <c r="AL255" s="109" t="s">
        <v>121</v>
      </c>
      <c r="AM255" s="109" t="s">
        <v>75</v>
      </c>
      <c r="AN255" s="109" t="s">
        <v>75</v>
      </c>
      <c r="AO255" s="109" t="s">
        <v>78</v>
      </c>
      <c r="AP255" s="109" t="s">
        <v>75</v>
      </c>
      <c r="AQ255" s="109">
        <v>1</v>
      </c>
      <c r="AR255" s="109" t="s">
        <v>74</v>
      </c>
    </row>
    <row r="256" spans="1:44" ht="18" customHeight="1" x14ac:dyDescent="0.45">
      <c r="A256" s="104" t="s">
        <v>1500</v>
      </c>
      <c r="B256" s="126" t="s">
        <v>1501</v>
      </c>
      <c r="C256" s="105">
        <v>2019</v>
      </c>
      <c r="D256" s="105" t="s">
        <v>495</v>
      </c>
      <c r="E256" s="105" t="s">
        <v>78</v>
      </c>
      <c r="F256" s="105" t="s">
        <v>541</v>
      </c>
      <c r="G256" s="105" t="s">
        <v>521</v>
      </c>
      <c r="H256" s="105" t="s">
        <v>583</v>
      </c>
      <c r="I256" s="106" t="s">
        <v>228</v>
      </c>
      <c r="J256" s="104" t="s">
        <v>679</v>
      </c>
      <c r="K256" s="104" t="s">
        <v>81</v>
      </c>
      <c r="L256" s="104" t="s">
        <v>74</v>
      </c>
      <c r="M256" s="104">
        <v>56625000</v>
      </c>
      <c r="N256" s="104">
        <v>56625000</v>
      </c>
      <c r="O256" s="104">
        <v>78753483.75</v>
      </c>
      <c r="P256" s="104">
        <v>45445839</v>
      </c>
      <c r="Q256" s="104">
        <v>45445839</v>
      </c>
      <c r="R256" s="104">
        <v>63205618.422809996</v>
      </c>
      <c r="S256" s="104">
        <v>45445839</v>
      </c>
      <c r="T256" s="104">
        <v>45445839</v>
      </c>
      <c r="U256" s="112">
        <v>63205618.422809996</v>
      </c>
      <c r="V256" s="104" t="s">
        <v>75</v>
      </c>
      <c r="W256" s="104" t="s">
        <v>1502</v>
      </c>
      <c r="X256" s="104" t="s">
        <v>75</v>
      </c>
      <c r="Y256" s="104" t="s">
        <v>1503</v>
      </c>
      <c r="Z256" s="104" t="s">
        <v>75</v>
      </c>
      <c r="AA256" s="104">
        <v>999</v>
      </c>
      <c r="AB256" s="108" t="s">
        <v>1504</v>
      </c>
      <c r="AC256" s="104">
        <v>999</v>
      </c>
      <c r="AD256" s="105" t="s">
        <v>1505</v>
      </c>
      <c r="AE256" s="104">
        <v>999</v>
      </c>
      <c r="AF256" s="104" t="s">
        <v>1506</v>
      </c>
      <c r="AG256" s="104">
        <v>5</v>
      </c>
      <c r="AH256" s="109" t="s">
        <v>75</v>
      </c>
      <c r="AI256" s="109" t="s">
        <v>1084</v>
      </c>
      <c r="AJ256" s="109" t="s">
        <v>75</v>
      </c>
      <c r="AK256" s="109" t="s">
        <v>1507</v>
      </c>
      <c r="AL256" s="109" t="s">
        <v>121</v>
      </c>
      <c r="AM256" s="109" t="s">
        <v>75</v>
      </c>
      <c r="AN256" s="109" t="s">
        <v>75</v>
      </c>
      <c r="AO256" s="109" t="s">
        <v>78</v>
      </c>
      <c r="AP256" s="109" t="s">
        <v>75</v>
      </c>
      <c r="AQ256" s="109">
        <v>1</v>
      </c>
      <c r="AR256" s="109" t="s">
        <v>74</v>
      </c>
    </row>
    <row r="257" spans="1:44" ht="18" customHeight="1" x14ac:dyDescent="0.45">
      <c r="A257" s="104" t="s">
        <v>1508</v>
      </c>
      <c r="B257" s="126" t="s">
        <v>1509</v>
      </c>
      <c r="C257" s="105">
        <v>2019</v>
      </c>
      <c r="D257" s="105" t="s">
        <v>113</v>
      </c>
      <c r="E257" s="105" t="s">
        <v>78</v>
      </c>
      <c r="F257" s="105" t="s">
        <v>565</v>
      </c>
      <c r="G257" s="105" t="s">
        <v>518</v>
      </c>
      <c r="H257" s="105" t="s">
        <v>228</v>
      </c>
      <c r="I257" s="106" t="s">
        <v>228</v>
      </c>
      <c r="J257" s="104" t="s">
        <v>679</v>
      </c>
      <c r="K257" s="104" t="s">
        <v>81</v>
      </c>
      <c r="L257" s="104" t="s">
        <v>104</v>
      </c>
      <c r="M257" s="104">
        <v>44840000</v>
      </c>
      <c r="N257" s="104">
        <v>36928449.071023852</v>
      </c>
      <c r="O257" s="104">
        <v>51359717.683489263</v>
      </c>
      <c r="P257" s="104">
        <v>20636363</v>
      </c>
      <c r="Q257" s="104">
        <v>20636363</v>
      </c>
      <c r="R257" s="104">
        <v>28700847.296769999</v>
      </c>
      <c r="S257" s="104">
        <v>20636363</v>
      </c>
      <c r="T257" s="104">
        <v>20636363</v>
      </c>
      <c r="U257" s="112">
        <v>28700847.296769999</v>
      </c>
      <c r="V257" s="104" t="s">
        <v>75</v>
      </c>
      <c r="W257" s="104" t="s">
        <v>1510</v>
      </c>
      <c r="X257" s="104" t="s">
        <v>75</v>
      </c>
      <c r="Y257" s="104" t="s">
        <v>1511</v>
      </c>
      <c r="Z257" s="104" t="s">
        <v>81</v>
      </c>
      <c r="AA257" s="104">
        <v>0</v>
      </c>
      <c r="AB257" s="108" t="s">
        <v>78</v>
      </c>
      <c r="AC257" s="104">
        <v>0</v>
      </c>
      <c r="AD257" s="105" t="s">
        <v>78</v>
      </c>
      <c r="AE257" s="104">
        <v>0</v>
      </c>
      <c r="AF257" s="104" t="s">
        <v>78</v>
      </c>
      <c r="AG257" s="104">
        <v>0</v>
      </c>
      <c r="AH257" s="109" t="s">
        <v>81</v>
      </c>
      <c r="AI257" s="109" t="s">
        <v>78</v>
      </c>
      <c r="AJ257" s="109" t="s">
        <v>81</v>
      </c>
      <c r="AK257" s="109" t="s">
        <v>1423</v>
      </c>
      <c r="AL257" s="109" t="s">
        <v>132</v>
      </c>
      <c r="AM257" s="109" t="s">
        <v>75</v>
      </c>
      <c r="AN257" s="109" t="s">
        <v>81</v>
      </c>
      <c r="AO257" s="109" t="s">
        <v>78</v>
      </c>
      <c r="AP257" s="109" t="s">
        <v>81</v>
      </c>
      <c r="AQ257" s="109">
        <v>1</v>
      </c>
      <c r="AR257" s="109" t="s">
        <v>104</v>
      </c>
    </row>
    <row r="258" spans="1:44" ht="18" customHeight="1" x14ac:dyDescent="0.45">
      <c r="A258" s="104" t="s">
        <v>1512</v>
      </c>
      <c r="B258" s="126" t="s">
        <v>1513</v>
      </c>
      <c r="C258" s="105">
        <v>2019</v>
      </c>
      <c r="D258" s="105" t="s">
        <v>184</v>
      </c>
      <c r="E258" s="105" t="s">
        <v>78</v>
      </c>
      <c r="F258" s="105" t="s">
        <v>554</v>
      </c>
      <c r="G258" s="105" t="s">
        <v>520</v>
      </c>
      <c r="H258" s="105">
        <v>0</v>
      </c>
      <c r="I258" s="106" t="s">
        <v>228</v>
      </c>
      <c r="J258" s="104" t="s">
        <v>1514</v>
      </c>
      <c r="K258" s="104" t="s">
        <v>75</v>
      </c>
      <c r="L258" s="104" t="s">
        <v>104</v>
      </c>
      <c r="M258" s="104">
        <v>2400000</v>
      </c>
      <c r="N258" s="104">
        <v>1976544.9993411517</v>
      </c>
      <c r="O258" s="104">
        <v>2748959.0196336801</v>
      </c>
      <c r="P258" s="104">
        <v>0</v>
      </c>
      <c r="Q258" s="104">
        <v>0</v>
      </c>
      <c r="R258" s="104">
        <v>0</v>
      </c>
      <c r="S258" s="104">
        <v>0</v>
      </c>
      <c r="T258" s="104">
        <v>0</v>
      </c>
      <c r="U258" s="112">
        <v>0</v>
      </c>
      <c r="V258" s="104" t="s">
        <v>75</v>
      </c>
      <c r="W258" s="104" t="s">
        <v>1515</v>
      </c>
      <c r="X258" s="104" t="s">
        <v>75</v>
      </c>
      <c r="Y258" s="104" t="s">
        <v>1516</v>
      </c>
      <c r="Z258" s="104" t="s">
        <v>81</v>
      </c>
      <c r="AA258" s="104">
        <v>0</v>
      </c>
      <c r="AB258" s="108" t="s">
        <v>78</v>
      </c>
      <c r="AC258" s="104">
        <v>0</v>
      </c>
      <c r="AD258" s="105" t="s">
        <v>78</v>
      </c>
      <c r="AE258" s="104">
        <v>0</v>
      </c>
      <c r="AF258" s="104" t="s">
        <v>78</v>
      </c>
      <c r="AG258" s="104">
        <v>0</v>
      </c>
      <c r="AH258" s="109" t="s">
        <v>81</v>
      </c>
      <c r="AI258" s="109" t="s">
        <v>78</v>
      </c>
      <c r="AJ258" s="109" t="s">
        <v>81</v>
      </c>
      <c r="AK258" s="109" t="s">
        <v>1423</v>
      </c>
      <c r="AL258" s="109" t="s">
        <v>397</v>
      </c>
      <c r="AM258" s="109" t="s">
        <v>75</v>
      </c>
      <c r="AN258" s="109" t="s">
        <v>81</v>
      </c>
      <c r="AO258" s="109" t="s">
        <v>78</v>
      </c>
      <c r="AP258" s="109" t="s">
        <v>81</v>
      </c>
      <c r="AQ258" s="109">
        <v>1</v>
      </c>
      <c r="AR258" s="109" t="s">
        <v>104</v>
      </c>
    </row>
    <row r="259" spans="1:44" ht="18" customHeight="1" x14ac:dyDescent="0.45">
      <c r="A259" s="104" t="s">
        <v>1517</v>
      </c>
      <c r="B259" s="126" t="s">
        <v>1518</v>
      </c>
      <c r="C259" s="105">
        <v>2019</v>
      </c>
      <c r="D259" s="105" t="s">
        <v>155</v>
      </c>
      <c r="E259" s="105" t="s">
        <v>78</v>
      </c>
      <c r="F259" s="105" t="s">
        <v>559</v>
      </c>
      <c r="G259" s="105" t="s">
        <v>520</v>
      </c>
      <c r="H259" s="105" t="s">
        <v>228</v>
      </c>
      <c r="I259" s="106" t="s">
        <v>228</v>
      </c>
      <c r="J259" s="104" t="s">
        <v>679</v>
      </c>
      <c r="K259" s="104" t="s">
        <v>81</v>
      </c>
      <c r="L259" s="104" t="s">
        <v>104</v>
      </c>
      <c r="M259" s="104">
        <v>121980000</v>
      </c>
      <c r="N259" s="104">
        <v>100457899.59151404</v>
      </c>
      <c r="O259" s="104">
        <v>139715842.17288181</v>
      </c>
      <c r="P259" s="104">
        <v>71691102</v>
      </c>
      <c r="Q259" s="104">
        <v>71691102</v>
      </c>
      <c r="R259" s="104">
        <v>99707267.750579998</v>
      </c>
      <c r="S259" s="104">
        <v>49794128</v>
      </c>
      <c r="T259" s="104">
        <v>49794128</v>
      </c>
      <c r="U259" s="112">
        <v>69253175.281120002</v>
      </c>
      <c r="V259" s="104" t="s">
        <v>81</v>
      </c>
      <c r="W259" s="104" t="s">
        <v>78</v>
      </c>
      <c r="X259" s="104" t="s">
        <v>81</v>
      </c>
      <c r="Y259" s="104" t="s">
        <v>1519</v>
      </c>
      <c r="Z259" s="104" t="s">
        <v>81</v>
      </c>
      <c r="AA259" s="104">
        <v>0</v>
      </c>
      <c r="AB259" s="108" t="s">
        <v>78</v>
      </c>
      <c r="AC259" s="104">
        <v>0</v>
      </c>
      <c r="AD259" s="105" t="s">
        <v>78</v>
      </c>
      <c r="AE259" s="104">
        <v>0</v>
      </c>
      <c r="AF259" s="104" t="s">
        <v>78</v>
      </c>
      <c r="AG259" s="104">
        <v>0</v>
      </c>
      <c r="AH259" s="109" t="s">
        <v>81</v>
      </c>
      <c r="AI259" s="109" t="s">
        <v>78</v>
      </c>
      <c r="AJ259" s="109" t="s">
        <v>81</v>
      </c>
      <c r="AK259" s="109" t="s">
        <v>1423</v>
      </c>
      <c r="AL259" s="109" t="s">
        <v>132</v>
      </c>
      <c r="AM259" s="109" t="s">
        <v>81</v>
      </c>
      <c r="AN259" s="109" t="s">
        <v>81</v>
      </c>
      <c r="AO259" s="109" t="s">
        <v>78</v>
      </c>
      <c r="AP259" s="109" t="s">
        <v>81</v>
      </c>
      <c r="AQ259" s="109">
        <v>1</v>
      </c>
      <c r="AR259" s="109" t="s">
        <v>104</v>
      </c>
    </row>
    <row r="260" spans="1:44" ht="18" customHeight="1" x14ac:dyDescent="0.45">
      <c r="A260" s="104" t="s">
        <v>1520</v>
      </c>
      <c r="B260" s="126" t="s">
        <v>1513</v>
      </c>
      <c r="C260" s="105">
        <v>2019</v>
      </c>
      <c r="D260" s="105" t="s">
        <v>87</v>
      </c>
      <c r="E260" s="105" t="s">
        <v>78</v>
      </c>
      <c r="F260" s="105" t="s">
        <v>87</v>
      </c>
      <c r="G260" s="105" t="s">
        <v>87</v>
      </c>
      <c r="H260" s="105">
        <v>0</v>
      </c>
      <c r="I260" s="106" t="s">
        <v>115</v>
      </c>
      <c r="J260" s="104" t="s">
        <v>1521</v>
      </c>
      <c r="K260" s="104" t="s">
        <v>75</v>
      </c>
      <c r="L260" s="104" t="s">
        <v>126</v>
      </c>
      <c r="M260" s="104">
        <v>15042283</v>
      </c>
      <c r="N260" s="104">
        <v>10815639.312908491</v>
      </c>
      <c r="O260" s="104">
        <v>15042283</v>
      </c>
      <c r="P260" s="104">
        <v>0</v>
      </c>
      <c r="Q260" s="104">
        <v>0</v>
      </c>
      <c r="R260" s="104">
        <v>0</v>
      </c>
      <c r="S260" s="104">
        <v>0</v>
      </c>
      <c r="T260" s="104">
        <v>0</v>
      </c>
      <c r="U260" s="112">
        <v>0</v>
      </c>
      <c r="V260" s="104" t="s">
        <v>81</v>
      </c>
      <c r="W260" s="104" t="s">
        <v>78</v>
      </c>
      <c r="X260" s="104" t="s">
        <v>81</v>
      </c>
      <c r="Y260" s="104" t="s">
        <v>1522</v>
      </c>
      <c r="Z260" s="104" t="s">
        <v>81</v>
      </c>
      <c r="AA260" s="104">
        <v>0</v>
      </c>
      <c r="AB260" s="108" t="s">
        <v>78</v>
      </c>
      <c r="AC260" s="104">
        <v>0</v>
      </c>
      <c r="AD260" s="105" t="s">
        <v>78</v>
      </c>
      <c r="AE260" s="104">
        <v>0</v>
      </c>
      <c r="AF260" s="104" t="s">
        <v>78</v>
      </c>
      <c r="AG260" s="104">
        <v>0</v>
      </c>
      <c r="AH260" s="109" t="s">
        <v>81</v>
      </c>
      <c r="AI260" s="109" t="s">
        <v>78</v>
      </c>
      <c r="AJ260" s="109" t="s">
        <v>81</v>
      </c>
      <c r="AK260" s="109" t="s">
        <v>1423</v>
      </c>
      <c r="AL260" s="109" t="s">
        <v>1523</v>
      </c>
      <c r="AM260" s="109" t="s">
        <v>81</v>
      </c>
      <c r="AN260" s="109" t="s">
        <v>81</v>
      </c>
      <c r="AO260" s="109" t="s">
        <v>78</v>
      </c>
      <c r="AP260" s="109" t="s">
        <v>81</v>
      </c>
      <c r="AQ260" s="109">
        <v>1</v>
      </c>
      <c r="AR260" s="109" t="s">
        <v>126</v>
      </c>
    </row>
    <row r="261" spans="1:44" ht="18" customHeight="1" x14ac:dyDescent="0.45">
      <c r="A261" s="104" t="s">
        <v>1524</v>
      </c>
      <c r="B261" s="126" t="s">
        <v>1513</v>
      </c>
      <c r="C261" s="105">
        <v>2019</v>
      </c>
      <c r="D261" s="105" t="s">
        <v>297</v>
      </c>
      <c r="E261" s="105" t="s">
        <v>78</v>
      </c>
      <c r="F261" s="105" t="s">
        <v>566</v>
      </c>
      <c r="G261" s="105" t="s">
        <v>522</v>
      </c>
      <c r="H261" s="105">
        <v>0</v>
      </c>
      <c r="I261" s="106" t="s">
        <v>228</v>
      </c>
      <c r="J261" s="104" t="s">
        <v>1514</v>
      </c>
      <c r="K261" s="104" t="s">
        <v>75</v>
      </c>
      <c r="L261" s="104" t="s">
        <v>104</v>
      </c>
      <c r="M261" s="104">
        <v>2400000</v>
      </c>
      <c r="N261" s="104">
        <v>1976544.9993411517</v>
      </c>
      <c r="O261" s="104">
        <v>2748959.0196336801</v>
      </c>
      <c r="P261" s="104">
        <v>0</v>
      </c>
      <c r="Q261" s="104">
        <v>0</v>
      </c>
      <c r="R261" s="104">
        <v>0</v>
      </c>
      <c r="S261" s="104">
        <v>0</v>
      </c>
      <c r="T261" s="104">
        <v>0</v>
      </c>
      <c r="U261" s="112">
        <v>0</v>
      </c>
      <c r="V261" s="104" t="s">
        <v>75</v>
      </c>
      <c r="W261" s="104" t="s">
        <v>1525</v>
      </c>
      <c r="X261" s="104" t="s">
        <v>75</v>
      </c>
      <c r="Y261" s="104" t="s">
        <v>1516</v>
      </c>
      <c r="Z261" s="104" t="s">
        <v>81</v>
      </c>
      <c r="AA261" s="104">
        <v>0</v>
      </c>
      <c r="AB261" s="108" t="s">
        <v>78</v>
      </c>
      <c r="AC261" s="104">
        <v>0</v>
      </c>
      <c r="AD261" s="105" t="s">
        <v>78</v>
      </c>
      <c r="AE261" s="104">
        <v>0</v>
      </c>
      <c r="AF261" s="104" t="s">
        <v>78</v>
      </c>
      <c r="AG261" s="104">
        <v>0</v>
      </c>
      <c r="AH261" s="109" t="s">
        <v>81</v>
      </c>
      <c r="AI261" s="109" t="s">
        <v>78</v>
      </c>
      <c r="AJ261" s="109" t="s">
        <v>81</v>
      </c>
      <c r="AK261" s="109" t="s">
        <v>1423</v>
      </c>
      <c r="AL261" s="109" t="s">
        <v>397</v>
      </c>
      <c r="AM261" s="109" t="s">
        <v>81</v>
      </c>
      <c r="AN261" s="109" t="s">
        <v>81</v>
      </c>
      <c r="AO261" s="109" t="s">
        <v>78</v>
      </c>
      <c r="AP261" s="109" t="s">
        <v>81</v>
      </c>
      <c r="AQ261" s="109">
        <v>1</v>
      </c>
      <c r="AR261" s="109" t="s">
        <v>104</v>
      </c>
    </row>
    <row r="262" spans="1:44" ht="18" customHeight="1" x14ac:dyDescent="0.45">
      <c r="A262" s="104" t="s">
        <v>1526</v>
      </c>
      <c r="B262" s="126" t="s">
        <v>1527</v>
      </c>
      <c r="C262" s="105">
        <v>2019</v>
      </c>
      <c r="D262" s="105" t="s">
        <v>508</v>
      </c>
      <c r="E262" s="105" t="s">
        <v>78</v>
      </c>
      <c r="F262" s="105" t="s">
        <v>558</v>
      </c>
      <c r="G262" s="105" t="s">
        <v>520</v>
      </c>
      <c r="H262" s="105" t="s">
        <v>228</v>
      </c>
      <c r="I262" s="106" t="s">
        <v>228</v>
      </c>
      <c r="J262" s="104" t="s">
        <v>676</v>
      </c>
      <c r="K262" s="104" t="s">
        <v>81</v>
      </c>
      <c r="L262" s="104" t="s">
        <v>74</v>
      </c>
      <c r="M262" s="104">
        <v>8520000</v>
      </c>
      <c r="N262" s="104">
        <v>8520000</v>
      </c>
      <c r="O262" s="104">
        <v>11849530.799999999</v>
      </c>
      <c r="P262" s="104">
        <v>7990000</v>
      </c>
      <c r="Q262" s="104">
        <v>7990000</v>
      </c>
      <c r="R262" s="104">
        <v>11112412.1</v>
      </c>
      <c r="S262" s="104">
        <v>7990000</v>
      </c>
      <c r="T262" s="104">
        <v>7990000</v>
      </c>
      <c r="U262" s="112">
        <v>11112412.1</v>
      </c>
      <c r="V262" s="104" t="s">
        <v>75</v>
      </c>
      <c r="W262" s="104" t="s">
        <v>1528</v>
      </c>
      <c r="X262" s="104" t="s">
        <v>75</v>
      </c>
      <c r="Y262" s="104" t="s">
        <v>1529</v>
      </c>
      <c r="Z262" s="104" t="s">
        <v>81</v>
      </c>
      <c r="AA262" s="104">
        <v>0</v>
      </c>
      <c r="AB262" s="108" t="s">
        <v>78</v>
      </c>
      <c r="AC262" s="104">
        <v>0</v>
      </c>
      <c r="AD262" s="105" t="s">
        <v>78</v>
      </c>
      <c r="AE262" s="104">
        <v>0</v>
      </c>
      <c r="AF262" s="104" t="s">
        <v>78</v>
      </c>
      <c r="AG262" s="104">
        <v>0</v>
      </c>
      <c r="AH262" s="109" t="s">
        <v>75</v>
      </c>
      <c r="AI262" s="109" t="s">
        <v>1530</v>
      </c>
      <c r="AJ262" s="109" t="s">
        <v>75</v>
      </c>
      <c r="AK262" s="109" t="s">
        <v>1531</v>
      </c>
      <c r="AL262" s="109" t="s">
        <v>132</v>
      </c>
      <c r="AM262" s="109" t="s">
        <v>75</v>
      </c>
      <c r="AN262" s="109" t="s">
        <v>75</v>
      </c>
      <c r="AO262" s="109" t="s">
        <v>78</v>
      </c>
      <c r="AP262" s="109" t="s">
        <v>81</v>
      </c>
      <c r="AQ262" s="109">
        <v>1</v>
      </c>
      <c r="AR262" s="109" t="s">
        <v>74</v>
      </c>
    </row>
    <row r="263" spans="1:44" ht="18" customHeight="1" x14ac:dyDescent="0.45">
      <c r="A263" s="104" t="s">
        <v>1532</v>
      </c>
      <c r="B263" s="126" t="s">
        <v>1533</v>
      </c>
      <c r="C263" s="105">
        <v>2019</v>
      </c>
      <c r="D263" s="105" t="s">
        <v>509</v>
      </c>
      <c r="E263" s="105" t="s">
        <v>78</v>
      </c>
      <c r="F263" s="105" t="s">
        <v>560</v>
      </c>
      <c r="G263" s="105" t="s">
        <v>522</v>
      </c>
      <c r="H263" s="105" t="s">
        <v>587</v>
      </c>
      <c r="I263" s="106" t="s">
        <v>256</v>
      </c>
      <c r="J263" s="104" t="s">
        <v>676</v>
      </c>
      <c r="K263" s="104" t="s">
        <v>75</v>
      </c>
      <c r="L263" s="104" t="s">
        <v>74</v>
      </c>
      <c r="M263" s="104">
        <v>9589000</v>
      </c>
      <c r="N263" s="104">
        <v>9589000</v>
      </c>
      <c r="O263" s="104">
        <v>13336285.310000001</v>
      </c>
      <c r="P263" s="104">
        <v>8627000</v>
      </c>
      <c r="Q263" s="104">
        <v>8627000</v>
      </c>
      <c r="R263" s="104">
        <v>11998345.33</v>
      </c>
      <c r="S263" s="104">
        <v>0</v>
      </c>
      <c r="T263" s="104">
        <v>0</v>
      </c>
      <c r="U263" s="112">
        <v>0</v>
      </c>
      <c r="V263" s="104" t="s">
        <v>75</v>
      </c>
      <c r="W263" s="104" t="s">
        <v>1534</v>
      </c>
      <c r="X263" s="104" t="s">
        <v>75</v>
      </c>
      <c r="Y263" s="104" t="s">
        <v>1535</v>
      </c>
      <c r="Z263" s="104" t="s">
        <v>75</v>
      </c>
      <c r="AA263" s="104">
        <v>999</v>
      </c>
      <c r="AB263" s="108" t="s">
        <v>1536</v>
      </c>
      <c r="AC263" s="104">
        <v>999</v>
      </c>
      <c r="AD263" s="105" t="s">
        <v>1537</v>
      </c>
      <c r="AE263" s="104">
        <v>999</v>
      </c>
      <c r="AF263" s="104" t="s">
        <v>1538</v>
      </c>
      <c r="AG263" s="104">
        <v>3</v>
      </c>
      <c r="AH263" s="109" t="s">
        <v>75</v>
      </c>
      <c r="AI263" s="109" t="s">
        <v>1539</v>
      </c>
      <c r="AJ263" s="109" t="s">
        <v>75</v>
      </c>
      <c r="AK263" s="109" t="s">
        <v>1540</v>
      </c>
      <c r="AL263" s="109" t="s">
        <v>121</v>
      </c>
      <c r="AM263" s="109" t="s">
        <v>75</v>
      </c>
      <c r="AN263" s="109" t="s">
        <v>75</v>
      </c>
      <c r="AO263" s="109" t="s">
        <v>78</v>
      </c>
      <c r="AP263" s="109" t="s">
        <v>75</v>
      </c>
      <c r="AQ263" s="109">
        <v>1</v>
      </c>
      <c r="AR263" s="109" t="s">
        <v>74</v>
      </c>
    </row>
    <row r="264" spans="1:44" ht="18" customHeight="1" x14ac:dyDescent="0.45">
      <c r="A264" s="104" t="s">
        <v>1541</v>
      </c>
      <c r="B264" s="126" t="s">
        <v>1542</v>
      </c>
      <c r="C264" s="105">
        <v>2019</v>
      </c>
      <c r="D264" s="105" t="s">
        <v>484</v>
      </c>
      <c r="E264" s="105" t="s">
        <v>78</v>
      </c>
      <c r="F264" s="105" t="s">
        <v>525</v>
      </c>
      <c r="G264" s="105" t="s">
        <v>520</v>
      </c>
      <c r="H264" s="105" t="s">
        <v>228</v>
      </c>
      <c r="I264" s="106" t="s">
        <v>228</v>
      </c>
      <c r="J264" s="104" t="s">
        <v>679</v>
      </c>
      <c r="K264" s="104" t="s">
        <v>81</v>
      </c>
      <c r="L264" s="104" t="s">
        <v>74</v>
      </c>
      <c r="M264" s="104">
        <v>39770000</v>
      </c>
      <c r="N264" s="104">
        <v>39770000</v>
      </c>
      <c r="O264" s="104">
        <v>55311718.299999997</v>
      </c>
      <c r="P264" s="104">
        <v>26052504</v>
      </c>
      <c r="Q264" s="104">
        <v>26052504</v>
      </c>
      <c r="R264" s="104">
        <v>36233562.038159996</v>
      </c>
      <c r="S264" s="104">
        <v>26052504</v>
      </c>
      <c r="T264" s="104">
        <v>26052504</v>
      </c>
      <c r="U264" s="112">
        <v>36233562.038159996</v>
      </c>
      <c r="V264" s="104" t="s">
        <v>75</v>
      </c>
      <c r="W264" s="104" t="s">
        <v>1543</v>
      </c>
      <c r="X264" s="104" t="s">
        <v>75</v>
      </c>
      <c r="Y264" s="104" t="s">
        <v>1544</v>
      </c>
      <c r="Z264" s="104" t="s">
        <v>75</v>
      </c>
      <c r="AA264" s="104">
        <v>0</v>
      </c>
      <c r="AB264" s="108" t="s">
        <v>78</v>
      </c>
      <c r="AC264" s="104">
        <v>0</v>
      </c>
      <c r="AD264" s="105" t="s">
        <v>78</v>
      </c>
      <c r="AE264" s="104">
        <v>999</v>
      </c>
      <c r="AF264" s="104" t="s">
        <v>1545</v>
      </c>
      <c r="AG264" s="104">
        <v>1</v>
      </c>
      <c r="AH264" s="109" t="s">
        <v>75</v>
      </c>
      <c r="AI264" s="109" t="s">
        <v>1546</v>
      </c>
      <c r="AJ264" s="109" t="s">
        <v>75</v>
      </c>
      <c r="AK264" s="109" t="s">
        <v>1547</v>
      </c>
      <c r="AL264" s="109" t="s">
        <v>121</v>
      </c>
      <c r="AM264" s="109" t="s">
        <v>75</v>
      </c>
      <c r="AN264" s="109" t="s">
        <v>81</v>
      </c>
      <c r="AO264" s="109" t="s">
        <v>78</v>
      </c>
      <c r="AP264" s="109" t="s">
        <v>81</v>
      </c>
      <c r="AQ264" s="109">
        <v>1</v>
      </c>
      <c r="AR264" s="109" t="s">
        <v>74</v>
      </c>
    </row>
    <row r="265" spans="1:44" ht="18" customHeight="1" x14ac:dyDescent="0.45">
      <c r="A265" s="104" t="s">
        <v>1548</v>
      </c>
      <c r="B265" s="126" t="s">
        <v>1549</v>
      </c>
      <c r="C265" s="105">
        <v>2019</v>
      </c>
      <c r="D265" s="105" t="s">
        <v>353</v>
      </c>
      <c r="E265" s="105" t="s">
        <v>78</v>
      </c>
      <c r="F265" s="105" t="s">
        <v>78</v>
      </c>
      <c r="G265" s="105" t="s">
        <v>519</v>
      </c>
      <c r="H265" s="105" t="s">
        <v>228</v>
      </c>
      <c r="I265" s="106" t="s">
        <v>228</v>
      </c>
      <c r="J265" s="104" t="s">
        <v>676</v>
      </c>
      <c r="K265" s="104" t="s">
        <v>75</v>
      </c>
      <c r="L265" s="104" t="s">
        <v>126</v>
      </c>
      <c r="M265" s="104">
        <v>1000000</v>
      </c>
      <c r="N265" s="104">
        <v>719015.81115768733</v>
      </c>
      <c r="O265" s="104">
        <v>1000000</v>
      </c>
      <c r="P265" s="104">
        <v>727051</v>
      </c>
      <c r="Q265" s="104">
        <v>727051</v>
      </c>
      <c r="R265" s="104">
        <v>1011175.26029</v>
      </c>
      <c r="S265" s="104">
        <v>0</v>
      </c>
      <c r="T265" s="104">
        <v>0</v>
      </c>
      <c r="U265" s="112">
        <v>0</v>
      </c>
      <c r="V265" s="104" t="s">
        <v>75</v>
      </c>
      <c r="W265" s="104" t="s">
        <v>1550</v>
      </c>
      <c r="X265" s="104" t="s">
        <v>75</v>
      </c>
      <c r="Y265" s="104" t="s">
        <v>1551</v>
      </c>
      <c r="Z265" s="104" t="s">
        <v>75</v>
      </c>
      <c r="AA265" s="104">
        <v>0</v>
      </c>
      <c r="AB265" s="108" t="s">
        <v>78</v>
      </c>
      <c r="AC265" s="104">
        <v>999</v>
      </c>
      <c r="AD265" s="105" t="s">
        <v>1552</v>
      </c>
      <c r="AE265" s="104">
        <v>999</v>
      </c>
      <c r="AF265" s="104" t="s">
        <v>1553</v>
      </c>
      <c r="AG265" s="104">
        <v>2</v>
      </c>
      <c r="AH265" s="109" t="s">
        <v>81</v>
      </c>
      <c r="AI265" s="109" t="s">
        <v>78</v>
      </c>
      <c r="AJ265" s="109" t="s">
        <v>75</v>
      </c>
      <c r="AK265" s="109" t="s">
        <v>1554</v>
      </c>
      <c r="AL265" s="109" t="s">
        <v>121</v>
      </c>
      <c r="AM265" s="109" t="s">
        <v>75</v>
      </c>
      <c r="AN265" s="109" t="s">
        <v>81</v>
      </c>
      <c r="AO265" s="109" t="s">
        <v>78</v>
      </c>
      <c r="AP265" s="109" t="s">
        <v>75</v>
      </c>
      <c r="AQ265" s="109">
        <v>1</v>
      </c>
      <c r="AR265" s="109" t="s">
        <v>126</v>
      </c>
    </row>
    <row r="266" spans="1:44" ht="18" customHeight="1" x14ac:dyDescent="0.45">
      <c r="A266" s="104" t="s">
        <v>1555</v>
      </c>
      <c r="B266" s="126" t="s">
        <v>1556</v>
      </c>
      <c r="C266" s="105">
        <v>2019</v>
      </c>
      <c r="D266" s="105" t="s">
        <v>124</v>
      </c>
      <c r="E266" s="105" t="s">
        <v>78</v>
      </c>
      <c r="F266" s="105" t="s">
        <v>550</v>
      </c>
      <c r="G266" s="105" t="s">
        <v>519</v>
      </c>
      <c r="H266" s="105" t="s">
        <v>585</v>
      </c>
      <c r="I266" s="106" t="s">
        <v>228</v>
      </c>
      <c r="J266" s="104" t="s">
        <v>1557</v>
      </c>
      <c r="K266" s="104" t="s">
        <v>81</v>
      </c>
      <c r="L266" s="104" t="s">
        <v>126</v>
      </c>
      <c r="M266" s="104">
        <v>20000000</v>
      </c>
      <c r="N266" s="104">
        <v>14380316.223153748</v>
      </c>
      <c r="O266" s="104">
        <v>20000000</v>
      </c>
      <c r="P266" s="104">
        <v>14616250</v>
      </c>
      <c r="Q266" s="104">
        <v>14616250</v>
      </c>
      <c r="R266" s="104">
        <v>20328134.337499999</v>
      </c>
      <c r="S266" s="104">
        <v>14616250</v>
      </c>
      <c r="T266" s="104">
        <v>14616250</v>
      </c>
      <c r="U266" s="112">
        <v>20328134.337499999</v>
      </c>
      <c r="V266" s="104" t="s">
        <v>81</v>
      </c>
      <c r="W266" s="104" t="s">
        <v>78</v>
      </c>
      <c r="X266" s="104" t="s">
        <v>81</v>
      </c>
      <c r="Y266" s="104" t="s">
        <v>1558</v>
      </c>
      <c r="Z266" s="104" t="s">
        <v>81</v>
      </c>
      <c r="AA266" s="104">
        <v>0</v>
      </c>
      <c r="AB266" s="108" t="s">
        <v>78</v>
      </c>
      <c r="AC266" s="104">
        <v>0</v>
      </c>
      <c r="AD266" s="105" t="s">
        <v>78</v>
      </c>
      <c r="AE266" s="104">
        <v>0</v>
      </c>
      <c r="AF266" s="104" t="s">
        <v>78</v>
      </c>
      <c r="AG266" s="104">
        <v>0</v>
      </c>
      <c r="AH266" s="109" t="s">
        <v>81</v>
      </c>
      <c r="AI266" s="109" t="s">
        <v>78</v>
      </c>
      <c r="AJ266" s="109" t="s">
        <v>81</v>
      </c>
      <c r="AK266" s="109" t="s">
        <v>1423</v>
      </c>
      <c r="AL266" s="109" t="s">
        <v>397</v>
      </c>
      <c r="AM266" s="109" t="s">
        <v>75</v>
      </c>
      <c r="AN266" s="109" t="s">
        <v>81</v>
      </c>
      <c r="AO266" s="109" t="s">
        <v>78</v>
      </c>
      <c r="AP266" s="109" t="s">
        <v>81</v>
      </c>
      <c r="AQ266" s="109">
        <v>1</v>
      </c>
      <c r="AR266" s="109" t="s">
        <v>126</v>
      </c>
    </row>
    <row r="267" spans="1:44" ht="18" customHeight="1" x14ac:dyDescent="0.45">
      <c r="A267" s="104" t="s">
        <v>1559</v>
      </c>
      <c r="B267" s="127" t="s">
        <v>1560</v>
      </c>
      <c r="C267" s="105">
        <v>2019</v>
      </c>
      <c r="D267" s="105" t="s">
        <v>179</v>
      </c>
      <c r="E267" s="105" t="s">
        <v>78</v>
      </c>
      <c r="F267" s="105" t="s">
        <v>561</v>
      </c>
      <c r="G267" s="105" t="s">
        <v>522</v>
      </c>
      <c r="H267" s="105" t="s">
        <v>115</v>
      </c>
      <c r="I267" s="106" t="s">
        <v>115</v>
      </c>
      <c r="J267" s="104" t="s">
        <v>676</v>
      </c>
      <c r="K267" s="104" t="s">
        <v>81</v>
      </c>
      <c r="L267" s="104" t="s">
        <v>74</v>
      </c>
      <c r="M267" s="104">
        <v>13350000</v>
      </c>
      <c r="N267" s="104">
        <v>13350000</v>
      </c>
      <c r="O267" s="104">
        <v>18567046.5</v>
      </c>
      <c r="P267" s="104">
        <v>12850000</v>
      </c>
      <c r="Q267" s="104">
        <v>12850000</v>
      </c>
      <c r="R267" s="104">
        <v>17871651.5</v>
      </c>
      <c r="S267" s="104">
        <v>12850000</v>
      </c>
      <c r="T267" s="104">
        <v>12850000</v>
      </c>
      <c r="U267" s="112">
        <v>17871651.5</v>
      </c>
      <c r="V267" s="104" t="s">
        <v>75</v>
      </c>
      <c r="W267" s="104" t="s">
        <v>1561</v>
      </c>
      <c r="X267" s="104" t="s">
        <v>81</v>
      </c>
      <c r="Y267" s="104" t="s">
        <v>1562</v>
      </c>
      <c r="Z267" s="104" t="s">
        <v>81</v>
      </c>
      <c r="AA267" s="104">
        <v>0</v>
      </c>
      <c r="AB267" s="108" t="s">
        <v>78</v>
      </c>
      <c r="AC267" s="104">
        <v>0</v>
      </c>
      <c r="AD267" s="105" t="s">
        <v>78</v>
      </c>
      <c r="AE267" s="104">
        <v>0</v>
      </c>
      <c r="AF267" s="104" t="s">
        <v>78</v>
      </c>
      <c r="AG267" s="104">
        <v>0</v>
      </c>
      <c r="AH267" s="109" t="s">
        <v>81</v>
      </c>
      <c r="AI267" s="109" t="s">
        <v>78</v>
      </c>
      <c r="AJ267" s="109" t="s">
        <v>81</v>
      </c>
      <c r="AK267" s="109" t="s">
        <v>1423</v>
      </c>
      <c r="AL267" s="109" t="s">
        <v>1147</v>
      </c>
      <c r="AM267" s="109" t="s">
        <v>75</v>
      </c>
      <c r="AN267" s="109" t="s">
        <v>75</v>
      </c>
      <c r="AO267" s="109" t="s">
        <v>78</v>
      </c>
      <c r="AP267" s="109" t="s">
        <v>81</v>
      </c>
      <c r="AQ267" s="109">
        <v>1</v>
      </c>
      <c r="AR267" s="109" t="s">
        <v>74</v>
      </c>
    </row>
    <row r="268" spans="1:44" ht="18" customHeight="1" x14ac:dyDescent="0.45">
      <c r="A268" s="104" t="s">
        <v>1563</v>
      </c>
      <c r="B268" s="126" t="s">
        <v>1564</v>
      </c>
      <c r="C268" s="105">
        <v>2019</v>
      </c>
      <c r="D268" s="105" t="s">
        <v>481</v>
      </c>
      <c r="E268" s="105" t="s">
        <v>78</v>
      </c>
      <c r="F268" s="105" t="s">
        <v>524</v>
      </c>
      <c r="G268" s="105" t="s">
        <v>519</v>
      </c>
      <c r="H268" s="105" t="s">
        <v>593</v>
      </c>
      <c r="I268" s="106" t="s">
        <v>101</v>
      </c>
      <c r="J268" s="104" t="s">
        <v>1565</v>
      </c>
      <c r="K268" s="104" t="s">
        <v>75</v>
      </c>
      <c r="L268" s="104" t="s">
        <v>126</v>
      </c>
      <c r="M268" s="104">
        <v>4416210</v>
      </c>
      <c r="N268" s="104">
        <v>3175324.8153926907</v>
      </c>
      <c r="O268" s="104">
        <v>4416210</v>
      </c>
      <c r="P268" s="104">
        <v>3227422</v>
      </c>
      <c r="Q268" s="104">
        <v>3227422</v>
      </c>
      <c r="R268" s="104">
        <v>4488666.2433799999</v>
      </c>
      <c r="S268" s="104">
        <v>0</v>
      </c>
      <c r="T268" s="104">
        <v>0</v>
      </c>
      <c r="U268" s="112">
        <v>0</v>
      </c>
      <c r="V268" s="104" t="s">
        <v>81</v>
      </c>
      <c r="W268" s="104" t="s">
        <v>78</v>
      </c>
      <c r="X268" s="104" t="s">
        <v>81</v>
      </c>
      <c r="Y268" s="104" t="s">
        <v>1566</v>
      </c>
      <c r="Z268" s="104" t="s">
        <v>81</v>
      </c>
      <c r="AA268" s="104">
        <v>0</v>
      </c>
      <c r="AB268" s="108" t="s">
        <v>78</v>
      </c>
      <c r="AC268" s="104">
        <v>0</v>
      </c>
      <c r="AD268" s="105" t="s">
        <v>78</v>
      </c>
      <c r="AE268" s="104">
        <v>0</v>
      </c>
      <c r="AF268" s="104" t="s">
        <v>78</v>
      </c>
      <c r="AG268" s="104">
        <v>0</v>
      </c>
      <c r="AH268" s="109" t="s">
        <v>81</v>
      </c>
      <c r="AI268" s="109" t="s">
        <v>78</v>
      </c>
      <c r="AJ268" s="109" t="s">
        <v>81</v>
      </c>
      <c r="AK268" s="109" t="s">
        <v>1423</v>
      </c>
      <c r="AL268" s="109" t="s">
        <v>1174</v>
      </c>
      <c r="AM268" s="109" t="s">
        <v>75</v>
      </c>
      <c r="AN268" s="109" t="s">
        <v>81</v>
      </c>
      <c r="AO268" s="109" t="s">
        <v>78</v>
      </c>
      <c r="AP268" s="109" t="s">
        <v>81</v>
      </c>
      <c r="AQ268" s="109">
        <v>1</v>
      </c>
      <c r="AR268" s="109" t="s">
        <v>126</v>
      </c>
    </row>
    <row r="269" spans="1:44" ht="18" customHeight="1" x14ac:dyDescent="0.45">
      <c r="A269" s="104" t="s">
        <v>1567</v>
      </c>
      <c r="B269" s="126" t="s">
        <v>1568</v>
      </c>
      <c r="C269" s="105">
        <v>2019</v>
      </c>
      <c r="D269" s="105" t="s">
        <v>371</v>
      </c>
      <c r="E269" s="105" t="s">
        <v>78</v>
      </c>
      <c r="F269" s="105" t="s">
        <v>542</v>
      </c>
      <c r="G269" s="105" t="s">
        <v>520</v>
      </c>
      <c r="H269" s="105" t="s">
        <v>228</v>
      </c>
      <c r="I269" s="106" t="s">
        <v>228</v>
      </c>
      <c r="J269" s="104" t="s">
        <v>679</v>
      </c>
      <c r="K269" s="104" t="s">
        <v>81</v>
      </c>
      <c r="L269" s="104" t="s">
        <v>74</v>
      </c>
      <c r="M269" s="104">
        <v>10620000</v>
      </c>
      <c r="N269" s="104">
        <v>10620000</v>
      </c>
      <c r="O269" s="104">
        <v>14770189.799999999</v>
      </c>
      <c r="P269" s="104">
        <v>9560000</v>
      </c>
      <c r="Q269" s="104">
        <v>9560000</v>
      </c>
      <c r="R269" s="104">
        <v>13295952.4</v>
      </c>
      <c r="S269" s="104">
        <v>1060000</v>
      </c>
      <c r="T269" s="104">
        <v>1060000</v>
      </c>
      <c r="U269" s="112">
        <v>1474237.4</v>
      </c>
      <c r="V269" s="104" t="s">
        <v>75</v>
      </c>
      <c r="W269" s="104" t="s">
        <v>1569</v>
      </c>
      <c r="X269" s="104" t="s">
        <v>75</v>
      </c>
      <c r="Y269" s="104" t="s">
        <v>1570</v>
      </c>
      <c r="Z269" s="104" t="s">
        <v>81</v>
      </c>
      <c r="AA269" s="104">
        <v>0</v>
      </c>
      <c r="AB269" s="108" t="s">
        <v>78</v>
      </c>
      <c r="AC269" s="104">
        <v>0</v>
      </c>
      <c r="AD269" s="105" t="s">
        <v>78</v>
      </c>
      <c r="AE269" s="104">
        <v>0</v>
      </c>
      <c r="AF269" s="104" t="s">
        <v>78</v>
      </c>
      <c r="AG269" s="104">
        <v>0</v>
      </c>
      <c r="AH269" s="109" t="s">
        <v>81</v>
      </c>
      <c r="AI269" s="109" t="s">
        <v>78</v>
      </c>
      <c r="AJ269" s="109" t="s">
        <v>81</v>
      </c>
      <c r="AK269" s="109" t="s">
        <v>1423</v>
      </c>
      <c r="AL269" s="109" t="s">
        <v>121</v>
      </c>
      <c r="AM269" s="109" t="s">
        <v>81</v>
      </c>
      <c r="AN269" s="109" t="s">
        <v>81</v>
      </c>
      <c r="AO269" s="109" t="s">
        <v>78</v>
      </c>
      <c r="AP269" s="109" t="s">
        <v>81</v>
      </c>
      <c r="AQ269" s="109">
        <v>1</v>
      </c>
      <c r="AR269" s="109" t="s">
        <v>74</v>
      </c>
    </row>
    <row r="270" spans="1:44" ht="18" customHeight="1" x14ac:dyDescent="0.45">
      <c r="A270" s="104" t="s">
        <v>1571</v>
      </c>
      <c r="B270" s="126" t="s">
        <v>1572</v>
      </c>
      <c r="C270" s="105">
        <v>2019</v>
      </c>
      <c r="D270" s="105" t="s">
        <v>481</v>
      </c>
      <c r="E270" s="105" t="s">
        <v>78</v>
      </c>
      <c r="F270" s="105" t="s">
        <v>524</v>
      </c>
      <c r="G270" s="105" t="s">
        <v>519</v>
      </c>
      <c r="H270" s="105" t="s">
        <v>228</v>
      </c>
      <c r="I270" s="106" t="s">
        <v>228</v>
      </c>
      <c r="J270" s="104" t="s">
        <v>676</v>
      </c>
      <c r="K270" s="104" t="s">
        <v>75</v>
      </c>
      <c r="L270" s="104" t="s">
        <v>126</v>
      </c>
      <c r="M270" s="104">
        <v>1000000</v>
      </c>
      <c r="N270" s="104">
        <v>719015.81115768733</v>
      </c>
      <c r="O270" s="104">
        <v>1000000</v>
      </c>
      <c r="P270" s="104">
        <v>719015.8112</v>
      </c>
      <c r="Q270" s="104">
        <v>719015.8112</v>
      </c>
      <c r="R270" s="104">
        <v>1000000.0000588479</v>
      </c>
      <c r="S270" s="104">
        <v>0</v>
      </c>
      <c r="T270" s="104">
        <v>0</v>
      </c>
      <c r="U270" s="112">
        <v>0</v>
      </c>
      <c r="V270" s="104" t="s">
        <v>75</v>
      </c>
      <c r="W270" s="104" t="s">
        <v>1573</v>
      </c>
      <c r="X270" s="104" t="s">
        <v>75</v>
      </c>
      <c r="Y270" s="104" t="s">
        <v>1574</v>
      </c>
      <c r="Z270" s="104" t="s">
        <v>75</v>
      </c>
      <c r="AA270" s="104">
        <v>999</v>
      </c>
      <c r="AB270" s="108" t="s">
        <v>1575</v>
      </c>
      <c r="AC270" s="104">
        <v>999</v>
      </c>
      <c r="AD270" s="105" t="s">
        <v>1576</v>
      </c>
      <c r="AE270" s="104">
        <v>999</v>
      </c>
      <c r="AF270" s="104" t="s">
        <v>1577</v>
      </c>
      <c r="AG270" s="104">
        <v>3</v>
      </c>
      <c r="AH270" s="109" t="s">
        <v>75</v>
      </c>
      <c r="AI270" s="109" t="s">
        <v>1578</v>
      </c>
      <c r="AJ270" s="109" t="s">
        <v>75</v>
      </c>
      <c r="AK270" s="109" t="s">
        <v>1579</v>
      </c>
      <c r="AL270" s="109" t="s">
        <v>132</v>
      </c>
      <c r="AM270" s="109" t="s">
        <v>75</v>
      </c>
      <c r="AN270" s="109" t="s">
        <v>75</v>
      </c>
      <c r="AO270" s="109" t="s">
        <v>78</v>
      </c>
      <c r="AP270" s="109" t="s">
        <v>75</v>
      </c>
      <c r="AQ270" s="109">
        <v>1</v>
      </c>
      <c r="AR270" s="109" t="s">
        <v>126</v>
      </c>
    </row>
    <row r="271" spans="1:44" ht="18" customHeight="1" x14ac:dyDescent="0.45">
      <c r="A271" s="104" t="s">
        <v>1580</v>
      </c>
      <c r="B271" s="126" t="s">
        <v>1581</v>
      </c>
      <c r="C271" s="105">
        <v>2019</v>
      </c>
      <c r="D271" s="105" t="s">
        <v>482</v>
      </c>
      <c r="E271" s="105" t="s">
        <v>78</v>
      </c>
      <c r="F271" s="105" t="s">
        <v>527</v>
      </c>
      <c r="G271" s="105" t="s">
        <v>520</v>
      </c>
      <c r="H271" s="105" t="s">
        <v>592</v>
      </c>
      <c r="I271" s="106" t="s">
        <v>256</v>
      </c>
      <c r="J271" s="104" t="s">
        <v>679</v>
      </c>
      <c r="K271" s="104" t="s">
        <v>81</v>
      </c>
      <c r="L271" s="104" t="s">
        <v>104</v>
      </c>
      <c r="M271" s="104">
        <v>50000000</v>
      </c>
      <c r="N271" s="104">
        <v>41178020.819607325</v>
      </c>
      <c r="O271" s="104">
        <v>57269979.575701669</v>
      </c>
      <c r="P271" s="104">
        <v>49109191.469999999</v>
      </c>
      <c r="Q271" s="104">
        <v>49109191.469999999</v>
      </c>
      <c r="R271" s="104">
        <v>68300572.404561296</v>
      </c>
      <c r="S271" s="104">
        <v>49109191.469999999</v>
      </c>
      <c r="T271" s="104">
        <v>49109191.469999999</v>
      </c>
      <c r="U271" s="112">
        <v>68300572.404561296</v>
      </c>
      <c r="V271" s="104" t="s">
        <v>75</v>
      </c>
      <c r="W271" s="104" t="s">
        <v>1582</v>
      </c>
      <c r="X271" s="104" t="s">
        <v>75</v>
      </c>
      <c r="Y271" s="104" t="s">
        <v>1583</v>
      </c>
      <c r="Z271" s="104" t="s">
        <v>75</v>
      </c>
      <c r="AA271" s="104">
        <v>0</v>
      </c>
      <c r="AB271" s="108" t="s">
        <v>78</v>
      </c>
      <c r="AC271" s="104">
        <v>0</v>
      </c>
      <c r="AD271" s="105" t="s">
        <v>78</v>
      </c>
      <c r="AE271" s="104">
        <v>999</v>
      </c>
      <c r="AF271" s="104" t="s">
        <v>1584</v>
      </c>
      <c r="AG271" s="104">
        <v>1</v>
      </c>
      <c r="AH271" s="109" t="s">
        <v>81</v>
      </c>
      <c r="AI271" s="109" t="s">
        <v>78</v>
      </c>
      <c r="AJ271" s="109" t="s">
        <v>75</v>
      </c>
      <c r="AK271" s="109" t="s">
        <v>1585</v>
      </c>
      <c r="AL271" s="109" t="s">
        <v>121</v>
      </c>
      <c r="AM271" s="109" t="s">
        <v>75</v>
      </c>
      <c r="AN271" s="109" t="s">
        <v>75</v>
      </c>
      <c r="AO271" s="109" t="s">
        <v>78</v>
      </c>
      <c r="AP271" s="109" t="s">
        <v>81</v>
      </c>
      <c r="AQ271" s="109">
        <v>1</v>
      </c>
      <c r="AR271" s="109" t="s">
        <v>104</v>
      </c>
    </row>
    <row r="272" spans="1:44" ht="18" customHeight="1" x14ac:dyDescent="0.45">
      <c r="A272" s="104" t="s">
        <v>1586</v>
      </c>
      <c r="B272" s="126" t="s">
        <v>1587</v>
      </c>
      <c r="C272" s="105">
        <v>2019</v>
      </c>
      <c r="D272" s="105" t="s">
        <v>496</v>
      </c>
      <c r="E272" s="105" t="s">
        <v>78</v>
      </c>
      <c r="F272" s="105" t="s">
        <v>535</v>
      </c>
      <c r="G272" s="105" t="s">
        <v>522</v>
      </c>
      <c r="H272" s="105" t="s">
        <v>589</v>
      </c>
      <c r="I272" s="106" t="s">
        <v>256</v>
      </c>
      <c r="J272" s="104" t="s">
        <v>679</v>
      </c>
      <c r="K272" s="104" t="s">
        <v>75</v>
      </c>
      <c r="L272" s="104" t="s">
        <v>74</v>
      </c>
      <c r="M272" s="104">
        <v>978540</v>
      </c>
      <c r="N272" s="104">
        <v>978540</v>
      </c>
      <c r="O272" s="104">
        <v>1360943.6465999999</v>
      </c>
      <c r="P272" s="104">
        <v>511573</v>
      </c>
      <c r="Q272" s="104">
        <v>511573</v>
      </c>
      <c r="R272" s="104">
        <v>711490.61266999994</v>
      </c>
      <c r="S272" s="104">
        <v>0</v>
      </c>
      <c r="T272" s="104">
        <v>0</v>
      </c>
      <c r="U272" s="112">
        <v>0</v>
      </c>
      <c r="V272" s="104" t="s">
        <v>75</v>
      </c>
      <c r="W272" s="104" t="s">
        <v>1588</v>
      </c>
      <c r="X272" s="104" t="s">
        <v>75</v>
      </c>
      <c r="Y272" s="104" t="s">
        <v>1589</v>
      </c>
      <c r="Z272" s="104" t="s">
        <v>75</v>
      </c>
      <c r="AA272" s="104">
        <v>999</v>
      </c>
      <c r="AB272" s="108" t="s">
        <v>1590</v>
      </c>
      <c r="AC272" s="104">
        <v>0</v>
      </c>
      <c r="AD272" s="105" t="s">
        <v>78</v>
      </c>
      <c r="AE272" s="104">
        <v>0</v>
      </c>
      <c r="AF272" s="104" t="s">
        <v>78</v>
      </c>
      <c r="AG272" s="104">
        <v>1</v>
      </c>
      <c r="AH272" s="109" t="s">
        <v>81</v>
      </c>
      <c r="AI272" s="109" t="s">
        <v>78</v>
      </c>
      <c r="AJ272" s="109" t="s">
        <v>75</v>
      </c>
      <c r="AK272" s="109" t="s">
        <v>1591</v>
      </c>
      <c r="AL272" s="109" t="s">
        <v>121</v>
      </c>
      <c r="AM272" s="109" t="s">
        <v>81</v>
      </c>
      <c r="AN272" s="109" t="s">
        <v>81</v>
      </c>
      <c r="AO272" s="109" t="s">
        <v>78</v>
      </c>
      <c r="AP272" s="109" t="s">
        <v>75</v>
      </c>
      <c r="AQ272" s="109">
        <v>1</v>
      </c>
      <c r="AR272" s="109" t="s">
        <v>74</v>
      </c>
    </row>
    <row r="273" spans="1:44" ht="18" customHeight="1" x14ac:dyDescent="0.45">
      <c r="A273" s="104" t="s">
        <v>1592</v>
      </c>
      <c r="B273" s="126" t="s">
        <v>1593</v>
      </c>
      <c r="C273" s="105">
        <v>2019</v>
      </c>
      <c r="D273" s="105" t="s">
        <v>498</v>
      </c>
      <c r="E273" s="105" t="s">
        <v>78</v>
      </c>
      <c r="F273" s="105" t="s">
        <v>540</v>
      </c>
      <c r="G273" s="105" t="s">
        <v>520</v>
      </c>
      <c r="H273" s="105" t="s">
        <v>228</v>
      </c>
      <c r="I273" s="106" t="s">
        <v>228</v>
      </c>
      <c r="J273" s="104" t="s">
        <v>679</v>
      </c>
      <c r="K273" s="104" t="s">
        <v>81</v>
      </c>
      <c r="L273" s="104" t="s">
        <v>74</v>
      </c>
      <c r="M273" s="104">
        <v>12040000</v>
      </c>
      <c r="N273" s="104">
        <v>12040000</v>
      </c>
      <c r="O273" s="104">
        <v>16745111.6</v>
      </c>
      <c r="P273" s="104">
        <v>9620000</v>
      </c>
      <c r="Q273" s="104">
        <v>9620000</v>
      </c>
      <c r="R273" s="104">
        <v>13379399.799999999</v>
      </c>
      <c r="S273" s="104">
        <v>5930000</v>
      </c>
      <c r="T273" s="104">
        <v>5930000</v>
      </c>
      <c r="U273" s="112">
        <v>8247384.7000000002</v>
      </c>
      <c r="V273" s="104" t="s">
        <v>75</v>
      </c>
      <c r="W273" s="104" t="s">
        <v>1594</v>
      </c>
      <c r="X273" s="104" t="s">
        <v>75</v>
      </c>
      <c r="Y273" s="104" t="s">
        <v>1595</v>
      </c>
      <c r="Z273" s="104" t="s">
        <v>75</v>
      </c>
      <c r="AA273" s="104">
        <v>999</v>
      </c>
      <c r="AB273" s="108" t="s">
        <v>1596</v>
      </c>
      <c r="AC273" s="104">
        <v>0</v>
      </c>
      <c r="AD273" s="105" t="s">
        <v>78</v>
      </c>
      <c r="AE273" s="104">
        <v>999</v>
      </c>
      <c r="AF273" s="104" t="s">
        <v>1597</v>
      </c>
      <c r="AG273" s="104">
        <v>2</v>
      </c>
      <c r="AH273" s="109" t="s">
        <v>75</v>
      </c>
      <c r="AI273" s="109" t="s">
        <v>1598</v>
      </c>
      <c r="AJ273" s="109" t="s">
        <v>75</v>
      </c>
      <c r="AK273" s="109" t="s">
        <v>1599</v>
      </c>
      <c r="AL273" s="109" t="s">
        <v>121</v>
      </c>
      <c r="AM273" s="109" t="s">
        <v>75</v>
      </c>
      <c r="AN273" s="109" t="s">
        <v>75</v>
      </c>
      <c r="AO273" s="109" t="s">
        <v>78</v>
      </c>
      <c r="AP273" s="109" t="s">
        <v>75</v>
      </c>
      <c r="AQ273" s="109">
        <v>1</v>
      </c>
      <c r="AR273" s="109" t="s">
        <v>74</v>
      </c>
    </row>
    <row r="274" spans="1:44" ht="18" customHeight="1" x14ac:dyDescent="0.45">
      <c r="A274" s="104" t="s">
        <v>1600</v>
      </c>
      <c r="B274" s="126" t="s">
        <v>1601</v>
      </c>
      <c r="C274" s="105">
        <v>2019</v>
      </c>
      <c r="D274" s="105" t="s">
        <v>497</v>
      </c>
      <c r="E274" s="105" t="s">
        <v>78</v>
      </c>
      <c r="F274" s="105" t="s">
        <v>538</v>
      </c>
      <c r="G274" s="105" t="s">
        <v>520</v>
      </c>
      <c r="H274" s="105" t="s">
        <v>228</v>
      </c>
      <c r="I274" s="106" t="s">
        <v>228</v>
      </c>
      <c r="J274" s="104" t="s">
        <v>679</v>
      </c>
      <c r="K274" s="104" t="s">
        <v>81</v>
      </c>
      <c r="L274" s="104" t="s">
        <v>74</v>
      </c>
      <c r="M274" s="104">
        <v>25000000</v>
      </c>
      <c r="N274" s="104">
        <v>25000000</v>
      </c>
      <c r="O274" s="104">
        <v>34769750</v>
      </c>
      <c r="P274" s="104">
        <v>20000000</v>
      </c>
      <c r="Q274" s="104">
        <v>20000000</v>
      </c>
      <c r="R274" s="104">
        <v>27815800</v>
      </c>
      <c r="S274" s="104">
        <v>20000000</v>
      </c>
      <c r="T274" s="104">
        <v>20000000</v>
      </c>
      <c r="U274" s="112">
        <v>27815800</v>
      </c>
      <c r="V274" s="104" t="s">
        <v>75</v>
      </c>
      <c r="W274" s="104" t="s">
        <v>1602</v>
      </c>
      <c r="X274" s="104" t="s">
        <v>75</v>
      </c>
      <c r="Y274" s="104" t="s">
        <v>1603</v>
      </c>
      <c r="Z274" s="104" t="s">
        <v>75</v>
      </c>
      <c r="AA274" s="104">
        <v>999</v>
      </c>
      <c r="AB274" s="108" t="s">
        <v>1604</v>
      </c>
      <c r="AC274" s="104">
        <v>999</v>
      </c>
      <c r="AD274" s="105" t="s">
        <v>1605</v>
      </c>
      <c r="AE274" s="104">
        <v>999</v>
      </c>
      <c r="AF274" s="104" t="s">
        <v>1606</v>
      </c>
      <c r="AG274" s="104">
        <v>3</v>
      </c>
      <c r="AH274" s="109" t="s">
        <v>81</v>
      </c>
      <c r="AI274" s="109" t="s">
        <v>78</v>
      </c>
      <c r="AJ274" s="109" t="s">
        <v>75</v>
      </c>
      <c r="AK274" s="109" t="s">
        <v>1607</v>
      </c>
      <c r="AL274" s="109" t="s">
        <v>121</v>
      </c>
      <c r="AM274" s="109" t="s">
        <v>75</v>
      </c>
      <c r="AN274" s="109" t="s">
        <v>75</v>
      </c>
      <c r="AO274" s="109" t="s">
        <v>78</v>
      </c>
      <c r="AP274" s="109" t="s">
        <v>75</v>
      </c>
      <c r="AQ274" s="109">
        <v>1</v>
      </c>
      <c r="AR274" s="109" t="s">
        <v>74</v>
      </c>
    </row>
    <row r="275" spans="1:44" ht="18" customHeight="1" x14ac:dyDescent="0.45">
      <c r="A275" s="104" t="s">
        <v>1608</v>
      </c>
      <c r="B275" s="126" t="s">
        <v>1609</v>
      </c>
      <c r="C275" s="105">
        <v>2019</v>
      </c>
      <c r="D275" s="105" t="s">
        <v>501</v>
      </c>
      <c r="E275" s="105" t="s">
        <v>78</v>
      </c>
      <c r="F275" s="105" t="s">
        <v>551</v>
      </c>
      <c r="G275" s="105" t="s">
        <v>519</v>
      </c>
      <c r="H275" s="105" t="s">
        <v>583</v>
      </c>
      <c r="I275" s="106" t="s">
        <v>228</v>
      </c>
      <c r="J275" s="104" t="s">
        <v>679</v>
      </c>
      <c r="K275" s="104" t="s">
        <v>81</v>
      </c>
      <c r="L275" s="104" t="s">
        <v>74</v>
      </c>
      <c r="M275" s="104">
        <v>10560000</v>
      </c>
      <c r="N275" s="104">
        <v>10560000</v>
      </c>
      <c r="O275" s="104">
        <v>14686742.4</v>
      </c>
      <c r="P275" s="104">
        <v>9560000</v>
      </c>
      <c r="Q275" s="104">
        <v>9560000</v>
      </c>
      <c r="R275" s="104">
        <v>13295952.4</v>
      </c>
      <c r="S275" s="104">
        <v>9560000</v>
      </c>
      <c r="T275" s="104">
        <v>9560000</v>
      </c>
      <c r="U275" s="112">
        <v>13295952.4</v>
      </c>
      <c r="V275" s="104" t="s">
        <v>75</v>
      </c>
      <c r="W275" s="104" t="s">
        <v>1610</v>
      </c>
      <c r="X275" s="104" t="s">
        <v>75</v>
      </c>
      <c r="Y275" s="104" t="s">
        <v>1611</v>
      </c>
      <c r="Z275" s="104" t="s">
        <v>75</v>
      </c>
      <c r="AA275" s="104">
        <v>999</v>
      </c>
      <c r="AB275" s="108" t="s">
        <v>1612</v>
      </c>
      <c r="AC275" s="104">
        <v>999</v>
      </c>
      <c r="AD275" s="105" t="s">
        <v>1613</v>
      </c>
      <c r="AE275" s="104">
        <v>0</v>
      </c>
      <c r="AF275" s="104" t="s">
        <v>78</v>
      </c>
      <c r="AG275" s="104">
        <v>4</v>
      </c>
      <c r="AH275" s="109" t="s">
        <v>75</v>
      </c>
      <c r="AI275" s="109" t="s">
        <v>1614</v>
      </c>
      <c r="AJ275" s="109" t="s">
        <v>75</v>
      </c>
      <c r="AK275" s="109" t="s">
        <v>1615</v>
      </c>
      <c r="AL275" s="109" t="s">
        <v>121</v>
      </c>
      <c r="AM275" s="109" t="s">
        <v>75</v>
      </c>
      <c r="AN275" s="109" t="s">
        <v>75</v>
      </c>
      <c r="AO275" s="109" t="s">
        <v>78</v>
      </c>
      <c r="AP275" s="109" t="s">
        <v>75</v>
      </c>
      <c r="AQ275" s="109">
        <v>1</v>
      </c>
      <c r="AR275" s="109" t="s">
        <v>74</v>
      </c>
    </row>
    <row r="276" spans="1:44" ht="18" customHeight="1" x14ac:dyDescent="0.45">
      <c r="A276" s="104" t="s">
        <v>1616</v>
      </c>
      <c r="B276" s="126" t="s">
        <v>1617</v>
      </c>
      <c r="C276" s="105">
        <v>2019</v>
      </c>
      <c r="D276" s="105" t="s">
        <v>314</v>
      </c>
      <c r="E276" s="105" t="s">
        <v>78</v>
      </c>
      <c r="F276" s="105" t="s">
        <v>557</v>
      </c>
      <c r="G276" s="105" t="s">
        <v>522</v>
      </c>
      <c r="H276" s="105" t="s">
        <v>587</v>
      </c>
      <c r="I276" s="106" t="s">
        <v>256</v>
      </c>
      <c r="J276" s="104" t="s">
        <v>679</v>
      </c>
      <c r="K276" s="104" t="s">
        <v>81</v>
      </c>
      <c r="L276" s="104" t="s">
        <v>74</v>
      </c>
      <c r="M276" s="104">
        <v>25218000</v>
      </c>
      <c r="N276" s="104">
        <v>25218000</v>
      </c>
      <c r="O276" s="104">
        <v>35072942.219999999</v>
      </c>
      <c r="P276" s="104">
        <v>22134000</v>
      </c>
      <c r="Q276" s="104">
        <v>22134000</v>
      </c>
      <c r="R276" s="104">
        <v>30783745.859999999</v>
      </c>
      <c r="S276" s="104">
        <v>22134000</v>
      </c>
      <c r="T276" s="104">
        <v>22134000</v>
      </c>
      <c r="U276" s="112">
        <v>30783745.859999999</v>
      </c>
      <c r="V276" s="104" t="s">
        <v>75</v>
      </c>
      <c r="W276" s="104" t="s">
        <v>1618</v>
      </c>
      <c r="X276" s="104" t="s">
        <v>75</v>
      </c>
      <c r="Y276" s="104" t="s">
        <v>1619</v>
      </c>
      <c r="Z276" s="104" t="s">
        <v>75</v>
      </c>
      <c r="AA276" s="104">
        <v>999</v>
      </c>
      <c r="AB276" s="108" t="s">
        <v>1620</v>
      </c>
      <c r="AC276" s="104">
        <v>999</v>
      </c>
      <c r="AD276" s="105" t="s">
        <v>1621</v>
      </c>
      <c r="AE276" s="104">
        <v>999</v>
      </c>
      <c r="AF276" s="104" t="s">
        <v>1622</v>
      </c>
      <c r="AG276" s="104">
        <v>4</v>
      </c>
      <c r="AH276" s="109" t="s">
        <v>81</v>
      </c>
      <c r="AI276" s="109" t="s">
        <v>78</v>
      </c>
      <c r="AJ276" s="109" t="s">
        <v>75</v>
      </c>
      <c r="AK276" s="109" t="s">
        <v>1623</v>
      </c>
      <c r="AL276" s="109" t="s">
        <v>121</v>
      </c>
      <c r="AM276" s="109" t="s">
        <v>75</v>
      </c>
      <c r="AN276" s="109" t="s">
        <v>75</v>
      </c>
      <c r="AO276" s="109" t="s">
        <v>78</v>
      </c>
      <c r="AP276" s="109" t="s">
        <v>75</v>
      </c>
      <c r="AQ276" s="109">
        <v>1</v>
      </c>
      <c r="AR276" s="109" t="s">
        <v>74</v>
      </c>
    </row>
    <row r="277" spans="1:44" ht="18" customHeight="1" x14ac:dyDescent="0.45">
      <c r="A277" s="104" t="s">
        <v>1624</v>
      </c>
      <c r="B277" s="126" t="s">
        <v>1625</v>
      </c>
      <c r="C277" s="105">
        <v>2019</v>
      </c>
      <c r="D277" s="105" t="s">
        <v>514</v>
      </c>
      <c r="E277" s="105" t="s">
        <v>78</v>
      </c>
      <c r="F277" s="105" t="s">
        <v>567</v>
      </c>
      <c r="G277" s="105" t="s">
        <v>522</v>
      </c>
      <c r="H277" s="105" t="s">
        <v>576</v>
      </c>
      <c r="I277" s="106" t="s">
        <v>72</v>
      </c>
      <c r="J277" s="104" t="s">
        <v>679</v>
      </c>
      <c r="K277" s="104" t="s">
        <v>81</v>
      </c>
      <c r="L277" s="104" t="s">
        <v>126</v>
      </c>
      <c r="M277" s="104">
        <v>1000000</v>
      </c>
      <c r="N277" s="104">
        <v>719015.81115768733</v>
      </c>
      <c r="O277" s="104">
        <v>1000000</v>
      </c>
      <c r="P277" s="104">
        <v>714408.18</v>
      </c>
      <c r="Q277" s="104">
        <v>714408.18</v>
      </c>
      <c r="R277" s="104">
        <v>993591.75266220002</v>
      </c>
      <c r="S277" s="104">
        <v>714408.18</v>
      </c>
      <c r="T277" s="104">
        <v>714408.18</v>
      </c>
      <c r="U277" s="112">
        <v>993591.75266220002</v>
      </c>
      <c r="V277" s="104" t="s">
        <v>75</v>
      </c>
      <c r="W277" s="104" t="s">
        <v>1626</v>
      </c>
      <c r="X277" s="104" t="s">
        <v>75</v>
      </c>
      <c r="Y277" s="104" t="s">
        <v>1627</v>
      </c>
      <c r="Z277" s="104" t="s">
        <v>75</v>
      </c>
      <c r="AA277" s="104">
        <v>0</v>
      </c>
      <c r="AB277" s="108" t="s">
        <v>78</v>
      </c>
      <c r="AC277" s="104">
        <v>999</v>
      </c>
      <c r="AD277" s="105" t="s">
        <v>1628</v>
      </c>
      <c r="AE277" s="104">
        <v>0</v>
      </c>
      <c r="AF277" s="104" t="s">
        <v>78</v>
      </c>
      <c r="AG277" s="104">
        <v>1</v>
      </c>
      <c r="AH277" s="109" t="s">
        <v>75</v>
      </c>
      <c r="AI277" s="109" t="s">
        <v>1629</v>
      </c>
      <c r="AJ277" s="109" t="s">
        <v>75</v>
      </c>
      <c r="AK277" s="109" t="s">
        <v>1630</v>
      </c>
      <c r="AL277" s="109" t="s">
        <v>121</v>
      </c>
      <c r="AM277" s="109" t="s">
        <v>81</v>
      </c>
      <c r="AN277" s="109" t="s">
        <v>81</v>
      </c>
      <c r="AO277" s="109" t="s">
        <v>78</v>
      </c>
      <c r="AP277" s="109" t="s">
        <v>75</v>
      </c>
      <c r="AQ277" s="109">
        <v>1</v>
      </c>
      <c r="AR277" s="109" t="s">
        <v>126</v>
      </c>
    </row>
    <row r="278" spans="1:44" ht="18" customHeight="1" x14ac:dyDescent="0.45">
      <c r="A278" s="104" t="s">
        <v>1631</v>
      </c>
      <c r="B278" s="126" t="s">
        <v>1632</v>
      </c>
      <c r="C278" s="105">
        <v>2019</v>
      </c>
      <c r="D278" s="105" t="s">
        <v>516</v>
      </c>
      <c r="E278" s="105" t="s">
        <v>78</v>
      </c>
      <c r="F278" s="105" t="s">
        <v>569</v>
      </c>
      <c r="G278" s="105" t="s">
        <v>519</v>
      </c>
      <c r="H278" s="105" t="s">
        <v>582</v>
      </c>
      <c r="I278" s="106" t="s">
        <v>228</v>
      </c>
      <c r="J278" s="104" t="s">
        <v>679</v>
      </c>
      <c r="K278" s="104" t="s">
        <v>81</v>
      </c>
      <c r="L278" s="104" t="s">
        <v>74</v>
      </c>
      <c r="M278" s="104">
        <v>9017700</v>
      </c>
      <c r="N278" s="104">
        <v>9017700</v>
      </c>
      <c r="O278" s="104">
        <v>12541726.982999999</v>
      </c>
      <c r="P278" s="104">
        <v>7500000</v>
      </c>
      <c r="Q278" s="104">
        <v>7500000</v>
      </c>
      <c r="R278" s="104">
        <v>10430925</v>
      </c>
      <c r="S278" s="104">
        <v>7500000</v>
      </c>
      <c r="T278" s="104">
        <v>7500000</v>
      </c>
      <c r="U278" s="112">
        <v>10430925</v>
      </c>
      <c r="V278" s="104" t="s">
        <v>75</v>
      </c>
      <c r="W278" s="104" t="s">
        <v>1633</v>
      </c>
      <c r="X278" s="104" t="s">
        <v>75</v>
      </c>
      <c r="Y278" s="104" t="s">
        <v>1634</v>
      </c>
      <c r="Z278" s="104" t="s">
        <v>75</v>
      </c>
      <c r="AA278" s="104">
        <v>0</v>
      </c>
      <c r="AB278" s="108" t="s">
        <v>78</v>
      </c>
      <c r="AC278" s="104">
        <v>2</v>
      </c>
      <c r="AD278" s="105" t="s">
        <v>1635</v>
      </c>
      <c r="AE278" s="104">
        <v>999</v>
      </c>
      <c r="AF278" s="104" t="s">
        <v>1636</v>
      </c>
      <c r="AG278" s="104">
        <v>2</v>
      </c>
      <c r="AH278" s="109" t="s">
        <v>75</v>
      </c>
      <c r="AI278" s="109" t="s">
        <v>1637</v>
      </c>
      <c r="AJ278" s="109" t="s">
        <v>75</v>
      </c>
      <c r="AK278" s="109" t="s">
        <v>1638</v>
      </c>
      <c r="AL278" s="109" t="s">
        <v>121</v>
      </c>
      <c r="AM278" s="109" t="s">
        <v>75</v>
      </c>
      <c r="AN278" s="109" t="s">
        <v>75</v>
      </c>
      <c r="AO278" s="109" t="s">
        <v>78</v>
      </c>
      <c r="AP278" s="109" t="s">
        <v>75</v>
      </c>
      <c r="AQ278" s="109">
        <v>1</v>
      </c>
      <c r="AR278" s="109" t="s">
        <v>74</v>
      </c>
    </row>
    <row r="279" spans="1:44" ht="18" customHeight="1" x14ac:dyDescent="0.45">
      <c r="A279" s="104" t="s">
        <v>1639</v>
      </c>
      <c r="B279" s="126" t="s">
        <v>1640</v>
      </c>
      <c r="C279" s="105">
        <v>2019</v>
      </c>
      <c r="D279" s="105" t="s">
        <v>317</v>
      </c>
      <c r="E279" s="105" t="s">
        <v>78</v>
      </c>
      <c r="F279" s="105" t="s">
        <v>526</v>
      </c>
      <c r="G279" s="105" t="s">
        <v>522</v>
      </c>
      <c r="H279" s="105" t="s">
        <v>577</v>
      </c>
      <c r="I279" s="106" t="s">
        <v>115</v>
      </c>
      <c r="J279" s="104" t="s">
        <v>676</v>
      </c>
      <c r="K279" s="104" t="s">
        <v>81</v>
      </c>
      <c r="L279" s="104" t="s">
        <v>74</v>
      </c>
      <c r="M279" s="104">
        <v>6791000</v>
      </c>
      <c r="N279" s="104">
        <v>6791000</v>
      </c>
      <c r="O279" s="104">
        <v>9444854.8900000006</v>
      </c>
      <c r="P279" s="104">
        <v>6000000</v>
      </c>
      <c r="Q279" s="104">
        <v>6000000</v>
      </c>
      <c r="R279" s="104">
        <v>8344740</v>
      </c>
      <c r="S279" s="104">
        <v>6000000</v>
      </c>
      <c r="T279" s="104">
        <v>6000000</v>
      </c>
      <c r="U279" s="112">
        <v>8344740</v>
      </c>
      <c r="V279" s="104" t="s">
        <v>75</v>
      </c>
      <c r="W279" s="104" t="s">
        <v>1641</v>
      </c>
      <c r="X279" s="104" t="s">
        <v>75</v>
      </c>
      <c r="Y279" s="104" t="s">
        <v>1642</v>
      </c>
      <c r="Z279" s="104" t="s">
        <v>75</v>
      </c>
      <c r="AA279" s="104">
        <v>999</v>
      </c>
      <c r="AB279" s="108" t="s">
        <v>1643</v>
      </c>
      <c r="AC279" s="104">
        <v>999</v>
      </c>
      <c r="AD279" s="105" t="s">
        <v>1644</v>
      </c>
      <c r="AE279" s="104">
        <v>999</v>
      </c>
      <c r="AF279" s="104" t="s">
        <v>1645</v>
      </c>
      <c r="AG279" s="104">
        <v>6</v>
      </c>
      <c r="AH279" s="109" t="s">
        <v>75</v>
      </c>
      <c r="AI279" s="109" t="s">
        <v>1646</v>
      </c>
      <c r="AJ279" s="109" t="s">
        <v>75</v>
      </c>
      <c r="AK279" s="109" t="s">
        <v>1647</v>
      </c>
      <c r="AL279" s="109" t="s">
        <v>1648</v>
      </c>
      <c r="AM279" s="109" t="s">
        <v>75</v>
      </c>
      <c r="AN279" s="109" t="s">
        <v>75</v>
      </c>
      <c r="AO279" s="109" t="s">
        <v>78</v>
      </c>
      <c r="AP279" s="109" t="s">
        <v>75</v>
      </c>
      <c r="AQ279" s="109">
        <v>1</v>
      </c>
      <c r="AR279" s="109" t="s">
        <v>74</v>
      </c>
    </row>
    <row r="280" spans="1:44" ht="18" customHeight="1" x14ac:dyDescent="0.45">
      <c r="A280" s="104" t="s">
        <v>1649</v>
      </c>
      <c r="B280" s="126" t="s">
        <v>1650</v>
      </c>
      <c r="C280" s="105">
        <v>2019</v>
      </c>
      <c r="D280" s="105" t="s">
        <v>273</v>
      </c>
      <c r="E280" s="105" t="s">
        <v>78</v>
      </c>
      <c r="F280" s="105" t="s">
        <v>549</v>
      </c>
      <c r="G280" s="105" t="s">
        <v>518</v>
      </c>
      <c r="H280" s="105" t="s">
        <v>585</v>
      </c>
      <c r="I280" s="106" t="s">
        <v>228</v>
      </c>
      <c r="J280" s="104" t="s">
        <v>1398</v>
      </c>
      <c r="K280" s="104" t="s">
        <v>75</v>
      </c>
      <c r="L280" s="104" t="s">
        <v>126</v>
      </c>
      <c r="M280" s="104">
        <v>1000000</v>
      </c>
      <c r="N280" s="104">
        <v>719015.81115768733</v>
      </c>
      <c r="O280" s="104">
        <v>1000000</v>
      </c>
      <c r="P280" s="104">
        <v>670794</v>
      </c>
      <c r="Q280" s="104">
        <v>670794</v>
      </c>
      <c r="R280" s="104">
        <v>932933.58725999994</v>
      </c>
      <c r="S280" s="104">
        <v>0</v>
      </c>
      <c r="T280" s="104">
        <v>0</v>
      </c>
      <c r="U280" s="112">
        <v>0</v>
      </c>
      <c r="V280" s="104" t="s">
        <v>75</v>
      </c>
      <c r="W280" s="104" t="s">
        <v>1651</v>
      </c>
      <c r="X280" s="104" t="s">
        <v>75</v>
      </c>
      <c r="Y280" s="104" t="s">
        <v>1652</v>
      </c>
      <c r="Z280" s="104" t="s">
        <v>75</v>
      </c>
      <c r="AA280" s="104">
        <v>0</v>
      </c>
      <c r="AB280" s="108" t="s">
        <v>78</v>
      </c>
      <c r="AC280" s="104">
        <v>999</v>
      </c>
      <c r="AD280" s="105" t="s">
        <v>1653</v>
      </c>
      <c r="AE280" s="104">
        <v>0</v>
      </c>
      <c r="AF280" s="104" t="s">
        <v>78</v>
      </c>
      <c r="AG280" s="104">
        <v>1</v>
      </c>
      <c r="AH280" s="109" t="s">
        <v>81</v>
      </c>
      <c r="AI280" s="109" t="s">
        <v>78</v>
      </c>
      <c r="AJ280" s="109" t="s">
        <v>75</v>
      </c>
      <c r="AK280" s="109" t="s">
        <v>1654</v>
      </c>
      <c r="AL280" s="109" t="s">
        <v>132</v>
      </c>
      <c r="AM280" s="109" t="s">
        <v>75</v>
      </c>
      <c r="AN280" s="109" t="s">
        <v>75</v>
      </c>
      <c r="AO280" s="109" t="s">
        <v>78</v>
      </c>
      <c r="AP280" s="109" t="s">
        <v>75</v>
      </c>
      <c r="AQ280" s="109">
        <v>1</v>
      </c>
      <c r="AR280" s="109" t="s">
        <v>126</v>
      </c>
    </row>
    <row r="281" spans="1:44" ht="18" customHeight="1" x14ac:dyDescent="0.45">
      <c r="A281" s="104" t="s">
        <v>1655</v>
      </c>
      <c r="B281" s="126" t="s">
        <v>1656</v>
      </c>
      <c r="C281" s="105">
        <v>2019</v>
      </c>
      <c r="D281" s="105" t="s">
        <v>135</v>
      </c>
      <c r="E281" s="105" t="s">
        <v>78</v>
      </c>
      <c r="F281" s="105" t="s">
        <v>530</v>
      </c>
      <c r="G281" s="105" t="s">
        <v>520</v>
      </c>
      <c r="H281" s="105" t="s">
        <v>228</v>
      </c>
      <c r="I281" s="106" t="s">
        <v>228</v>
      </c>
      <c r="J281" s="104" t="s">
        <v>676</v>
      </c>
      <c r="K281" s="104" t="s">
        <v>81</v>
      </c>
      <c r="L281" s="104" t="s">
        <v>74</v>
      </c>
      <c r="M281" s="104">
        <v>10400000</v>
      </c>
      <c r="N281" s="104">
        <v>10400000</v>
      </c>
      <c r="O281" s="104">
        <v>14464216</v>
      </c>
      <c r="P281" s="104">
        <v>9400000</v>
      </c>
      <c r="Q281" s="104">
        <v>9400000</v>
      </c>
      <c r="R281" s="104">
        <v>13073426</v>
      </c>
      <c r="S281" s="104">
        <v>9400000</v>
      </c>
      <c r="T281" s="104">
        <v>9400000</v>
      </c>
      <c r="U281" s="112">
        <v>13073426</v>
      </c>
      <c r="V281" s="104" t="s">
        <v>81</v>
      </c>
      <c r="W281" s="104" t="s">
        <v>78</v>
      </c>
      <c r="X281" s="104" t="s">
        <v>81</v>
      </c>
      <c r="Y281" s="104" t="s">
        <v>1657</v>
      </c>
      <c r="Z281" s="104" t="s">
        <v>81</v>
      </c>
      <c r="AA281" s="104">
        <v>0</v>
      </c>
      <c r="AB281" s="108" t="s">
        <v>78</v>
      </c>
      <c r="AC281" s="104">
        <v>0</v>
      </c>
      <c r="AD281" s="105" t="s">
        <v>78</v>
      </c>
      <c r="AE281" s="104">
        <v>0</v>
      </c>
      <c r="AF281" s="104" t="s">
        <v>78</v>
      </c>
      <c r="AG281" s="104">
        <v>0</v>
      </c>
      <c r="AH281" s="109" t="s">
        <v>81</v>
      </c>
      <c r="AI281" s="109" t="s">
        <v>78</v>
      </c>
      <c r="AJ281" s="109" t="s">
        <v>81</v>
      </c>
      <c r="AK281" s="109" t="s">
        <v>1423</v>
      </c>
      <c r="AL281" s="109" t="s">
        <v>1648</v>
      </c>
      <c r="AM281" s="109" t="s">
        <v>81</v>
      </c>
      <c r="AN281" s="109" t="s">
        <v>81</v>
      </c>
      <c r="AO281" s="109" t="s">
        <v>78</v>
      </c>
      <c r="AP281" s="109" t="s">
        <v>81</v>
      </c>
      <c r="AQ281" s="109">
        <v>1</v>
      </c>
      <c r="AR281" s="109" t="s">
        <v>74</v>
      </c>
    </row>
    <row r="282" spans="1:44" ht="18" customHeight="1" x14ac:dyDescent="0.45">
      <c r="A282" s="104" t="s">
        <v>1658</v>
      </c>
      <c r="B282" s="126" t="s">
        <v>1659</v>
      </c>
      <c r="C282" s="105">
        <v>2019</v>
      </c>
      <c r="D282" s="105" t="s">
        <v>529</v>
      </c>
      <c r="E282" s="105" t="s">
        <v>78</v>
      </c>
      <c r="F282" s="105" t="s">
        <v>505</v>
      </c>
      <c r="G282" s="105" t="s">
        <v>521</v>
      </c>
      <c r="H282" s="105" t="s">
        <v>584</v>
      </c>
      <c r="I282" s="106" t="s">
        <v>228</v>
      </c>
      <c r="J282" s="104" t="s">
        <v>679</v>
      </c>
      <c r="K282" s="104" t="s">
        <v>81</v>
      </c>
      <c r="L282" s="104" t="s">
        <v>104</v>
      </c>
      <c r="M282" s="104">
        <v>85400000</v>
      </c>
      <c r="N282" s="104">
        <v>70332059.559889317</v>
      </c>
      <c r="O282" s="104">
        <v>97817125.115298465</v>
      </c>
      <c r="P282" s="104">
        <v>59190736</v>
      </c>
      <c r="Q282" s="104">
        <v>59190736</v>
      </c>
      <c r="R282" s="104">
        <v>82321883.721440002</v>
      </c>
      <c r="S282" s="104">
        <v>59190736</v>
      </c>
      <c r="T282" s="104">
        <v>59190736</v>
      </c>
      <c r="U282" s="112">
        <v>82321883.721440002</v>
      </c>
      <c r="V282" s="104" t="s">
        <v>75</v>
      </c>
      <c r="W282" s="104" t="s">
        <v>1660</v>
      </c>
      <c r="X282" s="104" t="s">
        <v>75</v>
      </c>
      <c r="Y282" s="104" t="s">
        <v>1661</v>
      </c>
      <c r="Z282" s="104" t="s">
        <v>75</v>
      </c>
      <c r="AA282" s="104">
        <v>999</v>
      </c>
      <c r="AB282" s="108" t="s">
        <v>1662</v>
      </c>
      <c r="AC282" s="104">
        <v>999</v>
      </c>
      <c r="AD282" s="105" t="s">
        <v>1663</v>
      </c>
      <c r="AE282" s="104">
        <v>999</v>
      </c>
      <c r="AF282" s="104" t="s">
        <v>1664</v>
      </c>
      <c r="AG282" s="104">
        <v>4</v>
      </c>
      <c r="AH282" s="109" t="s">
        <v>75</v>
      </c>
      <c r="AI282" s="109" t="s">
        <v>1665</v>
      </c>
      <c r="AJ282" s="109" t="s">
        <v>75</v>
      </c>
      <c r="AK282" s="109" t="s">
        <v>1666</v>
      </c>
      <c r="AL282" s="109" t="s">
        <v>1523</v>
      </c>
      <c r="AM282" s="109" t="s">
        <v>75</v>
      </c>
      <c r="AN282" s="109" t="s">
        <v>75</v>
      </c>
      <c r="AO282" s="109" t="s">
        <v>78</v>
      </c>
      <c r="AP282" s="109" t="s">
        <v>75</v>
      </c>
      <c r="AQ282" s="109">
        <v>1</v>
      </c>
      <c r="AR282" s="109" t="s">
        <v>104</v>
      </c>
    </row>
    <row r="283" spans="1:44" ht="18" customHeight="1" x14ac:dyDescent="0.45">
      <c r="A283" s="104" t="s">
        <v>1667</v>
      </c>
      <c r="B283" s="126" t="s">
        <v>1668</v>
      </c>
      <c r="C283" s="105">
        <v>2019</v>
      </c>
      <c r="D283" s="105" t="s">
        <v>289</v>
      </c>
      <c r="E283" s="105" t="s">
        <v>78</v>
      </c>
      <c r="F283" s="105" t="s">
        <v>492</v>
      </c>
      <c r="G283" s="105" t="s">
        <v>521</v>
      </c>
      <c r="H283" s="105" t="s">
        <v>586</v>
      </c>
      <c r="I283" s="106" t="s">
        <v>228</v>
      </c>
      <c r="J283" s="104" t="s">
        <v>676</v>
      </c>
      <c r="K283" s="104" t="s">
        <v>81</v>
      </c>
      <c r="L283" s="104" t="s">
        <v>74</v>
      </c>
      <c r="M283" s="104">
        <v>49490000</v>
      </c>
      <c r="N283" s="104">
        <v>49490000</v>
      </c>
      <c r="O283" s="104">
        <v>68830197.099999994</v>
      </c>
      <c r="P283" s="104">
        <v>42097947</v>
      </c>
      <c r="Q283" s="104">
        <v>42097947</v>
      </c>
      <c r="R283" s="104">
        <v>58549403.708130002</v>
      </c>
      <c r="S283" s="104">
        <v>42097947</v>
      </c>
      <c r="T283" s="104">
        <v>42097947</v>
      </c>
      <c r="U283" s="112">
        <v>58549403.708130002</v>
      </c>
      <c r="V283" s="104" t="s">
        <v>81</v>
      </c>
      <c r="W283" s="104" t="s">
        <v>78</v>
      </c>
      <c r="X283" s="104" t="s">
        <v>81</v>
      </c>
      <c r="Y283" s="104" t="s">
        <v>1669</v>
      </c>
      <c r="Z283" s="104" t="s">
        <v>75</v>
      </c>
      <c r="AA283" s="104">
        <v>999</v>
      </c>
      <c r="AB283" s="108" t="s">
        <v>1670</v>
      </c>
      <c r="AC283" s="104">
        <v>0</v>
      </c>
      <c r="AD283" s="105" t="s">
        <v>78</v>
      </c>
      <c r="AE283" s="104">
        <v>0</v>
      </c>
      <c r="AF283" s="104" t="s">
        <v>78</v>
      </c>
      <c r="AG283" s="104">
        <v>1</v>
      </c>
      <c r="AH283" s="109" t="s">
        <v>81</v>
      </c>
      <c r="AI283" s="109" t="s">
        <v>78</v>
      </c>
      <c r="AJ283" s="109" t="s">
        <v>81</v>
      </c>
      <c r="AK283" s="109" t="s">
        <v>1423</v>
      </c>
      <c r="AL283" s="109" t="s">
        <v>132</v>
      </c>
      <c r="AM283" s="109" t="s">
        <v>75</v>
      </c>
      <c r="AN283" s="109" t="s">
        <v>75</v>
      </c>
      <c r="AO283" s="109" t="s">
        <v>78</v>
      </c>
      <c r="AP283" s="109" t="s">
        <v>81</v>
      </c>
      <c r="AQ283" s="109">
        <v>1</v>
      </c>
      <c r="AR283" s="109" t="s">
        <v>74</v>
      </c>
    </row>
    <row r="284" spans="1:44" ht="18" customHeight="1" x14ac:dyDescent="0.45">
      <c r="A284" s="104" t="s">
        <v>1671</v>
      </c>
      <c r="B284" s="126" t="s">
        <v>1672</v>
      </c>
      <c r="C284" s="105">
        <v>2019</v>
      </c>
      <c r="D284" s="105" t="s">
        <v>87</v>
      </c>
      <c r="E284" s="105" t="s">
        <v>1673</v>
      </c>
      <c r="F284" s="105" t="s">
        <v>87</v>
      </c>
      <c r="G284" s="105" t="s">
        <v>87</v>
      </c>
      <c r="H284" s="105" t="s">
        <v>115</v>
      </c>
      <c r="I284" s="106" t="s">
        <v>115</v>
      </c>
      <c r="J284" s="104" t="s">
        <v>679</v>
      </c>
      <c r="K284" s="104" t="s">
        <v>75</v>
      </c>
      <c r="L284" s="104" t="s">
        <v>126</v>
      </c>
      <c r="M284" s="104">
        <v>15042283</v>
      </c>
      <c r="N284" s="104">
        <v>10815639.312908491</v>
      </c>
      <c r="O284" s="104">
        <v>15042283</v>
      </c>
      <c r="P284" s="104">
        <v>0</v>
      </c>
      <c r="Q284" s="104">
        <v>0</v>
      </c>
      <c r="R284" s="104">
        <v>0</v>
      </c>
      <c r="S284" s="104">
        <v>0</v>
      </c>
      <c r="T284" s="104">
        <v>0</v>
      </c>
      <c r="U284" s="112">
        <v>0</v>
      </c>
      <c r="V284" s="104" t="s">
        <v>81</v>
      </c>
      <c r="W284" s="104" t="s">
        <v>78</v>
      </c>
      <c r="X284" s="104" t="s">
        <v>81</v>
      </c>
      <c r="Y284" s="104" t="s">
        <v>1674</v>
      </c>
      <c r="Z284" s="104" t="s">
        <v>81</v>
      </c>
      <c r="AA284" s="104">
        <v>0</v>
      </c>
      <c r="AB284" s="108" t="s">
        <v>78</v>
      </c>
      <c r="AC284" s="104">
        <v>0</v>
      </c>
      <c r="AD284" s="105" t="s">
        <v>78</v>
      </c>
      <c r="AE284" s="104">
        <v>0</v>
      </c>
      <c r="AF284" s="104" t="s">
        <v>78</v>
      </c>
      <c r="AG284" s="104">
        <v>0</v>
      </c>
      <c r="AH284" s="109" t="s">
        <v>81</v>
      </c>
      <c r="AI284" s="109" t="s">
        <v>78</v>
      </c>
      <c r="AJ284" s="109" t="s">
        <v>81</v>
      </c>
      <c r="AK284" s="109" t="s">
        <v>1423</v>
      </c>
      <c r="AL284" s="109" t="s">
        <v>1523</v>
      </c>
      <c r="AM284" s="109" t="s">
        <v>81</v>
      </c>
      <c r="AN284" s="109" t="s">
        <v>81</v>
      </c>
      <c r="AO284" s="109" t="s">
        <v>78</v>
      </c>
      <c r="AP284" s="109" t="s">
        <v>81</v>
      </c>
      <c r="AQ284" s="109">
        <v>1</v>
      </c>
      <c r="AR284" s="109" t="s">
        <v>126</v>
      </c>
    </row>
    <row r="285" spans="1:44" ht="18" customHeight="1" x14ac:dyDescent="0.45">
      <c r="A285" s="104" t="s">
        <v>1675</v>
      </c>
      <c r="B285" s="126" t="s">
        <v>1676</v>
      </c>
      <c r="C285" s="105">
        <v>2019</v>
      </c>
      <c r="D285" s="105" t="s">
        <v>496</v>
      </c>
      <c r="E285" s="105" t="s">
        <v>78</v>
      </c>
      <c r="F285" s="105" t="s">
        <v>535</v>
      </c>
      <c r="G285" s="105" t="s">
        <v>522</v>
      </c>
      <c r="H285" s="105" t="s">
        <v>585</v>
      </c>
      <c r="I285" s="106" t="s">
        <v>228</v>
      </c>
      <c r="J285" s="104" t="s">
        <v>679</v>
      </c>
      <c r="K285" s="104" t="s">
        <v>81</v>
      </c>
      <c r="L285" s="104" t="s">
        <v>74</v>
      </c>
      <c r="M285" s="104">
        <v>19135000</v>
      </c>
      <c r="N285" s="104">
        <v>19135000</v>
      </c>
      <c r="O285" s="104">
        <v>26612766.649999999</v>
      </c>
      <c r="P285" s="104">
        <v>17488000</v>
      </c>
      <c r="Q285" s="104">
        <v>17488000</v>
      </c>
      <c r="R285" s="104">
        <v>24322135.52</v>
      </c>
      <c r="S285" s="104">
        <v>15000000</v>
      </c>
      <c r="T285" s="104">
        <v>15000000</v>
      </c>
      <c r="U285" s="112">
        <v>20861850</v>
      </c>
      <c r="V285" s="104" t="s">
        <v>75</v>
      </c>
      <c r="W285" s="104" t="s">
        <v>1677</v>
      </c>
      <c r="X285" s="104" t="s">
        <v>75</v>
      </c>
      <c r="Y285" s="104" t="s">
        <v>1678</v>
      </c>
      <c r="Z285" s="104" t="s">
        <v>75</v>
      </c>
      <c r="AA285" s="104">
        <v>999</v>
      </c>
      <c r="AB285" s="108" t="s">
        <v>1679</v>
      </c>
      <c r="AC285" s="104">
        <v>999</v>
      </c>
      <c r="AD285" s="105" t="s">
        <v>1680</v>
      </c>
      <c r="AE285" s="104">
        <v>999</v>
      </c>
      <c r="AF285" s="104" t="s">
        <v>1681</v>
      </c>
      <c r="AG285" s="104">
        <v>3</v>
      </c>
      <c r="AH285" s="109" t="s">
        <v>81</v>
      </c>
      <c r="AI285" s="109" t="s">
        <v>78</v>
      </c>
      <c r="AJ285" s="109" t="s">
        <v>75</v>
      </c>
      <c r="AK285" s="109" t="s">
        <v>1682</v>
      </c>
      <c r="AL285" s="109" t="s">
        <v>121</v>
      </c>
      <c r="AM285" s="109" t="s">
        <v>75</v>
      </c>
      <c r="AN285" s="109" t="s">
        <v>75</v>
      </c>
      <c r="AO285" s="109" t="s">
        <v>78</v>
      </c>
      <c r="AP285" s="109" t="s">
        <v>75</v>
      </c>
      <c r="AQ285" s="109">
        <v>1</v>
      </c>
      <c r="AR285" s="109" t="s">
        <v>74</v>
      </c>
    </row>
    <row r="286" spans="1:44" ht="18" customHeight="1" x14ac:dyDescent="0.45">
      <c r="A286" s="104" t="s">
        <v>1683</v>
      </c>
      <c r="B286" s="126" t="s">
        <v>1684</v>
      </c>
      <c r="C286" s="105">
        <v>2019</v>
      </c>
      <c r="D286" s="105" t="s">
        <v>496</v>
      </c>
      <c r="E286" s="105" t="s">
        <v>78</v>
      </c>
      <c r="F286" s="105" t="s">
        <v>535</v>
      </c>
      <c r="G286" s="105" t="s">
        <v>522</v>
      </c>
      <c r="H286" s="105" t="s">
        <v>585</v>
      </c>
      <c r="I286" s="106" t="s">
        <v>228</v>
      </c>
      <c r="J286" s="104" t="s">
        <v>1685</v>
      </c>
      <c r="K286" s="104" t="s">
        <v>75</v>
      </c>
      <c r="L286" s="104" t="s">
        <v>74</v>
      </c>
      <c r="M286" s="104">
        <v>12000000</v>
      </c>
      <c r="N286" s="104">
        <v>12000000</v>
      </c>
      <c r="O286" s="104">
        <v>16689480</v>
      </c>
      <c r="P286" s="104">
        <v>13120000</v>
      </c>
      <c r="Q286" s="104">
        <v>13120000</v>
      </c>
      <c r="R286" s="104">
        <v>18247164.800000001</v>
      </c>
      <c r="S286" s="104">
        <v>0</v>
      </c>
      <c r="T286" s="104">
        <v>0</v>
      </c>
      <c r="U286" s="112">
        <v>0</v>
      </c>
      <c r="V286" s="104" t="s">
        <v>81</v>
      </c>
      <c r="W286" s="104" t="s">
        <v>78</v>
      </c>
      <c r="X286" s="104" t="s">
        <v>81</v>
      </c>
      <c r="Y286" s="104" t="s">
        <v>1686</v>
      </c>
      <c r="Z286" s="104" t="s">
        <v>81</v>
      </c>
      <c r="AA286" s="104">
        <v>0</v>
      </c>
      <c r="AB286" s="108" t="s">
        <v>78</v>
      </c>
      <c r="AC286" s="104">
        <v>0</v>
      </c>
      <c r="AD286" s="105" t="s">
        <v>78</v>
      </c>
      <c r="AE286" s="104">
        <v>0</v>
      </c>
      <c r="AF286" s="104" t="s">
        <v>78</v>
      </c>
      <c r="AG286" s="104">
        <v>0</v>
      </c>
      <c r="AH286" s="109" t="s">
        <v>81</v>
      </c>
      <c r="AI286" s="109" t="s">
        <v>78</v>
      </c>
      <c r="AJ286" s="109" t="s">
        <v>81</v>
      </c>
      <c r="AK286" s="109" t="s">
        <v>1423</v>
      </c>
      <c r="AL286" s="109" t="s">
        <v>121</v>
      </c>
      <c r="AM286" s="109" t="s">
        <v>81</v>
      </c>
      <c r="AN286" s="109" t="s">
        <v>81</v>
      </c>
      <c r="AO286" s="109" t="s">
        <v>78</v>
      </c>
      <c r="AP286" s="109" t="s">
        <v>81</v>
      </c>
      <c r="AQ286" s="109">
        <v>1</v>
      </c>
      <c r="AR286" s="109" t="s">
        <v>74</v>
      </c>
    </row>
    <row r="287" spans="1:44" ht="18" customHeight="1" x14ac:dyDescent="0.45">
      <c r="A287" s="104" t="s">
        <v>1687</v>
      </c>
      <c r="B287" s="126" t="s">
        <v>1688</v>
      </c>
      <c r="C287" s="105">
        <v>2019</v>
      </c>
      <c r="D287" s="105" t="s">
        <v>484</v>
      </c>
      <c r="E287" s="105" t="s">
        <v>78</v>
      </c>
      <c r="F287" s="105" t="s">
        <v>525</v>
      </c>
      <c r="G287" s="105" t="s">
        <v>520</v>
      </c>
      <c r="H287" s="105" t="s">
        <v>587</v>
      </c>
      <c r="I287" s="106" t="s">
        <v>256</v>
      </c>
      <c r="J287" s="104" t="s">
        <v>679</v>
      </c>
      <c r="K287" s="104" t="s">
        <v>81</v>
      </c>
      <c r="L287" s="104" t="s">
        <v>74</v>
      </c>
      <c r="M287" s="104">
        <v>12470000</v>
      </c>
      <c r="N287" s="104">
        <v>12470000</v>
      </c>
      <c r="O287" s="104">
        <v>17343151.300000001</v>
      </c>
      <c r="P287" s="104">
        <v>6500000</v>
      </c>
      <c r="Q287" s="104">
        <v>6500000</v>
      </c>
      <c r="R287" s="104">
        <v>9040135</v>
      </c>
      <c r="S287" s="104">
        <v>6500000</v>
      </c>
      <c r="T287" s="104">
        <v>6500000</v>
      </c>
      <c r="U287" s="112">
        <v>9040135</v>
      </c>
      <c r="V287" s="104" t="s">
        <v>75</v>
      </c>
      <c r="W287" s="104" t="s">
        <v>1689</v>
      </c>
      <c r="X287" s="104" t="s">
        <v>75</v>
      </c>
      <c r="Y287" s="104" t="s">
        <v>1690</v>
      </c>
      <c r="Z287" s="104" t="s">
        <v>75</v>
      </c>
      <c r="AA287" s="104">
        <v>999</v>
      </c>
      <c r="AB287" s="108" t="s">
        <v>1691</v>
      </c>
      <c r="AC287" s="104">
        <v>999</v>
      </c>
      <c r="AD287" s="105" t="s">
        <v>1692</v>
      </c>
      <c r="AE287" s="104">
        <v>999</v>
      </c>
      <c r="AF287" s="104" t="s">
        <v>1693</v>
      </c>
      <c r="AG287" s="104">
        <v>5</v>
      </c>
      <c r="AH287" s="109" t="s">
        <v>75</v>
      </c>
      <c r="AI287" s="109" t="s">
        <v>1694</v>
      </c>
      <c r="AJ287" s="109" t="s">
        <v>75</v>
      </c>
      <c r="AK287" s="109" t="s">
        <v>1695</v>
      </c>
      <c r="AL287" s="109" t="s">
        <v>121</v>
      </c>
      <c r="AM287" s="109" t="s">
        <v>75</v>
      </c>
      <c r="AN287" s="109" t="s">
        <v>75</v>
      </c>
      <c r="AO287" s="109" t="s">
        <v>78</v>
      </c>
      <c r="AP287" s="109" t="s">
        <v>75</v>
      </c>
      <c r="AQ287" s="109">
        <v>1</v>
      </c>
      <c r="AR287" s="109" t="s">
        <v>74</v>
      </c>
    </row>
    <row r="288" spans="1:44" ht="18" customHeight="1" x14ac:dyDescent="0.45">
      <c r="A288" s="104" t="s">
        <v>1696</v>
      </c>
      <c r="B288" s="126" t="s">
        <v>1697</v>
      </c>
      <c r="C288" s="105">
        <v>2019</v>
      </c>
      <c r="D288" s="105" t="s">
        <v>155</v>
      </c>
      <c r="E288" s="105" t="s">
        <v>78</v>
      </c>
      <c r="F288" s="105" t="s">
        <v>559</v>
      </c>
      <c r="G288" s="105" t="s">
        <v>520</v>
      </c>
      <c r="H288" s="105" t="s">
        <v>115</v>
      </c>
      <c r="I288" s="106" t="s">
        <v>115</v>
      </c>
      <c r="J288" s="104" t="s">
        <v>679</v>
      </c>
      <c r="K288" s="104" t="s">
        <v>81</v>
      </c>
      <c r="L288" s="104" t="s">
        <v>74</v>
      </c>
      <c r="M288" s="104">
        <v>90000000</v>
      </c>
      <c r="N288" s="104">
        <v>90000000</v>
      </c>
      <c r="O288" s="104">
        <v>125171100</v>
      </c>
      <c r="P288" s="104">
        <v>49962352.170000002</v>
      </c>
      <c r="Q288" s="104">
        <v>49962352.170000002</v>
      </c>
      <c r="R288" s="104">
        <v>69487139.774514303</v>
      </c>
      <c r="S288" s="104">
        <v>49962352.170000002</v>
      </c>
      <c r="T288" s="104">
        <v>49962352.170000002</v>
      </c>
      <c r="U288" s="112">
        <v>69487139.774514303</v>
      </c>
      <c r="V288" s="104" t="s">
        <v>81</v>
      </c>
      <c r="W288" s="104" t="s">
        <v>78</v>
      </c>
      <c r="X288" s="104" t="s">
        <v>81</v>
      </c>
      <c r="Y288" s="104" t="s">
        <v>1698</v>
      </c>
      <c r="Z288" s="104" t="s">
        <v>81</v>
      </c>
      <c r="AA288" s="104">
        <v>0</v>
      </c>
      <c r="AB288" s="108" t="s">
        <v>78</v>
      </c>
      <c r="AC288" s="104">
        <v>0</v>
      </c>
      <c r="AD288" s="105" t="s">
        <v>78</v>
      </c>
      <c r="AE288" s="104">
        <v>0</v>
      </c>
      <c r="AF288" s="104" t="s">
        <v>78</v>
      </c>
      <c r="AG288" s="104">
        <v>0</v>
      </c>
      <c r="AH288" s="109" t="s">
        <v>81</v>
      </c>
      <c r="AI288" s="109" t="s">
        <v>78</v>
      </c>
      <c r="AJ288" s="109" t="s">
        <v>81</v>
      </c>
      <c r="AK288" s="109" t="s">
        <v>1423</v>
      </c>
      <c r="AL288" s="109" t="s">
        <v>1523</v>
      </c>
      <c r="AM288" s="109" t="s">
        <v>81</v>
      </c>
      <c r="AN288" s="109" t="s">
        <v>81</v>
      </c>
      <c r="AO288" s="109" t="s">
        <v>78</v>
      </c>
      <c r="AP288" s="109" t="s">
        <v>81</v>
      </c>
      <c r="AQ288" s="109">
        <v>1</v>
      </c>
      <c r="AR288" s="109" t="s">
        <v>74</v>
      </c>
    </row>
    <row r="289" spans="1:44" ht="18" customHeight="1" x14ac:dyDescent="0.45">
      <c r="A289" s="104" t="s">
        <v>1699</v>
      </c>
      <c r="B289" s="126" t="s">
        <v>1700</v>
      </c>
      <c r="C289" s="105">
        <v>2019</v>
      </c>
      <c r="D289" s="105" t="s">
        <v>184</v>
      </c>
      <c r="E289" s="105" t="s">
        <v>78</v>
      </c>
      <c r="F289" s="105" t="s">
        <v>554</v>
      </c>
      <c r="G289" s="105" t="s">
        <v>520</v>
      </c>
      <c r="H289" s="105" t="s">
        <v>587</v>
      </c>
      <c r="I289" s="106" t="s">
        <v>256</v>
      </c>
      <c r="J289" s="104" t="s">
        <v>679</v>
      </c>
      <c r="K289" s="104" t="s">
        <v>81</v>
      </c>
      <c r="L289" s="104" t="s">
        <v>126</v>
      </c>
      <c r="M289" s="104">
        <v>222900000</v>
      </c>
      <c r="N289" s="104">
        <v>160268624.30704853</v>
      </c>
      <c r="O289" s="104">
        <v>222900000.00000003</v>
      </c>
      <c r="P289" s="104">
        <v>76026762.590000004</v>
      </c>
      <c r="Q289" s="104">
        <v>76026762.590000004</v>
      </c>
      <c r="R289" s="104">
        <v>105737261.1425461</v>
      </c>
      <c r="S289" s="104">
        <v>76026762.590000004</v>
      </c>
      <c r="T289" s="104">
        <v>76026762.590000004</v>
      </c>
      <c r="U289" s="112">
        <v>105737261.1425461</v>
      </c>
      <c r="V289" s="104" t="s">
        <v>75</v>
      </c>
      <c r="W289" s="104" t="s">
        <v>1701</v>
      </c>
      <c r="X289" s="104" t="s">
        <v>75</v>
      </c>
      <c r="Y289" s="104" t="s">
        <v>1702</v>
      </c>
      <c r="Z289" s="104" t="s">
        <v>75</v>
      </c>
      <c r="AA289" s="104">
        <v>999</v>
      </c>
      <c r="AB289" s="108" t="s">
        <v>1703</v>
      </c>
      <c r="AC289" s="104">
        <v>0</v>
      </c>
      <c r="AD289" s="105" t="s">
        <v>78</v>
      </c>
      <c r="AE289" s="104">
        <v>0</v>
      </c>
      <c r="AF289" s="104" t="s">
        <v>78</v>
      </c>
      <c r="AG289" s="104">
        <v>1</v>
      </c>
      <c r="AH289" s="109" t="s">
        <v>81</v>
      </c>
      <c r="AI289" s="109" t="s">
        <v>78</v>
      </c>
      <c r="AJ289" s="109" t="s">
        <v>75</v>
      </c>
      <c r="AK289" s="109" t="s">
        <v>1704</v>
      </c>
      <c r="AL289" s="109" t="s">
        <v>121</v>
      </c>
      <c r="AM289" s="109" t="s">
        <v>75</v>
      </c>
      <c r="AN289" s="109" t="s">
        <v>75</v>
      </c>
      <c r="AO289" s="109" t="s">
        <v>78</v>
      </c>
      <c r="AP289" s="109" t="s">
        <v>75</v>
      </c>
      <c r="AQ289" s="109">
        <v>1</v>
      </c>
      <c r="AR289" s="109" t="s">
        <v>126</v>
      </c>
    </row>
    <row r="290" spans="1:44" ht="18" customHeight="1" x14ac:dyDescent="0.45">
      <c r="A290" s="104" t="s">
        <v>1705</v>
      </c>
      <c r="B290" s="126" t="s">
        <v>1706</v>
      </c>
      <c r="C290" s="105">
        <v>2019</v>
      </c>
      <c r="D290" s="105" t="s">
        <v>151</v>
      </c>
      <c r="E290" s="105" t="s">
        <v>78</v>
      </c>
      <c r="F290" s="105" t="s">
        <v>546</v>
      </c>
      <c r="G290" s="105" t="s">
        <v>518</v>
      </c>
      <c r="H290" s="105" t="s">
        <v>115</v>
      </c>
      <c r="I290" s="106" t="s">
        <v>115</v>
      </c>
      <c r="J290" s="104" t="s">
        <v>689</v>
      </c>
      <c r="K290" s="104" t="s">
        <v>81</v>
      </c>
      <c r="L290" s="104" t="s">
        <v>126</v>
      </c>
      <c r="M290" s="104">
        <v>134650000</v>
      </c>
      <c r="N290" s="104">
        <v>96815478.972382605</v>
      </c>
      <c r="O290" s="104">
        <v>134650000</v>
      </c>
      <c r="P290" s="104">
        <v>145739269.59999999</v>
      </c>
      <c r="Q290" s="104">
        <v>145739269.59999999</v>
      </c>
      <c r="R290" s="104">
        <v>202692718.76698399</v>
      </c>
      <c r="S290" s="104">
        <v>145739269.59999999</v>
      </c>
      <c r="T290" s="104">
        <v>145739269.59999999</v>
      </c>
      <c r="U290" s="112">
        <v>202692718.76698399</v>
      </c>
      <c r="V290" s="104" t="s">
        <v>75</v>
      </c>
      <c r="W290" s="104" t="s">
        <v>1707</v>
      </c>
      <c r="X290" s="104" t="s">
        <v>75</v>
      </c>
      <c r="Y290" s="104" t="s">
        <v>1708</v>
      </c>
      <c r="Z290" s="104" t="s">
        <v>75</v>
      </c>
      <c r="AA290" s="104">
        <v>0</v>
      </c>
      <c r="AB290" s="108" t="s">
        <v>78</v>
      </c>
      <c r="AC290" s="104">
        <v>999</v>
      </c>
      <c r="AD290" s="105" t="s">
        <v>1709</v>
      </c>
      <c r="AE290" s="104">
        <v>0</v>
      </c>
      <c r="AF290" s="104" t="s">
        <v>78</v>
      </c>
      <c r="AG290" s="104">
        <v>1</v>
      </c>
      <c r="AH290" s="109" t="s">
        <v>75</v>
      </c>
      <c r="AI290" s="109" t="s">
        <v>1710</v>
      </c>
      <c r="AJ290" s="109" t="s">
        <v>75</v>
      </c>
      <c r="AK290" s="109" t="s">
        <v>1711</v>
      </c>
      <c r="AL290" s="109" t="s">
        <v>121</v>
      </c>
      <c r="AM290" s="109" t="s">
        <v>81</v>
      </c>
      <c r="AN290" s="109" t="s">
        <v>81</v>
      </c>
      <c r="AO290" s="109" t="s">
        <v>78</v>
      </c>
      <c r="AP290" s="109" t="s">
        <v>75</v>
      </c>
      <c r="AQ290" s="109">
        <v>1</v>
      </c>
      <c r="AR290" s="109" t="s">
        <v>126</v>
      </c>
    </row>
    <row r="291" spans="1:44" ht="18" customHeight="1" x14ac:dyDescent="0.45">
      <c r="A291" s="104" t="s">
        <v>1712</v>
      </c>
      <c r="B291" s="126" t="s">
        <v>1713</v>
      </c>
      <c r="C291" s="105">
        <v>2019</v>
      </c>
      <c r="D291" s="105" t="s">
        <v>226</v>
      </c>
      <c r="E291" s="105" t="s">
        <v>78</v>
      </c>
      <c r="F291" s="105" t="s">
        <v>534</v>
      </c>
      <c r="G291" s="105" t="s">
        <v>518</v>
      </c>
      <c r="H291" s="105" t="s">
        <v>587</v>
      </c>
      <c r="I291" s="106" t="s">
        <v>256</v>
      </c>
      <c r="J291" s="104" t="s">
        <v>679</v>
      </c>
      <c r="K291" s="104" t="s">
        <v>81</v>
      </c>
      <c r="L291" s="104" t="s">
        <v>104</v>
      </c>
      <c r="M291" s="104">
        <v>282440000</v>
      </c>
      <c r="N291" s="104">
        <v>232606404.00579786</v>
      </c>
      <c r="O291" s="104">
        <v>323506660.62722361</v>
      </c>
      <c r="P291" s="104">
        <v>86947420.959999993</v>
      </c>
      <c r="Q291" s="104">
        <v>86947420.959999993</v>
      </c>
      <c r="R291" s="104">
        <v>120925603.59695838</v>
      </c>
      <c r="S291" s="104">
        <v>86947420.959999993</v>
      </c>
      <c r="T291" s="104">
        <v>86947420.959999993</v>
      </c>
      <c r="U291" s="112">
        <v>120925603.59695838</v>
      </c>
      <c r="V291" s="104" t="s">
        <v>75</v>
      </c>
      <c r="W291" s="104" t="s">
        <v>1689</v>
      </c>
      <c r="X291" s="104" t="s">
        <v>75</v>
      </c>
      <c r="Y291" s="104" t="s">
        <v>1714</v>
      </c>
      <c r="Z291" s="104" t="s">
        <v>75</v>
      </c>
      <c r="AA291" s="104">
        <v>999</v>
      </c>
      <c r="AB291" s="108" t="s">
        <v>1715</v>
      </c>
      <c r="AC291" s="104">
        <v>999</v>
      </c>
      <c r="AD291" s="105" t="s">
        <v>1716</v>
      </c>
      <c r="AE291" s="104">
        <v>0</v>
      </c>
      <c r="AF291" s="104" t="s">
        <v>78</v>
      </c>
      <c r="AG291" s="104">
        <v>3</v>
      </c>
      <c r="AH291" s="109" t="s">
        <v>81</v>
      </c>
      <c r="AI291" s="109" t="s">
        <v>78</v>
      </c>
      <c r="AJ291" s="109" t="s">
        <v>75</v>
      </c>
      <c r="AK291" s="109" t="s">
        <v>1695</v>
      </c>
      <c r="AL291" s="109" t="s">
        <v>121</v>
      </c>
      <c r="AM291" s="109" t="s">
        <v>75</v>
      </c>
      <c r="AN291" s="109" t="s">
        <v>75</v>
      </c>
      <c r="AO291" s="109" t="s">
        <v>78</v>
      </c>
      <c r="AP291" s="109" t="s">
        <v>75</v>
      </c>
      <c r="AQ291" s="109">
        <v>1</v>
      </c>
      <c r="AR291" s="109" t="s">
        <v>104</v>
      </c>
    </row>
    <row r="292" spans="1:44" ht="18" customHeight="1" x14ac:dyDescent="0.45">
      <c r="A292" s="104" t="s">
        <v>1717</v>
      </c>
      <c r="B292" s="126" t="s">
        <v>1718</v>
      </c>
      <c r="C292" s="105">
        <v>2019</v>
      </c>
      <c r="D292" s="105" t="s">
        <v>135</v>
      </c>
      <c r="E292" s="105" t="s">
        <v>78</v>
      </c>
      <c r="F292" s="105" t="s">
        <v>530</v>
      </c>
      <c r="G292" s="105" t="s">
        <v>520</v>
      </c>
      <c r="H292" s="105" t="s">
        <v>228</v>
      </c>
      <c r="I292" s="106" t="s">
        <v>228</v>
      </c>
      <c r="J292" s="104" t="s">
        <v>676</v>
      </c>
      <c r="K292" s="104" t="s">
        <v>81</v>
      </c>
      <c r="L292" s="104" t="s">
        <v>104</v>
      </c>
      <c r="M292" s="104">
        <v>140690000</v>
      </c>
      <c r="N292" s="104">
        <v>115866714.9822111</v>
      </c>
      <c r="O292" s="104">
        <v>161146268.53010938</v>
      </c>
      <c r="P292" s="104">
        <v>89882685</v>
      </c>
      <c r="Q292" s="104">
        <v>89882685</v>
      </c>
      <c r="R292" s="104">
        <v>125007939.47115</v>
      </c>
      <c r="S292" s="104">
        <v>89882685</v>
      </c>
      <c r="T292" s="104">
        <v>89882685</v>
      </c>
      <c r="U292" s="112">
        <v>125007939.47115</v>
      </c>
      <c r="V292" s="104" t="s">
        <v>75</v>
      </c>
      <c r="W292" s="104" t="s">
        <v>1719</v>
      </c>
      <c r="X292" s="104" t="s">
        <v>75</v>
      </c>
      <c r="Y292" s="104" t="s">
        <v>1720</v>
      </c>
      <c r="Z292" s="104" t="s">
        <v>75</v>
      </c>
      <c r="AA292" s="104">
        <v>0</v>
      </c>
      <c r="AB292" s="108" t="s">
        <v>78</v>
      </c>
      <c r="AC292" s="104">
        <v>999</v>
      </c>
      <c r="AD292" s="105" t="s">
        <v>1721</v>
      </c>
      <c r="AE292" s="104">
        <v>0</v>
      </c>
      <c r="AF292" s="104" t="s">
        <v>78</v>
      </c>
      <c r="AG292" s="104">
        <v>3</v>
      </c>
      <c r="AH292" s="109" t="s">
        <v>81</v>
      </c>
      <c r="AI292" s="109" t="s">
        <v>78</v>
      </c>
      <c r="AJ292" s="109" t="s">
        <v>81</v>
      </c>
      <c r="AK292" s="109" t="s">
        <v>1423</v>
      </c>
      <c r="AL292" s="109" t="s">
        <v>121</v>
      </c>
      <c r="AM292" s="109" t="s">
        <v>75</v>
      </c>
      <c r="AN292" s="109" t="s">
        <v>75</v>
      </c>
      <c r="AO292" s="109" t="s">
        <v>78</v>
      </c>
      <c r="AP292" s="109" t="s">
        <v>75</v>
      </c>
      <c r="AQ292" s="109">
        <v>1</v>
      </c>
      <c r="AR292" s="109" t="s">
        <v>104</v>
      </c>
    </row>
    <row r="293" spans="1:44" ht="18" customHeight="1" x14ac:dyDescent="0.45">
      <c r="A293" s="104" t="s">
        <v>1722</v>
      </c>
      <c r="B293" s="126" t="s">
        <v>1723</v>
      </c>
      <c r="C293" s="105">
        <v>2019</v>
      </c>
      <c r="D293" s="105" t="s">
        <v>314</v>
      </c>
      <c r="E293" s="105" t="s">
        <v>78</v>
      </c>
      <c r="F293" s="105" t="s">
        <v>557</v>
      </c>
      <c r="G293" s="105" t="s">
        <v>522</v>
      </c>
      <c r="H293" s="105" t="s">
        <v>585</v>
      </c>
      <c r="I293" s="106" t="s">
        <v>228</v>
      </c>
      <c r="J293" s="104" t="s">
        <v>1722</v>
      </c>
      <c r="K293" s="104" t="s">
        <v>81</v>
      </c>
      <c r="L293" s="104" t="s">
        <v>126</v>
      </c>
      <c r="M293" s="104">
        <v>60000000</v>
      </c>
      <c r="N293" s="104">
        <v>43140948.669461243</v>
      </c>
      <c r="O293" s="104">
        <v>60000000</v>
      </c>
      <c r="P293" s="104">
        <v>43703110</v>
      </c>
      <c r="Q293" s="104">
        <v>43703110</v>
      </c>
      <c r="R293" s="104">
        <v>60781848.356899999</v>
      </c>
      <c r="S293" s="104">
        <v>43703110</v>
      </c>
      <c r="T293" s="104">
        <v>43703110</v>
      </c>
      <c r="U293" s="112">
        <v>60781848.356899999</v>
      </c>
      <c r="V293" s="104" t="s">
        <v>81</v>
      </c>
      <c r="W293" s="104" t="s">
        <v>78</v>
      </c>
      <c r="X293" s="104" t="s">
        <v>75</v>
      </c>
      <c r="Y293" s="104" t="s">
        <v>1724</v>
      </c>
      <c r="Z293" s="104" t="s">
        <v>75</v>
      </c>
      <c r="AA293" s="104">
        <v>0</v>
      </c>
      <c r="AB293" s="108" t="s">
        <v>78</v>
      </c>
      <c r="AC293" s="104">
        <v>999</v>
      </c>
      <c r="AD293" s="105" t="s">
        <v>1725</v>
      </c>
      <c r="AE293" s="104">
        <v>0</v>
      </c>
      <c r="AF293" s="104" t="s">
        <v>78</v>
      </c>
      <c r="AG293" s="104">
        <v>1</v>
      </c>
      <c r="AH293" s="109" t="s">
        <v>81</v>
      </c>
      <c r="AI293" s="109" t="s">
        <v>78</v>
      </c>
      <c r="AJ293" s="109" t="s">
        <v>81</v>
      </c>
      <c r="AK293" s="109" t="s">
        <v>1423</v>
      </c>
      <c r="AL293" s="109" t="s">
        <v>397</v>
      </c>
      <c r="AM293" s="109" t="s">
        <v>75</v>
      </c>
      <c r="AN293" s="109" t="s">
        <v>81</v>
      </c>
      <c r="AO293" s="109" t="s">
        <v>78</v>
      </c>
      <c r="AP293" s="109" t="s">
        <v>81</v>
      </c>
      <c r="AQ293" s="109">
        <v>1</v>
      </c>
      <c r="AR293" s="109" t="s">
        <v>126</v>
      </c>
    </row>
    <row r="294" spans="1:44" ht="18" customHeight="1" x14ac:dyDescent="0.45">
      <c r="A294" s="104" t="s">
        <v>1726</v>
      </c>
      <c r="B294" s="127" t="s">
        <v>1727</v>
      </c>
      <c r="C294" s="105">
        <v>2019</v>
      </c>
      <c r="D294" s="105" t="s">
        <v>145</v>
      </c>
      <c r="E294" s="105" t="s">
        <v>78</v>
      </c>
      <c r="F294" s="105" t="s">
        <v>543</v>
      </c>
      <c r="G294" s="105" t="s">
        <v>522</v>
      </c>
      <c r="H294" s="105" t="s">
        <v>572</v>
      </c>
      <c r="I294" s="106" t="s">
        <v>466</v>
      </c>
      <c r="J294" s="104" t="s">
        <v>676</v>
      </c>
      <c r="K294" s="104" t="s">
        <v>81</v>
      </c>
      <c r="L294" s="104" t="s">
        <v>74</v>
      </c>
      <c r="M294" s="104">
        <v>31080000</v>
      </c>
      <c r="N294" s="104">
        <v>31080000</v>
      </c>
      <c r="O294" s="104">
        <v>43225753.199999996</v>
      </c>
      <c r="P294" s="104">
        <v>26900000</v>
      </c>
      <c r="Q294" s="104">
        <v>26900000</v>
      </c>
      <c r="R294" s="104">
        <v>37412251</v>
      </c>
      <c r="S294" s="104">
        <v>26900000</v>
      </c>
      <c r="T294" s="104">
        <v>26900000</v>
      </c>
      <c r="U294" s="112">
        <v>37412251</v>
      </c>
      <c r="V294" s="104" t="s">
        <v>81</v>
      </c>
      <c r="W294" s="104" t="s">
        <v>78</v>
      </c>
      <c r="X294" s="104" t="s">
        <v>81</v>
      </c>
      <c r="Y294" s="104" t="s">
        <v>1728</v>
      </c>
      <c r="Z294" s="104" t="s">
        <v>81</v>
      </c>
      <c r="AA294" s="104">
        <v>0</v>
      </c>
      <c r="AB294" s="108" t="s">
        <v>78</v>
      </c>
      <c r="AC294" s="104">
        <v>0</v>
      </c>
      <c r="AD294" s="105" t="s">
        <v>78</v>
      </c>
      <c r="AE294" s="104">
        <v>0</v>
      </c>
      <c r="AF294" s="104" t="s">
        <v>78</v>
      </c>
      <c r="AG294" s="104">
        <v>0</v>
      </c>
      <c r="AH294" s="109" t="s">
        <v>81</v>
      </c>
      <c r="AI294" s="109" t="s">
        <v>78</v>
      </c>
      <c r="AJ294" s="109" t="s">
        <v>81</v>
      </c>
      <c r="AK294" s="109" t="s">
        <v>1423</v>
      </c>
      <c r="AL294" s="109" t="s">
        <v>1523</v>
      </c>
      <c r="AM294" s="109" t="s">
        <v>81</v>
      </c>
      <c r="AN294" s="109" t="s">
        <v>81</v>
      </c>
      <c r="AO294" s="109" t="s">
        <v>78</v>
      </c>
      <c r="AP294" s="109" t="s">
        <v>81</v>
      </c>
      <c r="AQ294" s="109">
        <v>1</v>
      </c>
      <c r="AR294" s="109" t="s">
        <v>74</v>
      </c>
    </row>
    <row r="295" spans="1:44" ht="18" customHeight="1" x14ac:dyDescent="0.45">
      <c r="A295" s="104" t="s">
        <v>1729</v>
      </c>
      <c r="B295" s="126" t="s">
        <v>1730</v>
      </c>
      <c r="C295" s="105">
        <v>2019</v>
      </c>
      <c r="D295" s="105" t="s">
        <v>155</v>
      </c>
      <c r="E295" s="105" t="s">
        <v>78</v>
      </c>
      <c r="F295" s="105" t="s">
        <v>559</v>
      </c>
      <c r="G295" s="105" t="s">
        <v>520</v>
      </c>
      <c r="H295" s="105" t="s">
        <v>584</v>
      </c>
      <c r="I295" s="106" t="s">
        <v>228</v>
      </c>
      <c r="J295" s="104" t="s">
        <v>679</v>
      </c>
      <c r="K295" s="104" t="s">
        <v>81</v>
      </c>
      <c r="L295" s="104" t="s">
        <v>104</v>
      </c>
      <c r="M295" s="104">
        <v>121980000</v>
      </c>
      <c r="N295" s="104">
        <v>100457899.59151404</v>
      </c>
      <c r="O295" s="104">
        <v>139715842.17288181</v>
      </c>
      <c r="P295" s="104">
        <v>34560000</v>
      </c>
      <c r="Q295" s="104">
        <v>34560000</v>
      </c>
      <c r="R295" s="104">
        <v>48065702.399999999</v>
      </c>
      <c r="S295" s="104">
        <v>34560000</v>
      </c>
      <c r="T295" s="104">
        <v>34560000</v>
      </c>
      <c r="U295" s="112">
        <v>48065702.399999999</v>
      </c>
      <c r="V295" s="104" t="s">
        <v>75</v>
      </c>
      <c r="W295" s="104" t="s">
        <v>1731</v>
      </c>
      <c r="X295" s="104" t="s">
        <v>75</v>
      </c>
      <c r="Y295" s="104" t="s">
        <v>1732</v>
      </c>
      <c r="Z295" s="104" t="s">
        <v>81</v>
      </c>
      <c r="AA295" s="104">
        <v>0</v>
      </c>
      <c r="AB295" s="108" t="s">
        <v>78</v>
      </c>
      <c r="AC295" s="104">
        <v>999</v>
      </c>
      <c r="AD295" s="105" t="s">
        <v>1733</v>
      </c>
      <c r="AE295" s="104">
        <v>999</v>
      </c>
      <c r="AF295" s="104" t="s">
        <v>1734</v>
      </c>
      <c r="AG295" s="104">
        <v>2</v>
      </c>
      <c r="AH295" s="109" t="s">
        <v>81</v>
      </c>
      <c r="AI295" s="109" t="s">
        <v>78</v>
      </c>
      <c r="AJ295" s="109" t="s">
        <v>75</v>
      </c>
      <c r="AK295" s="109" t="s">
        <v>1735</v>
      </c>
      <c r="AL295" s="109" t="s">
        <v>121</v>
      </c>
      <c r="AM295" s="109" t="s">
        <v>75</v>
      </c>
      <c r="AN295" s="109" t="s">
        <v>81</v>
      </c>
      <c r="AO295" s="109" t="s">
        <v>78</v>
      </c>
      <c r="AP295" s="109" t="s">
        <v>75</v>
      </c>
      <c r="AQ295" s="109">
        <v>1</v>
      </c>
      <c r="AR295" s="109" t="s">
        <v>104</v>
      </c>
    </row>
    <row r="296" spans="1:44" ht="18" customHeight="1" x14ac:dyDescent="0.45">
      <c r="A296" s="104" t="s">
        <v>1736</v>
      </c>
      <c r="B296" s="126" t="s">
        <v>1737</v>
      </c>
      <c r="C296" s="105">
        <v>2019</v>
      </c>
      <c r="D296" s="105" t="s">
        <v>502</v>
      </c>
      <c r="E296" s="105" t="s">
        <v>78</v>
      </c>
      <c r="F296" s="105" t="s">
        <v>548</v>
      </c>
      <c r="G296" s="105" t="s">
        <v>520</v>
      </c>
      <c r="H296" s="105" t="s">
        <v>584</v>
      </c>
      <c r="I296" s="106" t="s">
        <v>228</v>
      </c>
      <c r="J296" s="104" t="s">
        <v>679</v>
      </c>
      <c r="K296" s="104" t="s">
        <v>75</v>
      </c>
      <c r="L296" s="104" t="s">
        <v>74</v>
      </c>
      <c r="M296" s="104">
        <v>37400000</v>
      </c>
      <c r="N296" s="104">
        <v>37400000</v>
      </c>
      <c r="O296" s="104">
        <v>52015546</v>
      </c>
      <c r="P296" s="104">
        <v>10500000</v>
      </c>
      <c r="Q296" s="104">
        <v>10500000</v>
      </c>
      <c r="R296" s="104">
        <v>14603295</v>
      </c>
      <c r="S296" s="104">
        <v>0</v>
      </c>
      <c r="T296" s="104">
        <v>0</v>
      </c>
      <c r="U296" s="112">
        <v>0</v>
      </c>
      <c r="V296" s="104" t="s">
        <v>75</v>
      </c>
      <c r="W296" s="104" t="s">
        <v>1738</v>
      </c>
      <c r="X296" s="104" t="s">
        <v>75</v>
      </c>
      <c r="Y296" s="104" t="s">
        <v>1739</v>
      </c>
      <c r="Z296" s="104" t="s">
        <v>75</v>
      </c>
      <c r="AA296" s="104">
        <v>0</v>
      </c>
      <c r="AB296" s="108" t="s">
        <v>78</v>
      </c>
      <c r="AC296" s="104">
        <v>999</v>
      </c>
      <c r="AD296" s="105" t="s">
        <v>1740</v>
      </c>
      <c r="AE296" s="104">
        <v>0</v>
      </c>
      <c r="AF296" s="104" t="s">
        <v>78</v>
      </c>
      <c r="AG296" s="104">
        <v>1</v>
      </c>
      <c r="AH296" s="109" t="s">
        <v>81</v>
      </c>
      <c r="AI296" s="109" t="s">
        <v>78</v>
      </c>
      <c r="AJ296" s="109" t="s">
        <v>75</v>
      </c>
      <c r="AK296" s="109" t="s">
        <v>1735</v>
      </c>
      <c r="AL296" s="109" t="s">
        <v>121</v>
      </c>
      <c r="AM296" s="109" t="s">
        <v>75</v>
      </c>
      <c r="AN296" s="109" t="s">
        <v>75</v>
      </c>
      <c r="AO296" s="109" t="s">
        <v>78</v>
      </c>
      <c r="AP296" s="109" t="s">
        <v>75</v>
      </c>
      <c r="AQ296" s="109">
        <v>1</v>
      </c>
      <c r="AR296" s="109" t="s">
        <v>74</v>
      </c>
    </row>
    <row r="297" spans="1:44" ht="18" customHeight="1" x14ac:dyDescent="0.45">
      <c r="A297" s="104" t="s">
        <v>1741</v>
      </c>
      <c r="B297" s="126" t="s">
        <v>1742</v>
      </c>
      <c r="C297" s="105">
        <v>2019</v>
      </c>
      <c r="D297" s="105" t="s">
        <v>135</v>
      </c>
      <c r="E297" s="105" t="s">
        <v>78</v>
      </c>
      <c r="F297" s="105" t="s">
        <v>530</v>
      </c>
      <c r="G297" s="105" t="s">
        <v>520</v>
      </c>
      <c r="H297" s="105" t="s">
        <v>597</v>
      </c>
      <c r="I297" s="106" t="s">
        <v>101</v>
      </c>
      <c r="J297" s="104" t="s">
        <v>679</v>
      </c>
      <c r="K297" s="104" t="s">
        <v>81</v>
      </c>
      <c r="L297" s="104" t="s">
        <v>104</v>
      </c>
      <c r="M297" s="104">
        <v>175846576</v>
      </c>
      <c r="N297" s="104">
        <v>144820279.35169324</v>
      </c>
      <c r="O297" s="104">
        <v>201414596.31954145</v>
      </c>
      <c r="P297" s="104">
        <v>61767031.229999997</v>
      </c>
      <c r="Q297" s="104">
        <v>61767031.229999997</v>
      </c>
      <c r="R297" s="104">
        <v>85904969.364371687</v>
      </c>
      <c r="S297" s="104">
        <v>61767031.229999997</v>
      </c>
      <c r="T297" s="104">
        <v>61767031.229999997</v>
      </c>
      <c r="U297" s="112">
        <v>85904969.364371687</v>
      </c>
      <c r="V297" s="104" t="s">
        <v>75</v>
      </c>
      <c r="W297" s="104" t="s">
        <v>1743</v>
      </c>
      <c r="X297" s="104" t="s">
        <v>75</v>
      </c>
      <c r="Y297" s="104" t="s">
        <v>1744</v>
      </c>
      <c r="Z297" s="104" t="s">
        <v>75</v>
      </c>
      <c r="AA297" s="104">
        <v>0</v>
      </c>
      <c r="AB297" s="108" t="s">
        <v>78</v>
      </c>
      <c r="AC297" s="104">
        <v>999</v>
      </c>
      <c r="AD297" s="105" t="s">
        <v>1745</v>
      </c>
      <c r="AE297" s="104">
        <v>999</v>
      </c>
      <c r="AF297" s="104" t="s">
        <v>1746</v>
      </c>
      <c r="AG297" s="104">
        <v>3</v>
      </c>
      <c r="AH297" s="109" t="s">
        <v>75</v>
      </c>
      <c r="AI297" s="109" t="s">
        <v>1747</v>
      </c>
      <c r="AJ297" s="109" t="s">
        <v>75</v>
      </c>
      <c r="AK297" s="109" t="s">
        <v>1748</v>
      </c>
      <c r="AL297" s="109" t="s">
        <v>286</v>
      </c>
      <c r="AM297" s="109" t="s">
        <v>75</v>
      </c>
      <c r="AN297" s="109" t="s">
        <v>75</v>
      </c>
      <c r="AO297" s="109" t="s">
        <v>78</v>
      </c>
      <c r="AP297" s="109" t="s">
        <v>75</v>
      </c>
      <c r="AQ297" s="109">
        <v>1</v>
      </c>
      <c r="AR297" s="109" t="s">
        <v>104</v>
      </c>
    </row>
    <row r="298" spans="1:44" ht="18" customHeight="1" x14ac:dyDescent="0.45">
      <c r="A298" s="104" t="s">
        <v>68</v>
      </c>
      <c r="B298" s="126" t="s">
        <v>69</v>
      </c>
      <c r="C298" s="105">
        <v>2020</v>
      </c>
      <c r="D298" s="105" t="s">
        <v>70</v>
      </c>
      <c r="E298" s="105">
        <v>0</v>
      </c>
      <c r="F298" s="105" t="s">
        <v>570</v>
      </c>
      <c r="G298" s="105" t="s">
        <v>519</v>
      </c>
      <c r="H298" s="105" t="s">
        <v>71</v>
      </c>
      <c r="I298" s="106" t="s">
        <v>72</v>
      </c>
      <c r="J298" s="104" t="s">
        <v>73</v>
      </c>
      <c r="K298" s="104" t="s">
        <v>81</v>
      </c>
      <c r="L298" s="104" t="s">
        <v>74</v>
      </c>
      <c r="M298" s="104">
        <v>11110000</v>
      </c>
      <c r="N298" s="104">
        <v>11110000</v>
      </c>
      <c r="O298" s="104">
        <v>15363241.300000001</v>
      </c>
      <c r="P298" s="104" t="s">
        <v>659</v>
      </c>
      <c r="Q298" s="104" t="s">
        <v>659</v>
      </c>
      <c r="R298" s="104" t="s">
        <v>659</v>
      </c>
      <c r="S298" s="104">
        <v>10000000</v>
      </c>
      <c r="T298" s="104">
        <v>10000000</v>
      </c>
      <c r="U298" s="112">
        <v>13828300</v>
      </c>
      <c r="V298" s="104" t="s">
        <v>75</v>
      </c>
      <c r="W298" s="104" t="s">
        <v>76</v>
      </c>
      <c r="X298" s="104" t="s">
        <v>75</v>
      </c>
      <c r="Y298" s="104" t="s">
        <v>77</v>
      </c>
      <c r="Z298" s="104" t="s">
        <v>75</v>
      </c>
      <c r="AA298" s="104">
        <v>0</v>
      </c>
      <c r="AB298" s="108" t="s">
        <v>78</v>
      </c>
      <c r="AC298" s="104">
        <v>1</v>
      </c>
      <c r="AD298" s="105" t="s">
        <v>79</v>
      </c>
      <c r="AE298" s="104">
        <v>1</v>
      </c>
      <c r="AF298" s="104" t="s">
        <v>80</v>
      </c>
      <c r="AG298" s="104">
        <v>2</v>
      </c>
      <c r="AH298" s="109" t="s">
        <v>81</v>
      </c>
      <c r="AI298" s="109">
        <v>0</v>
      </c>
      <c r="AJ298" s="109" t="s">
        <v>75</v>
      </c>
      <c r="AK298" s="109" t="s">
        <v>82</v>
      </c>
      <c r="AL298" s="109" t="s">
        <v>83</v>
      </c>
      <c r="AM298" s="109" t="s">
        <v>75</v>
      </c>
      <c r="AN298" s="109" t="s">
        <v>81</v>
      </c>
      <c r="AO298" s="109" t="s">
        <v>84</v>
      </c>
      <c r="AP298" s="109" t="s">
        <v>75</v>
      </c>
      <c r="AQ298" s="109">
        <v>1</v>
      </c>
      <c r="AR298" s="109" t="s">
        <v>74</v>
      </c>
    </row>
    <row r="299" spans="1:44" ht="18" customHeight="1" x14ac:dyDescent="0.45">
      <c r="A299" s="104" t="s">
        <v>85</v>
      </c>
      <c r="B299" s="126" t="s">
        <v>86</v>
      </c>
      <c r="C299" s="105">
        <v>2020</v>
      </c>
      <c r="D299" s="105" t="s">
        <v>87</v>
      </c>
      <c r="E299" s="105" t="s">
        <v>88</v>
      </c>
      <c r="F299" s="105" t="s">
        <v>87</v>
      </c>
      <c r="G299" s="105" t="s">
        <v>87</v>
      </c>
      <c r="H299" s="105" t="s">
        <v>89</v>
      </c>
      <c r="I299" s="106" t="s">
        <v>72</v>
      </c>
      <c r="J299" s="104" t="s">
        <v>90</v>
      </c>
      <c r="K299" s="104" t="s">
        <v>81</v>
      </c>
      <c r="L299" s="104" t="s">
        <v>74</v>
      </c>
      <c r="M299" s="104">
        <v>16000000</v>
      </c>
      <c r="N299" s="104">
        <v>16000000</v>
      </c>
      <c r="O299" s="104">
        <v>22125280</v>
      </c>
      <c r="P299" s="104" t="s">
        <v>659</v>
      </c>
      <c r="Q299" s="104" t="s">
        <v>659</v>
      </c>
      <c r="R299" s="104" t="s">
        <v>659</v>
      </c>
      <c r="S299" s="104">
        <v>15000000</v>
      </c>
      <c r="T299" s="104">
        <v>15000000</v>
      </c>
      <c r="U299" s="112">
        <v>20742450</v>
      </c>
      <c r="V299" s="104" t="s">
        <v>75</v>
      </c>
      <c r="W299" s="104" t="s">
        <v>91</v>
      </c>
      <c r="X299" s="104" t="s">
        <v>75</v>
      </c>
      <c r="Y299" s="104" t="s">
        <v>92</v>
      </c>
      <c r="Z299" s="104" t="s">
        <v>75</v>
      </c>
      <c r="AA299" s="104">
        <v>0</v>
      </c>
      <c r="AB299" s="108" t="s">
        <v>78</v>
      </c>
      <c r="AC299" s="104">
        <v>1</v>
      </c>
      <c r="AD299" s="105" t="s">
        <v>93</v>
      </c>
      <c r="AE299" s="104">
        <v>4</v>
      </c>
      <c r="AF299" s="104" t="s">
        <v>94</v>
      </c>
      <c r="AG299" s="104">
        <v>5</v>
      </c>
      <c r="AH299" s="109" t="s">
        <v>75</v>
      </c>
      <c r="AI299" s="109" t="s">
        <v>95</v>
      </c>
      <c r="AJ299" s="109" t="s">
        <v>75</v>
      </c>
      <c r="AK299" s="109" t="s">
        <v>96</v>
      </c>
      <c r="AL299" s="109" t="s">
        <v>83</v>
      </c>
      <c r="AM299" s="109" t="s">
        <v>75</v>
      </c>
      <c r="AN299" s="109" t="s">
        <v>81</v>
      </c>
      <c r="AO299" s="109" t="s">
        <v>84</v>
      </c>
      <c r="AP299" s="109" t="s">
        <v>75</v>
      </c>
      <c r="AQ299" s="109">
        <v>1</v>
      </c>
      <c r="AR299" s="109" t="s">
        <v>74</v>
      </c>
    </row>
    <row r="300" spans="1:44" ht="18" customHeight="1" x14ac:dyDescent="0.45">
      <c r="A300" s="104" t="s">
        <v>97</v>
      </c>
      <c r="B300" s="126" t="s">
        <v>98</v>
      </c>
      <c r="C300" s="105">
        <v>2020</v>
      </c>
      <c r="D300" s="105" t="s">
        <v>99</v>
      </c>
      <c r="E300" s="105">
        <v>0</v>
      </c>
      <c r="F300" s="105" t="s">
        <v>532</v>
      </c>
      <c r="G300" s="105" t="s">
        <v>520</v>
      </c>
      <c r="H300" s="105" t="s">
        <v>100</v>
      </c>
      <c r="I300" s="106" t="s">
        <v>101</v>
      </c>
      <c r="J300" s="104" t="s">
        <v>103</v>
      </c>
      <c r="K300" s="104" t="s">
        <v>81</v>
      </c>
      <c r="L300" s="104" t="s">
        <v>104</v>
      </c>
      <c r="M300" s="104">
        <v>35740000</v>
      </c>
      <c r="N300" s="104">
        <v>28918665.242580183</v>
      </c>
      <c r="O300" s="104">
        <v>39989597.857397154</v>
      </c>
      <c r="P300" s="104" t="s">
        <v>659</v>
      </c>
      <c r="Q300" s="104" t="s">
        <v>659</v>
      </c>
      <c r="R300" s="104" t="s">
        <v>659</v>
      </c>
      <c r="S300" s="104">
        <v>17870000</v>
      </c>
      <c r="T300" s="104">
        <v>14459332.621290091</v>
      </c>
      <c r="U300" s="112">
        <v>19994798.928698577</v>
      </c>
      <c r="V300" s="104" t="s">
        <v>75</v>
      </c>
      <c r="W300" s="104" t="s">
        <v>105</v>
      </c>
      <c r="X300" s="104" t="s">
        <v>75</v>
      </c>
      <c r="Y300" s="104" t="s">
        <v>106</v>
      </c>
      <c r="Z300" s="104" t="s">
        <v>75</v>
      </c>
      <c r="AA300" s="104">
        <v>0</v>
      </c>
      <c r="AB300" s="108" t="s">
        <v>78</v>
      </c>
      <c r="AC300" s="104">
        <v>1</v>
      </c>
      <c r="AD300" s="105" t="s">
        <v>107</v>
      </c>
      <c r="AE300" s="104">
        <v>2</v>
      </c>
      <c r="AF300" s="104" t="s">
        <v>108</v>
      </c>
      <c r="AG300" s="104">
        <v>3</v>
      </c>
      <c r="AH300" s="109" t="s">
        <v>81</v>
      </c>
      <c r="AI300" s="109">
        <v>0</v>
      </c>
      <c r="AJ300" s="109" t="s">
        <v>75</v>
      </c>
      <c r="AK300" s="109" t="s">
        <v>109</v>
      </c>
      <c r="AL300" s="109" t="s">
        <v>83</v>
      </c>
      <c r="AM300" s="109" t="s">
        <v>75</v>
      </c>
      <c r="AN300" s="109" t="s">
        <v>81</v>
      </c>
      <c r="AO300" s="109" t="s">
        <v>110</v>
      </c>
      <c r="AP300" s="109" t="s">
        <v>75</v>
      </c>
      <c r="AQ300" s="109">
        <v>1</v>
      </c>
      <c r="AR300" s="109" t="s">
        <v>104</v>
      </c>
    </row>
    <row r="301" spans="1:44" ht="18" customHeight="1" x14ac:dyDescent="0.45">
      <c r="A301" s="104" t="s">
        <v>111</v>
      </c>
      <c r="B301" s="126" t="s">
        <v>112</v>
      </c>
      <c r="C301" s="105">
        <v>2020</v>
      </c>
      <c r="D301" s="105" t="s">
        <v>113</v>
      </c>
      <c r="E301" s="105">
        <v>0</v>
      </c>
      <c r="F301" s="105" t="s">
        <v>565</v>
      </c>
      <c r="G301" s="105" t="s">
        <v>518</v>
      </c>
      <c r="H301" s="105" t="s">
        <v>114</v>
      </c>
      <c r="I301" s="106" t="s">
        <v>115</v>
      </c>
      <c r="J301" s="104" t="s">
        <v>116</v>
      </c>
      <c r="K301" s="104" t="s">
        <v>81</v>
      </c>
      <c r="L301" s="104" t="s">
        <v>104</v>
      </c>
      <c r="M301" s="104">
        <v>180000000</v>
      </c>
      <c r="N301" s="104">
        <v>145645208.27264783</v>
      </c>
      <c r="O301" s="104">
        <v>201402563.35566559</v>
      </c>
      <c r="P301" s="104" t="s">
        <v>659</v>
      </c>
      <c r="Q301" s="104" t="s">
        <v>659</v>
      </c>
      <c r="R301" s="104" t="s">
        <v>659</v>
      </c>
      <c r="S301" s="104">
        <v>180000000</v>
      </c>
      <c r="T301" s="104">
        <v>145645208.27264783</v>
      </c>
      <c r="U301" s="112">
        <v>201402563.35566559</v>
      </c>
      <c r="V301" s="104" t="s">
        <v>75</v>
      </c>
      <c r="W301" s="104" t="s">
        <v>117</v>
      </c>
      <c r="X301" s="104" t="s">
        <v>75</v>
      </c>
      <c r="Y301" s="104" t="s">
        <v>118</v>
      </c>
      <c r="Z301" s="104" t="s">
        <v>75</v>
      </c>
      <c r="AA301" s="104">
        <v>0</v>
      </c>
      <c r="AB301" s="108" t="s">
        <v>78</v>
      </c>
      <c r="AC301" s="104">
        <v>0</v>
      </c>
      <c r="AD301" s="105" t="s">
        <v>78</v>
      </c>
      <c r="AE301" s="104">
        <v>1</v>
      </c>
      <c r="AF301" s="104" t="s">
        <v>119</v>
      </c>
      <c r="AG301" s="104">
        <v>1</v>
      </c>
      <c r="AH301" s="109" t="s">
        <v>81</v>
      </c>
      <c r="AI301" s="109">
        <v>0</v>
      </c>
      <c r="AJ301" s="109" t="s">
        <v>75</v>
      </c>
      <c r="AK301" s="109" t="s">
        <v>120</v>
      </c>
      <c r="AL301" s="109" t="s">
        <v>121</v>
      </c>
      <c r="AM301" s="109" t="s">
        <v>75</v>
      </c>
      <c r="AN301" s="109" t="s">
        <v>75</v>
      </c>
      <c r="AO301" s="109" t="s">
        <v>84</v>
      </c>
      <c r="AP301" s="109" t="s">
        <v>81</v>
      </c>
      <c r="AQ301" s="109">
        <v>1</v>
      </c>
      <c r="AR301" s="109" t="s">
        <v>104</v>
      </c>
    </row>
    <row r="302" spans="1:44" ht="18" customHeight="1" x14ac:dyDescent="0.45">
      <c r="A302" s="104" t="s">
        <v>122</v>
      </c>
      <c r="B302" s="126" t="s">
        <v>123</v>
      </c>
      <c r="C302" s="105">
        <v>2020</v>
      </c>
      <c r="D302" s="105" t="s">
        <v>124</v>
      </c>
      <c r="E302" s="105">
        <v>0</v>
      </c>
      <c r="F302" s="105" t="s">
        <v>550</v>
      </c>
      <c r="G302" s="105" t="s">
        <v>519</v>
      </c>
      <c r="H302" s="105" t="s">
        <v>125</v>
      </c>
      <c r="I302" s="106" t="s">
        <v>72</v>
      </c>
      <c r="J302" s="104" t="s">
        <v>116</v>
      </c>
      <c r="K302" s="104" t="s">
        <v>81</v>
      </c>
      <c r="L302" s="104" t="s">
        <v>126</v>
      </c>
      <c r="M302" s="104">
        <v>205000000</v>
      </c>
      <c r="N302" s="104">
        <v>148246711.45404714</v>
      </c>
      <c r="O302" s="104">
        <v>205000000</v>
      </c>
      <c r="P302" s="104" t="s">
        <v>659</v>
      </c>
      <c r="Q302" s="104" t="s">
        <v>659</v>
      </c>
      <c r="R302" s="104" t="s">
        <v>659</v>
      </c>
      <c r="S302" s="104">
        <v>205000000</v>
      </c>
      <c r="T302" s="104">
        <v>148246711.45404714</v>
      </c>
      <c r="U302" s="112">
        <v>205000000</v>
      </c>
      <c r="V302" s="104" t="s">
        <v>75</v>
      </c>
      <c r="W302" s="104" t="s">
        <v>127</v>
      </c>
      <c r="X302" s="104" t="s">
        <v>75</v>
      </c>
      <c r="Y302" s="104" t="s">
        <v>128</v>
      </c>
      <c r="Z302" s="104" t="s">
        <v>75</v>
      </c>
      <c r="AA302" s="104">
        <v>0</v>
      </c>
      <c r="AB302" s="108" t="s">
        <v>78</v>
      </c>
      <c r="AC302" s="104">
        <v>1</v>
      </c>
      <c r="AD302" s="105" t="s">
        <v>129</v>
      </c>
      <c r="AE302" s="104">
        <v>2</v>
      </c>
      <c r="AF302" s="104" t="s">
        <v>130</v>
      </c>
      <c r="AG302" s="104">
        <v>3</v>
      </c>
      <c r="AH302" s="109" t="s">
        <v>81</v>
      </c>
      <c r="AI302" s="109">
        <v>0</v>
      </c>
      <c r="AJ302" s="109" t="s">
        <v>75</v>
      </c>
      <c r="AK302" s="109" t="s">
        <v>131</v>
      </c>
      <c r="AL302" s="109" t="s">
        <v>132</v>
      </c>
      <c r="AM302" s="109" t="s">
        <v>75</v>
      </c>
      <c r="AN302" s="109" t="s">
        <v>81</v>
      </c>
      <c r="AO302" s="109" t="s">
        <v>84</v>
      </c>
      <c r="AP302" s="109" t="s">
        <v>75</v>
      </c>
      <c r="AQ302" s="109">
        <v>1</v>
      </c>
      <c r="AR302" s="109" t="s">
        <v>126</v>
      </c>
    </row>
    <row r="303" spans="1:44" ht="18" customHeight="1" x14ac:dyDescent="0.45">
      <c r="A303" s="104" t="s">
        <v>133</v>
      </c>
      <c r="B303" s="126" t="s">
        <v>134</v>
      </c>
      <c r="C303" s="105">
        <v>2020</v>
      </c>
      <c r="D303" s="105" t="s">
        <v>135</v>
      </c>
      <c r="E303" s="105">
        <v>0</v>
      </c>
      <c r="F303" s="105" t="s">
        <v>530</v>
      </c>
      <c r="G303" s="105" t="s">
        <v>520</v>
      </c>
      <c r="H303" s="105" t="s">
        <v>136</v>
      </c>
      <c r="I303" s="106" t="s">
        <v>72</v>
      </c>
      <c r="J303" s="104" t="s">
        <v>137</v>
      </c>
      <c r="K303" s="104" t="s">
        <v>81</v>
      </c>
      <c r="L303" s="104" t="s">
        <v>104</v>
      </c>
      <c r="M303" s="104">
        <v>315405494</v>
      </c>
      <c r="N303" s="104">
        <v>255207215.91092986</v>
      </c>
      <c r="O303" s="104">
        <v>352908194.37811112</v>
      </c>
      <c r="P303" s="104" t="s">
        <v>659</v>
      </c>
      <c r="Q303" s="104" t="s">
        <v>659</v>
      </c>
      <c r="R303" s="104" t="s">
        <v>659</v>
      </c>
      <c r="S303" s="104">
        <v>103147300</v>
      </c>
      <c r="T303" s="104">
        <v>83460611.062562704</v>
      </c>
      <c r="U303" s="112">
        <v>115411836.79564358</v>
      </c>
      <c r="V303" s="104" t="s">
        <v>75</v>
      </c>
      <c r="W303" s="104" t="s">
        <v>138</v>
      </c>
      <c r="X303" s="104" t="s">
        <v>75</v>
      </c>
      <c r="Y303" s="104" t="s">
        <v>139</v>
      </c>
      <c r="Z303" s="104" t="s">
        <v>75</v>
      </c>
      <c r="AA303" s="104">
        <v>0</v>
      </c>
      <c r="AB303" s="108" t="s">
        <v>78</v>
      </c>
      <c r="AC303" s="104">
        <v>1</v>
      </c>
      <c r="AD303" s="105" t="s">
        <v>140</v>
      </c>
      <c r="AE303" s="104">
        <v>2</v>
      </c>
      <c r="AF303" s="104" t="s">
        <v>141</v>
      </c>
      <c r="AG303" s="104">
        <v>3</v>
      </c>
      <c r="AH303" s="109" t="s">
        <v>81</v>
      </c>
      <c r="AI303" s="109">
        <v>0</v>
      </c>
      <c r="AJ303" s="109" t="s">
        <v>75</v>
      </c>
      <c r="AK303" s="109" t="s">
        <v>142</v>
      </c>
      <c r="AL303" s="109" t="s">
        <v>121</v>
      </c>
      <c r="AM303" s="109" t="s">
        <v>75</v>
      </c>
      <c r="AN303" s="109" t="s">
        <v>75</v>
      </c>
      <c r="AO303" s="109" t="s">
        <v>84</v>
      </c>
      <c r="AP303" s="109" t="s">
        <v>75</v>
      </c>
      <c r="AQ303" s="109">
        <v>1</v>
      </c>
      <c r="AR303" s="109" t="s">
        <v>104</v>
      </c>
    </row>
    <row r="304" spans="1:44" ht="18" customHeight="1" x14ac:dyDescent="0.45">
      <c r="A304" s="104" t="s">
        <v>143</v>
      </c>
      <c r="B304" s="126" t="s">
        <v>144</v>
      </c>
      <c r="C304" s="105">
        <v>2020</v>
      </c>
      <c r="D304" s="105" t="s">
        <v>145</v>
      </c>
      <c r="E304" s="105">
        <v>0</v>
      </c>
      <c r="F304" s="105" t="s">
        <v>543</v>
      </c>
      <c r="G304" s="105" t="s">
        <v>522</v>
      </c>
      <c r="H304" s="105" t="s">
        <v>125</v>
      </c>
      <c r="I304" s="106" t="s">
        <v>72</v>
      </c>
      <c r="J304" s="104" t="s">
        <v>103</v>
      </c>
      <c r="K304" s="104" t="s">
        <v>81</v>
      </c>
      <c r="L304" s="104" t="s">
        <v>74</v>
      </c>
      <c r="M304" s="104">
        <v>693782353</v>
      </c>
      <c r="N304" s="104">
        <v>693782353</v>
      </c>
      <c r="O304" s="104">
        <v>959383051.19898999</v>
      </c>
      <c r="P304" s="104" t="s">
        <v>659</v>
      </c>
      <c r="Q304" s="104" t="s">
        <v>659</v>
      </c>
      <c r="R304" s="104" t="s">
        <v>659</v>
      </c>
      <c r="S304" s="104">
        <v>188000000</v>
      </c>
      <c r="T304" s="104">
        <v>152118328.64032105</v>
      </c>
      <c r="U304" s="112">
        <v>210353788.39369515</v>
      </c>
      <c r="V304" s="104" t="s">
        <v>81</v>
      </c>
      <c r="W304" s="104">
        <v>0</v>
      </c>
      <c r="X304" s="104" t="s">
        <v>75</v>
      </c>
      <c r="Y304" s="104" t="s">
        <v>146</v>
      </c>
      <c r="Z304" s="104" t="s">
        <v>75</v>
      </c>
      <c r="AA304" s="104">
        <v>0</v>
      </c>
      <c r="AB304" s="108" t="s">
        <v>78</v>
      </c>
      <c r="AC304" s="104">
        <v>1</v>
      </c>
      <c r="AD304" s="105" t="s">
        <v>147</v>
      </c>
      <c r="AE304" s="104">
        <v>1</v>
      </c>
      <c r="AF304" s="104" t="s">
        <v>148</v>
      </c>
      <c r="AG304" s="104">
        <v>2</v>
      </c>
      <c r="AH304" s="109" t="s">
        <v>81</v>
      </c>
      <c r="AI304" s="109">
        <v>0</v>
      </c>
      <c r="AJ304" s="109" t="s">
        <v>81</v>
      </c>
      <c r="AK304" s="109">
        <v>0</v>
      </c>
      <c r="AL304" s="109" t="s">
        <v>121</v>
      </c>
      <c r="AM304" s="109" t="s">
        <v>75</v>
      </c>
      <c r="AN304" s="109" t="s">
        <v>81</v>
      </c>
      <c r="AO304" s="109" t="s">
        <v>84</v>
      </c>
      <c r="AP304" s="109" t="s">
        <v>81</v>
      </c>
      <c r="AQ304" s="109">
        <v>1</v>
      </c>
      <c r="AR304" s="109" t="s">
        <v>104</v>
      </c>
    </row>
    <row r="305" spans="1:44" s="137" customFormat="1" ht="18" customHeight="1" x14ac:dyDescent="0.45">
      <c r="A305" s="130" t="s">
        <v>149</v>
      </c>
      <c r="B305" s="131" t="s">
        <v>150</v>
      </c>
      <c r="C305" s="132">
        <v>2020</v>
      </c>
      <c r="D305" s="132" t="s">
        <v>151</v>
      </c>
      <c r="E305" s="132">
        <v>0</v>
      </c>
      <c r="F305" s="132" t="s">
        <v>546</v>
      </c>
      <c r="G305" s="132" t="s">
        <v>518</v>
      </c>
      <c r="H305" s="132" t="s">
        <v>125</v>
      </c>
      <c r="I305" s="133" t="s">
        <v>72</v>
      </c>
      <c r="J305" s="130" t="s">
        <v>116</v>
      </c>
      <c r="K305" s="130" t="s">
        <v>81</v>
      </c>
      <c r="L305" s="130" t="s">
        <v>104</v>
      </c>
      <c r="M305" s="130">
        <v>264000000</v>
      </c>
      <c r="N305" s="130">
        <v>213612972.1332168</v>
      </c>
      <c r="O305" s="129">
        <v>295390426.25497597</v>
      </c>
      <c r="P305" s="130" t="s">
        <v>659</v>
      </c>
      <c r="Q305" s="130" t="s">
        <v>659</v>
      </c>
      <c r="R305" s="130" t="s">
        <v>659</v>
      </c>
      <c r="S305" s="130">
        <v>264000000</v>
      </c>
      <c r="T305" s="130">
        <v>213612972.1332168</v>
      </c>
      <c r="U305" s="134">
        <v>295390426.25497621</v>
      </c>
      <c r="V305" s="130" t="s">
        <v>81</v>
      </c>
      <c r="W305" s="130">
        <v>0</v>
      </c>
      <c r="X305" s="130" t="s">
        <v>81</v>
      </c>
      <c r="Y305" s="130">
        <v>0</v>
      </c>
      <c r="Z305" s="130" t="s">
        <v>81</v>
      </c>
      <c r="AA305" s="130">
        <v>0</v>
      </c>
      <c r="AB305" s="135">
        <v>0</v>
      </c>
      <c r="AC305" s="130">
        <v>0</v>
      </c>
      <c r="AD305" s="132">
        <v>0</v>
      </c>
      <c r="AE305" s="130" t="s">
        <v>152</v>
      </c>
      <c r="AF305" s="130">
        <v>0</v>
      </c>
      <c r="AG305" s="130">
        <v>0</v>
      </c>
      <c r="AH305" s="136" t="s">
        <v>81</v>
      </c>
      <c r="AI305" s="136">
        <v>0</v>
      </c>
      <c r="AJ305" s="136" t="s">
        <v>81</v>
      </c>
      <c r="AK305" s="136">
        <v>0</v>
      </c>
      <c r="AL305" s="136" t="s">
        <v>121</v>
      </c>
      <c r="AM305" s="136" t="s">
        <v>75</v>
      </c>
      <c r="AN305" s="136" t="s">
        <v>81</v>
      </c>
      <c r="AO305" s="136" t="s">
        <v>84</v>
      </c>
      <c r="AP305" s="136" t="s">
        <v>81</v>
      </c>
      <c r="AQ305" s="136">
        <v>1</v>
      </c>
      <c r="AR305" s="136" t="s">
        <v>104</v>
      </c>
    </row>
    <row r="306" spans="1:44" ht="18" customHeight="1" x14ac:dyDescent="0.45">
      <c r="A306" s="104" t="s">
        <v>153</v>
      </c>
      <c r="B306" s="126" t="s">
        <v>154</v>
      </c>
      <c r="C306" s="105">
        <v>2020</v>
      </c>
      <c r="D306" s="105" t="s">
        <v>155</v>
      </c>
      <c r="E306" s="105">
        <v>0</v>
      </c>
      <c r="F306" s="105" t="s">
        <v>559</v>
      </c>
      <c r="G306" s="105" t="s">
        <v>520</v>
      </c>
      <c r="H306" s="105" t="s">
        <v>125</v>
      </c>
      <c r="I306" s="106" t="s">
        <v>72</v>
      </c>
      <c r="J306" s="104" t="s">
        <v>103</v>
      </c>
      <c r="K306" s="104" t="s">
        <v>81</v>
      </c>
      <c r="L306" s="104" t="s">
        <v>74</v>
      </c>
      <c r="M306" s="104">
        <v>70000000</v>
      </c>
      <c r="N306" s="104">
        <v>70000000</v>
      </c>
      <c r="O306" s="104">
        <v>96798100</v>
      </c>
      <c r="P306" s="104" t="s">
        <v>659</v>
      </c>
      <c r="Q306" s="104" t="s">
        <v>659</v>
      </c>
      <c r="R306" s="104" t="s">
        <v>659</v>
      </c>
      <c r="S306" s="104">
        <v>88000000</v>
      </c>
      <c r="T306" s="104">
        <v>71204324.044405594</v>
      </c>
      <c r="U306" s="112">
        <v>98463475.418325394</v>
      </c>
      <c r="V306" s="104" t="s">
        <v>75</v>
      </c>
      <c r="W306" s="104" t="s">
        <v>156</v>
      </c>
      <c r="X306" s="104" t="s">
        <v>75</v>
      </c>
      <c r="Y306" s="104" t="s">
        <v>157</v>
      </c>
      <c r="Z306" s="104" t="s">
        <v>75</v>
      </c>
      <c r="AA306" s="104">
        <v>0</v>
      </c>
      <c r="AB306" s="108" t="s">
        <v>78</v>
      </c>
      <c r="AC306" s="104">
        <v>0</v>
      </c>
      <c r="AD306" s="105" t="s">
        <v>78</v>
      </c>
      <c r="AE306" s="104">
        <v>2</v>
      </c>
      <c r="AF306" s="104" t="s">
        <v>158</v>
      </c>
      <c r="AG306" s="104">
        <v>2</v>
      </c>
      <c r="AH306" s="109" t="s">
        <v>81</v>
      </c>
      <c r="AI306" s="109">
        <v>0</v>
      </c>
      <c r="AJ306" s="109" t="s">
        <v>75</v>
      </c>
      <c r="AK306" s="109" t="s">
        <v>159</v>
      </c>
      <c r="AL306" s="109" t="s">
        <v>160</v>
      </c>
      <c r="AM306" s="109" t="s">
        <v>75</v>
      </c>
      <c r="AN306" s="109" t="s">
        <v>81</v>
      </c>
      <c r="AO306" s="109" t="s">
        <v>84</v>
      </c>
      <c r="AP306" s="109" t="s">
        <v>81</v>
      </c>
      <c r="AQ306" s="109">
        <v>1</v>
      </c>
      <c r="AR306" s="109" t="s">
        <v>104</v>
      </c>
    </row>
    <row r="307" spans="1:44" ht="18" customHeight="1" x14ac:dyDescent="0.45">
      <c r="A307" s="104" t="s">
        <v>161</v>
      </c>
      <c r="B307" s="126" t="s">
        <v>162</v>
      </c>
      <c r="C307" s="105">
        <v>2020</v>
      </c>
      <c r="D307" s="105" t="s">
        <v>163</v>
      </c>
      <c r="E307" s="105">
        <v>0</v>
      </c>
      <c r="F307" s="105" t="s">
        <v>556</v>
      </c>
      <c r="G307" s="105" t="s">
        <v>522</v>
      </c>
      <c r="H307" s="105" t="s">
        <v>125</v>
      </c>
      <c r="I307" s="106" t="s">
        <v>72</v>
      </c>
      <c r="J307" s="104" t="s">
        <v>103</v>
      </c>
      <c r="K307" s="104" t="s">
        <v>81</v>
      </c>
      <c r="L307" s="104" t="s">
        <v>126</v>
      </c>
      <c r="M307" s="104">
        <v>71200000</v>
      </c>
      <c r="N307" s="104">
        <v>51488613.929405637</v>
      </c>
      <c r="O307" s="104">
        <v>71200000</v>
      </c>
      <c r="P307" s="104" t="s">
        <v>659</v>
      </c>
      <c r="Q307" s="104" t="s">
        <v>659</v>
      </c>
      <c r="R307" s="104" t="s">
        <v>659</v>
      </c>
      <c r="S307" s="104">
        <v>10000000</v>
      </c>
      <c r="T307" s="104">
        <v>7231546.9001974212</v>
      </c>
      <c r="U307" s="112">
        <v>10000000</v>
      </c>
      <c r="V307" s="104" t="s">
        <v>75</v>
      </c>
      <c r="W307" s="104" t="s">
        <v>164</v>
      </c>
      <c r="X307" s="104" t="s">
        <v>75</v>
      </c>
      <c r="Y307" s="104" t="s">
        <v>165</v>
      </c>
      <c r="Z307" s="104" t="s">
        <v>75</v>
      </c>
      <c r="AA307" s="104">
        <v>0</v>
      </c>
      <c r="AB307" s="108" t="s">
        <v>78</v>
      </c>
      <c r="AC307" s="104">
        <v>1</v>
      </c>
      <c r="AD307" s="105" t="s">
        <v>166</v>
      </c>
      <c r="AE307" s="104">
        <v>2</v>
      </c>
      <c r="AF307" s="104" t="s">
        <v>167</v>
      </c>
      <c r="AG307" s="104">
        <v>3</v>
      </c>
      <c r="AH307" s="109" t="s">
        <v>81</v>
      </c>
      <c r="AI307" s="109">
        <v>0</v>
      </c>
      <c r="AJ307" s="109" t="s">
        <v>75</v>
      </c>
      <c r="AK307" s="109" t="s">
        <v>168</v>
      </c>
      <c r="AL307" s="109" t="s">
        <v>121</v>
      </c>
      <c r="AM307" s="109" t="s">
        <v>75</v>
      </c>
      <c r="AN307" s="109" t="s">
        <v>81</v>
      </c>
      <c r="AO307" s="109" t="s">
        <v>84</v>
      </c>
      <c r="AP307" s="109" t="s">
        <v>75</v>
      </c>
      <c r="AQ307" s="109">
        <v>1</v>
      </c>
      <c r="AR307" s="109" t="s">
        <v>126</v>
      </c>
    </row>
    <row r="308" spans="1:44" ht="18" customHeight="1" x14ac:dyDescent="0.45">
      <c r="A308" s="104" t="s">
        <v>170</v>
      </c>
      <c r="B308" s="126" t="s">
        <v>171</v>
      </c>
      <c r="C308" s="105">
        <v>2020</v>
      </c>
      <c r="D308" s="105" t="s">
        <v>172</v>
      </c>
      <c r="E308" s="105">
        <v>0</v>
      </c>
      <c r="F308" s="105" t="s">
        <v>537</v>
      </c>
      <c r="G308" s="105" t="s">
        <v>521</v>
      </c>
      <c r="H308" s="105" t="s">
        <v>125</v>
      </c>
      <c r="I308" s="106" t="s">
        <v>72</v>
      </c>
      <c r="J308" s="104" t="s">
        <v>103</v>
      </c>
      <c r="K308" s="104" t="s">
        <v>81</v>
      </c>
      <c r="L308" s="104" t="s">
        <v>104</v>
      </c>
      <c r="M308" s="104">
        <v>499200000</v>
      </c>
      <c r="N308" s="104">
        <v>403922710.94280994</v>
      </c>
      <c r="O308" s="104">
        <v>558556442.37304592</v>
      </c>
      <c r="P308" s="104" t="s">
        <v>659</v>
      </c>
      <c r="Q308" s="104" t="s">
        <v>659</v>
      </c>
      <c r="R308" s="104" t="s">
        <v>659</v>
      </c>
      <c r="S308" s="104">
        <v>100500000</v>
      </c>
      <c r="T308" s="104">
        <v>81318574.618895039</v>
      </c>
      <c r="U308" s="112">
        <v>112449764.54024662</v>
      </c>
      <c r="V308" s="104" t="s">
        <v>75</v>
      </c>
      <c r="W308" s="104" t="s">
        <v>173</v>
      </c>
      <c r="X308" s="104" t="s">
        <v>75</v>
      </c>
      <c r="Y308" s="104" t="s">
        <v>174</v>
      </c>
      <c r="Z308" s="104" t="s">
        <v>75</v>
      </c>
      <c r="AA308" s="104">
        <v>0</v>
      </c>
      <c r="AB308" s="108" t="s">
        <v>78</v>
      </c>
      <c r="AC308" s="104">
        <v>0</v>
      </c>
      <c r="AD308" s="105" t="s">
        <v>78</v>
      </c>
      <c r="AE308" s="104">
        <v>4</v>
      </c>
      <c r="AF308" s="104" t="s">
        <v>175</v>
      </c>
      <c r="AG308" s="104">
        <v>4</v>
      </c>
      <c r="AH308" s="109" t="s">
        <v>81</v>
      </c>
      <c r="AI308" s="109">
        <v>0</v>
      </c>
      <c r="AJ308" s="109" t="s">
        <v>75</v>
      </c>
      <c r="AK308" s="109" t="s">
        <v>176</v>
      </c>
      <c r="AL308" s="109" t="s">
        <v>121</v>
      </c>
      <c r="AM308" s="109" t="s">
        <v>75</v>
      </c>
      <c r="AN308" s="109" t="s">
        <v>81</v>
      </c>
      <c r="AO308" s="109" t="s">
        <v>84</v>
      </c>
      <c r="AP308" s="109" t="s">
        <v>81</v>
      </c>
      <c r="AQ308" s="109">
        <v>1</v>
      </c>
      <c r="AR308" s="109" t="s">
        <v>104</v>
      </c>
    </row>
    <row r="309" spans="1:44" ht="18" customHeight="1" x14ac:dyDescent="0.45">
      <c r="A309" s="104" t="s">
        <v>177</v>
      </c>
      <c r="B309" s="126" t="s">
        <v>178</v>
      </c>
      <c r="C309" s="105">
        <v>2020</v>
      </c>
      <c r="D309" s="105" t="s">
        <v>179</v>
      </c>
      <c r="E309" s="105">
        <v>0</v>
      </c>
      <c r="F309" s="105" t="s">
        <v>561</v>
      </c>
      <c r="G309" s="105" t="s">
        <v>522</v>
      </c>
      <c r="H309" s="105" t="s">
        <v>114</v>
      </c>
      <c r="I309" s="106" t="s">
        <v>115</v>
      </c>
      <c r="J309" s="104" t="s">
        <v>180</v>
      </c>
      <c r="K309" s="104" t="s">
        <v>81</v>
      </c>
      <c r="L309" s="104" t="s">
        <v>74</v>
      </c>
      <c r="M309" s="104">
        <v>3000000</v>
      </c>
      <c r="N309" s="104">
        <v>3000000</v>
      </c>
      <c r="O309" s="104">
        <v>4148490</v>
      </c>
      <c r="P309" s="104" t="s">
        <v>659</v>
      </c>
      <c r="Q309" s="104" t="s">
        <v>659</v>
      </c>
      <c r="R309" s="104" t="s">
        <v>659</v>
      </c>
      <c r="S309" s="104">
        <v>3000000</v>
      </c>
      <c r="T309" s="104">
        <v>3000000</v>
      </c>
      <c r="U309" s="112">
        <v>4148490</v>
      </c>
      <c r="V309" s="104" t="s">
        <v>81</v>
      </c>
      <c r="W309" s="104">
        <v>0</v>
      </c>
      <c r="X309" s="104" t="s">
        <v>81</v>
      </c>
      <c r="Y309" s="104">
        <v>0</v>
      </c>
      <c r="Z309" s="104" t="s">
        <v>75</v>
      </c>
      <c r="AA309" s="104">
        <v>0</v>
      </c>
      <c r="AB309" s="108" t="s">
        <v>78</v>
      </c>
      <c r="AC309" s="104">
        <v>0</v>
      </c>
      <c r="AD309" s="105" t="s">
        <v>78</v>
      </c>
      <c r="AE309" s="104">
        <v>1</v>
      </c>
      <c r="AF309" s="104" t="s">
        <v>181</v>
      </c>
      <c r="AG309" s="104">
        <v>1</v>
      </c>
      <c r="AH309" s="109" t="s">
        <v>81</v>
      </c>
      <c r="AI309" s="109">
        <v>0</v>
      </c>
      <c r="AJ309" s="109" t="s">
        <v>81</v>
      </c>
      <c r="AK309" s="109">
        <v>0</v>
      </c>
      <c r="AL309" s="109" t="s">
        <v>121</v>
      </c>
      <c r="AM309" s="109" t="s">
        <v>75</v>
      </c>
      <c r="AN309" s="109" t="s">
        <v>81</v>
      </c>
      <c r="AO309" s="109" t="s">
        <v>84</v>
      </c>
      <c r="AP309" s="109" t="s">
        <v>81</v>
      </c>
      <c r="AQ309" s="109">
        <v>1</v>
      </c>
      <c r="AR309" s="109" t="s">
        <v>74</v>
      </c>
    </row>
    <row r="310" spans="1:44" ht="18" customHeight="1" x14ac:dyDescent="0.45">
      <c r="A310" s="104" t="s">
        <v>182</v>
      </c>
      <c r="B310" s="126" t="s">
        <v>183</v>
      </c>
      <c r="C310" s="105">
        <v>2020</v>
      </c>
      <c r="D310" s="105" t="s">
        <v>184</v>
      </c>
      <c r="E310" s="105">
        <v>0</v>
      </c>
      <c r="F310" s="105" t="s">
        <v>554</v>
      </c>
      <c r="G310" s="105" t="s">
        <v>520</v>
      </c>
      <c r="H310" s="105" t="s">
        <v>136</v>
      </c>
      <c r="I310" s="106" t="s">
        <v>72</v>
      </c>
      <c r="J310" s="104" t="s">
        <v>103</v>
      </c>
      <c r="K310" s="104" t="s">
        <v>81</v>
      </c>
      <c r="L310" s="104" t="s">
        <v>126</v>
      </c>
      <c r="M310" s="104">
        <v>5188500000</v>
      </c>
      <c r="N310" s="104">
        <v>3752088109.1674318</v>
      </c>
      <c r="O310" s="104">
        <v>5188500000</v>
      </c>
      <c r="P310" s="104" t="s">
        <v>659</v>
      </c>
      <c r="Q310" s="104" t="s">
        <v>659</v>
      </c>
      <c r="R310" s="104" t="s">
        <v>659</v>
      </c>
      <c r="S310" s="104">
        <v>288500000</v>
      </c>
      <c r="T310" s="104">
        <v>208630128.07069561</v>
      </c>
      <c r="U310" s="112">
        <v>288500000</v>
      </c>
      <c r="V310" s="104" t="s">
        <v>75</v>
      </c>
      <c r="W310" s="104" t="s">
        <v>185</v>
      </c>
      <c r="X310" s="104" t="s">
        <v>75</v>
      </c>
      <c r="Y310" s="104" t="s">
        <v>186</v>
      </c>
      <c r="Z310" s="104" t="s">
        <v>75</v>
      </c>
      <c r="AA310" s="104">
        <v>0</v>
      </c>
      <c r="AB310" s="108" t="s">
        <v>78</v>
      </c>
      <c r="AC310" s="104">
        <v>0</v>
      </c>
      <c r="AD310" s="105" t="s">
        <v>78</v>
      </c>
      <c r="AE310" s="104">
        <v>1</v>
      </c>
      <c r="AF310" s="104" t="s">
        <v>187</v>
      </c>
      <c r="AG310" s="104">
        <v>1</v>
      </c>
      <c r="AH310" s="109" t="s">
        <v>81</v>
      </c>
      <c r="AI310" s="109">
        <v>0</v>
      </c>
      <c r="AJ310" s="109" t="s">
        <v>75</v>
      </c>
      <c r="AK310" s="109" t="s">
        <v>188</v>
      </c>
      <c r="AL310" s="109" t="s">
        <v>121</v>
      </c>
      <c r="AM310" s="109" t="s">
        <v>75</v>
      </c>
      <c r="AN310" s="109" t="s">
        <v>81</v>
      </c>
      <c r="AO310" s="109" t="s">
        <v>84</v>
      </c>
      <c r="AP310" s="109" t="s">
        <v>81</v>
      </c>
      <c r="AQ310" s="109">
        <v>1</v>
      </c>
      <c r="AR310" s="109" t="s">
        <v>126</v>
      </c>
    </row>
    <row r="311" spans="1:44" ht="18" customHeight="1" x14ac:dyDescent="0.45">
      <c r="A311" s="104" t="s">
        <v>189</v>
      </c>
      <c r="B311" s="126" t="s">
        <v>144</v>
      </c>
      <c r="C311" s="105">
        <v>2020</v>
      </c>
      <c r="D311" s="105" t="s">
        <v>87</v>
      </c>
      <c r="E311" s="105" t="s">
        <v>190</v>
      </c>
      <c r="F311" s="105" t="s">
        <v>87</v>
      </c>
      <c r="G311" s="105" t="s">
        <v>87</v>
      </c>
      <c r="H311" s="105" t="s">
        <v>125</v>
      </c>
      <c r="I311" s="106" t="s">
        <v>72</v>
      </c>
      <c r="J311" s="104" t="s">
        <v>180</v>
      </c>
      <c r="K311" s="104" t="s">
        <v>81</v>
      </c>
      <c r="L311" s="104" t="s">
        <v>74</v>
      </c>
      <c r="M311" s="104">
        <v>7000000</v>
      </c>
      <c r="N311" s="104">
        <v>7000000</v>
      </c>
      <c r="O311" s="104">
        <v>9679810</v>
      </c>
      <c r="P311" s="104" t="s">
        <v>659</v>
      </c>
      <c r="Q311" s="104" t="s">
        <v>659</v>
      </c>
      <c r="R311" s="104" t="s">
        <v>659</v>
      </c>
      <c r="S311" s="104">
        <v>7000000</v>
      </c>
      <c r="T311" s="104">
        <v>7000000</v>
      </c>
      <c r="U311" s="112">
        <v>9679810</v>
      </c>
      <c r="V311" s="104" t="s">
        <v>81</v>
      </c>
      <c r="W311" s="104">
        <v>0</v>
      </c>
      <c r="X311" s="104" t="s">
        <v>75</v>
      </c>
      <c r="Y311" s="104" t="s">
        <v>191</v>
      </c>
      <c r="Z311" s="104" t="s">
        <v>81</v>
      </c>
      <c r="AA311" s="104">
        <v>0</v>
      </c>
      <c r="AB311" s="108">
        <v>0</v>
      </c>
      <c r="AC311" s="104">
        <v>0</v>
      </c>
      <c r="AD311" s="105">
        <v>0</v>
      </c>
      <c r="AE311" s="104">
        <v>0</v>
      </c>
      <c r="AF311" s="104">
        <v>0</v>
      </c>
      <c r="AG311" s="104">
        <v>0</v>
      </c>
      <c r="AH311" s="109" t="s">
        <v>75</v>
      </c>
      <c r="AI311" s="109" t="s">
        <v>192</v>
      </c>
      <c r="AJ311" s="109" t="s">
        <v>81</v>
      </c>
      <c r="AK311" s="109">
        <v>0</v>
      </c>
      <c r="AL311" s="109" t="s">
        <v>121</v>
      </c>
      <c r="AM311" s="109" t="s">
        <v>75</v>
      </c>
      <c r="AN311" s="109" t="s">
        <v>81</v>
      </c>
      <c r="AO311" s="109" t="s">
        <v>84</v>
      </c>
      <c r="AP311" s="109" t="s">
        <v>81</v>
      </c>
      <c r="AQ311" s="109">
        <v>1</v>
      </c>
      <c r="AR311" s="109" t="s">
        <v>74</v>
      </c>
    </row>
    <row r="312" spans="1:44" ht="18" customHeight="1" x14ac:dyDescent="0.45">
      <c r="A312" s="104" t="s">
        <v>193</v>
      </c>
      <c r="B312" s="126" t="s">
        <v>194</v>
      </c>
      <c r="C312" s="105">
        <v>2020</v>
      </c>
      <c r="D312" s="105" t="s">
        <v>195</v>
      </c>
      <c r="E312" s="105">
        <v>0</v>
      </c>
      <c r="F312" s="105" t="s">
        <v>536</v>
      </c>
      <c r="G312" s="105" t="s">
        <v>522</v>
      </c>
      <c r="H312" s="105" t="s">
        <v>125</v>
      </c>
      <c r="I312" s="106" t="s">
        <v>72</v>
      </c>
      <c r="J312" s="104" t="s">
        <v>73</v>
      </c>
      <c r="K312" s="104" t="s">
        <v>81</v>
      </c>
      <c r="L312" s="104" t="s">
        <v>74</v>
      </c>
      <c r="M312" s="104">
        <v>1056940000</v>
      </c>
      <c r="N312" s="104">
        <v>1056940000</v>
      </c>
      <c r="O312" s="104">
        <v>1461568340.2</v>
      </c>
      <c r="P312" s="104" t="s">
        <v>659</v>
      </c>
      <c r="Q312" s="104" t="s">
        <v>659</v>
      </c>
      <c r="R312" s="104" t="s">
        <v>659</v>
      </c>
      <c r="S312" s="104">
        <v>120000000</v>
      </c>
      <c r="T312" s="104">
        <v>120000000</v>
      </c>
      <c r="U312" s="112">
        <v>165939600</v>
      </c>
      <c r="V312" s="104" t="s">
        <v>75</v>
      </c>
      <c r="W312" s="104" t="s">
        <v>196</v>
      </c>
      <c r="X312" s="104" t="s">
        <v>75</v>
      </c>
      <c r="Y312" s="104" t="s">
        <v>197</v>
      </c>
      <c r="Z312" s="104" t="s">
        <v>75</v>
      </c>
      <c r="AA312" s="104">
        <v>0</v>
      </c>
      <c r="AB312" s="108" t="s">
        <v>78</v>
      </c>
      <c r="AC312" s="104">
        <v>1</v>
      </c>
      <c r="AD312" s="105" t="s">
        <v>1749</v>
      </c>
      <c r="AE312" s="104">
        <v>1</v>
      </c>
      <c r="AF312" s="104" t="s">
        <v>198</v>
      </c>
      <c r="AG312" s="104">
        <v>2</v>
      </c>
      <c r="AH312" s="109" t="s">
        <v>81</v>
      </c>
      <c r="AI312" s="109">
        <v>0</v>
      </c>
      <c r="AJ312" s="109" t="s">
        <v>75</v>
      </c>
      <c r="AK312" s="109" t="s">
        <v>199</v>
      </c>
      <c r="AL312" s="109" t="s">
        <v>121</v>
      </c>
      <c r="AM312" s="109" t="s">
        <v>75</v>
      </c>
      <c r="AN312" s="109" t="s">
        <v>75</v>
      </c>
      <c r="AO312" s="109" t="s">
        <v>84</v>
      </c>
      <c r="AP312" s="109" t="s">
        <v>75</v>
      </c>
      <c r="AQ312" s="109">
        <v>1</v>
      </c>
      <c r="AR312" s="109" t="s">
        <v>74</v>
      </c>
    </row>
    <row r="313" spans="1:44" ht="18" customHeight="1" x14ac:dyDescent="0.45">
      <c r="A313" s="104" t="s">
        <v>200</v>
      </c>
      <c r="B313" s="126" t="s">
        <v>201</v>
      </c>
      <c r="C313" s="105">
        <v>2020</v>
      </c>
      <c r="D313" s="105" t="s">
        <v>99</v>
      </c>
      <c r="E313" s="105">
        <v>0</v>
      </c>
      <c r="F313" s="105" t="s">
        <v>532</v>
      </c>
      <c r="G313" s="105" t="s">
        <v>520</v>
      </c>
      <c r="H313" s="105" t="s">
        <v>125</v>
      </c>
      <c r="I313" s="106" t="s">
        <v>72</v>
      </c>
      <c r="J313" s="104" t="s">
        <v>103</v>
      </c>
      <c r="K313" s="104" t="s">
        <v>81</v>
      </c>
      <c r="L313" s="104" t="s">
        <v>74</v>
      </c>
      <c r="M313" s="104">
        <v>24000000</v>
      </c>
      <c r="N313" s="104">
        <v>24000000</v>
      </c>
      <c r="O313" s="104">
        <v>33187920</v>
      </c>
      <c r="P313" s="104" t="s">
        <v>659</v>
      </c>
      <c r="Q313" s="104" t="s">
        <v>659</v>
      </c>
      <c r="R313" s="104" t="s">
        <v>659</v>
      </c>
      <c r="S313" s="104">
        <v>30000000</v>
      </c>
      <c r="T313" s="104">
        <v>24274201.378774635</v>
      </c>
      <c r="U313" s="112">
        <v>33567093.89261093</v>
      </c>
      <c r="V313" s="104" t="s">
        <v>75</v>
      </c>
      <c r="W313" s="104" t="s">
        <v>202</v>
      </c>
      <c r="X313" s="104" t="s">
        <v>75</v>
      </c>
      <c r="Y313" s="104" t="s">
        <v>203</v>
      </c>
      <c r="Z313" s="104" t="s">
        <v>75</v>
      </c>
      <c r="AA313" s="104">
        <v>0</v>
      </c>
      <c r="AB313" s="108" t="s">
        <v>78</v>
      </c>
      <c r="AC313" s="104">
        <v>0</v>
      </c>
      <c r="AD313" s="105" t="s">
        <v>78</v>
      </c>
      <c r="AE313" s="104">
        <v>1</v>
      </c>
      <c r="AF313" s="104" t="s">
        <v>204</v>
      </c>
      <c r="AG313" s="104">
        <v>1</v>
      </c>
      <c r="AH313" s="109" t="s">
        <v>81</v>
      </c>
      <c r="AI313" s="109">
        <v>0</v>
      </c>
      <c r="AJ313" s="109" t="s">
        <v>75</v>
      </c>
      <c r="AK313" s="109" t="s">
        <v>205</v>
      </c>
      <c r="AL313" s="109" t="s">
        <v>121</v>
      </c>
      <c r="AM313" s="109" t="s">
        <v>75</v>
      </c>
      <c r="AN313" s="109" t="s">
        <v>81</v>
      </c>
      <c r="AO313" s="109" t="s">
        <v>84</v>
      </c>
      <c r="AP313" s="109" t="s">
        <v>81</v>
      </c>
      <c r="AQ313" s="109">
        <v>1</v>
      </c>
      <c r="AR313" s="109" t="s">
        <v>104</v>
      </c>
    </row>
    <row r="314" spans="1:44" ht="18" customHeight="1" x14ac:dyDescent="0.45">
      <c r="A314" s="104" t="s">
        <v>206</v>
      </c>
      <c r="B314" s="126" t="s">
        <v>207</v>
      </c>
      <c r="C314" s="105">
        <v>2020</v>
      </c>
      <c r="D314" s="105" t="s">
        <v>208</v>
      </c>
      <c r="E314" s="105">
        <v>0</v>
      </c>
      <c r="F314" s="105" t="s">
        <v>531</v>
      </c>
      <c r="G314" s="105" t="s">
        <v>521</v>
      </c>
      <c r="H314" s="105" t="s">
        <v>125</v>
      </c>
      <c r="I314" s="106" t="s">
        <v>72</v>
      </c>
      <c r="J314" s="104" t="s">
        <v>103</v>
      </c>
      <c r="K314" s="104" t="s">
        <v>81</v>
      </c>
      <c r="L314" s="104" t="s">
        <v>104</v>
      </c>
      <c r="M314" s="104">
        <v>448800000</v>
      </c>
      <c r="N314" s="104">
        <v>363142052.62646854</v>
      </c>
      <c r="O314" s="104">
        <v>502163724.63345951</v>
      </c>
      <c r="P314" s="104" t="s">
        <v>659</v>
      </c>
      <c r="Q314" s="104" t="s">
        <v>659</v>
      </c>
      <c r="R314" s="104" t="s">
        <v>659</v>
      </c>
      <c r="S314" s="104">
        <v>124000000</v>
      </c>
      <c r="T314" s="104">
        <v>100333365.69893517</v>
      </c>
      <c r="U314" s="112">
        <v>138743988.08945853</v>
      </c>
      <c r="V314" s="104" t="s">
        <v>75</v>
      </c>
      <c r="W314" s="104" t="s">
        <v>209</v>
      </c>
      <c r="X314" s="104" t="s">
        <v>75</v>
      </c>
      <c r="Y314" s="104" t="s">
        <v>210</v>
      </c>
      <c r="Z314" s="104" t="s">
        <v>75</v>
      </c>
      <c r="AA314" s="104">
        <v>0</v>
      </c>
      <c r="AB314" s="108" t="s">
        <v>78</v>
      </c>
      <c r="AC314" s="104">
        <v>0</v>
      </c>
      <c r="AD314" s="105" t="s">
        <v>78</v>
      </c>
      <c r="AE314" s="104">
        <v>3</v>
      </c>
      <c r="AF314" s="104" t="s">
        <v>211</v>
      </c>
      <c r="AG314" s="104">
        <v>3</v>
      </c>
      <c r="AH314" s="109" t="s">
        <v>81</v>
      </c>
      <c r="AI314" s="109">
        <v>0</v>
      </c>
      <c r="AJ314" s="109" t="s">
        <v>75</v>
      </c>
      <c r="AK314" s="109" t="s">
        <v>212</v>
      </c>
      <c r="AL314" s="109" t="s">
        <v>121</v>
      </c>
      <c r="AM314" s="109" t="s">
        <v>75</v>
      </c>
      <c r="AN314" s="109" t="s">
        <v>81</v>
      </c>
      <c r="AO314" s="109" t="s">
        <v>84</v>
      </c>
      <c r="AP314" s="109" t="s">
        <v>81</v>
      </c>
      <c r="AQ314" s="109">
        <v>1</v>
      </c>
      <c r="AR314" s="109" t="s">
        <v>104</v>
      </c>
    </row>
    <row r="315" spans="1:44" ht="18" customHeight="1" x14ac:dyDescent="0.45">
      <c r="A315" s="104" t="s">
        <v>213</v>
      </c>
      <c r="B315" s="126" t="s">
        <v>214</v>
      </c>
      <c r="C315" s="105">
        <v>2020</v>
      </c>
      <c r="D315" s="105" t="s">
        <v>87</v>
      </c>
      <c r="E315" s="105" t="s">
        <v>215</v>
      </c>
      <c r="F315" s="105" t="s">
        <v>87</v>
      </c>
      <c r="G315" s="105" t="s">
        <v>87</v>
      </c>
      <c r="H315" s="105" t="s">
        <v>216</v>
      </c>
      <c r="I315" s="106" t="s">
        <v>101</v>
      </c>
      <c r="J315" s="104" t="s">
        <v>180</v>
      </c>
      <c r="K315" s="104" t="s">
        <v>81</v>
      </c>
      <c r="L315" s="104" t="s">
        <v>74</v>
      </c>
      <c r="M315" s="104">
        <v>850000</v>
      </c>
      <c r="N315" s="104">
        <v>850000</v>
      </c>
      <c r="O315" s="104">
        <v>1175405.5</v>
      </c>
      <c r="P315" s="104" t="s">
        <v>659</v>
      </c>
      <c r="Q315" s="104" t="s">
        <v>659</v>
      </c>
      <c r="R315" s="104" t="s">
        <v>659</v>
      </c>
      <c r="S315" s="104">
        <v>850000</v>
      </c>
      <c r="T315" s="104">
        <v>850000</v>
      </c>
      <c r="U315" s="112">
        <v>1175405.5</v>
      </c>
      <c r="V315" s="104" t="s">
        <v>81</v>
      </c>
      <c r="W315" s="104">
        <v>0</v>
      </c>
      <c r="X315" s="104" t="s">
        <v>81</v>
      </c>
      <c r="Y315" s="104">
        <v>0</v>
      </c>
      <c r="Z315" s="104" t="s">
        <v>81</v>
      </c>
      <c r="AA315" s="104">
        <v>0</v>
      </c>
      <c r="AB315" s="108">
        <v>0</v>
      </c>
      <c r="AC315" s="104">
        <v>0</v>
      </c>
      <c r="AD315" s="105">
        <v>0</v>
      </c>
      <c r="AE315" s="104">
        <v>0</v>
      </c>
      <c r="AF315" s="104">
        <v>0</v>
      </c>
      <c r="AG315" s="104">
        <v>0</v>
      </c>
      <c r="AH315" s="109" t="s">
        <v>81</v>
      </c>
      <c r="AI315" s="109">
        <v>0</v>
      </c>
      <c r="AJ315" s="109" t="s">
        <v>81</v>
      </c>
      <c r="AK315" s="109">
        <v>0</v>
      </c>
      <c r="AL315" s="109" t="s">
        <v>217</v>
      </c>
      <c r="AM315" s="109" t="s">
        <v>75</v>
      </c>
      <c r="AN315" s="109" t="s">
        <v>81</v>
      </c>
      <c r="AO315" s="109" t="s">
        <v>110</v>
      </c>
      <c r="AP315" s="109" t="s">
        <v>81</v>
      </c>
      <c r="AQ315" s="109">
        <v>1</v>
      </c>
      <c r="AR315" s="109" t="s">
        <v>74</v>
      </c>
    </row>
    <row r="316" spans="1:44" ht="18" customHeight="1" x14ac:dyDescent="0.45">
      <c r="A316" s="104" t="s">
        <v>218</v>
      </c>
      <c r="B316" s="126" t="s">
        <v>219</v>
      </c>
      <c r="C316" s="105">
        <v>2020</v>
      </c>
      <c r="D316" s="105" t="s">
        <v>87</v>
      </c>
      <c r="E316" s="105" t="s">
        <v>220</v>
      </c>
      <c r="F316" s="105" t="s">
        <v>87</v>
      </c>
      <c r="G316" s="105" t="s">
        <v>87</v>
      </c>
      <c r="H316" s="105" t="s">
        <v>89</v>
      </c>
      <c r="I316" s="106" t="s">
        <v>72</v>
      </c>
      <c r="J316" s="104" t="s">
        <v>221</v>
      </c>
      <c r="K316" s="104" t="s">
        <v>75</v>
      </c>
      <c r="L316" s="104" t="s">
        <v>126</v>
      </c>
      <c r="M316" s="104">
        <v>2000000</v>
      </c>
      <c r="N316" s="104">
        <v>1446309.3800394842</v>
      </c>
      <c r="O316" s="104">
        <v>2000000</v>
      </c>
      <c r="P316" s="104" t="s">
        <v>659</v>
      </c>
      <c r="Q316" s="104" t="s">
        <v>659</v>
      </c>
      <c r="R316" s="104" t="s">
        <v>659</v>
      </c>
      <c r="S316" s="104">
        <v>2000000</v>
      </c>
      <c r="T316" s="104">
        <v>1446309.3800394842</v>
      </c>
      <c r="U316" s="112">
        <v>2000000</v>
      </c>
      <c r="V316" s="104" t="s">
        <v>81</v>
      </c>
      <c r="W316" s="104">
        <v>0</v>
      </c>
      <c r="X316" s="104" t="s">
        <v>81</v>
      </c>
      <c r="Y316" s="104">
        <v>0</v>
      </c>
      <c r="Z316" s="104" t="s">
        <v>81</v>
      </c>
      <c r="AA316" s="104">
        <v>0</v>
      </c>
      <c r="AB316" s="108">
        <v>0</v>
      </c>
      <c r="AC316" s="104">
        <v>0</v>
      </c>
      <c r="AD316" s="105">
        <v>0</v>
      </c>
      <c r="AE316" s="104">
        <v>0</v>
      </c>
      <c r="AF316" s="104">
        <v>0</v>
      </c>
      <c r="AG316" s="104">
        <v>0</v>
      </c>
      <c r="AH316" s="109" t="s">
        <v>81</v>
      </c>
      <c r="AI316" s="109">
        <v>0</v>
      </c>
      <c r="AJ316" s="109" t="s">
        <v>81</v>
      </c>
      <c r="AK316" s="109">
        <v>0</v>
      </c>
      <c r="AL316" s="109" t="s">
        <v>217</v>
      </c>
      <c r="AM316" s="109" t="s">
        <v>81</v>
      </c>
      <c r="AN316" s="109" t="s">
        <v>81</v>
      </c>
      <c r="AO316" s="109" t="s">
        <v>222</v>
      </c>
      <c r="AP316" s="109" t="s">
        <v>81</v>
      </c>
      <c r="AQ316" s="109">
        <v>1</v>
      </c>
      <c r="AR316" s="109" t="s">
        <v>126</v>
      </c>
    </row>
    <row r="317" spans="1:44" ht="18" customHeight="1" x14ac:dyDescent="0.45">
      <c r="A317" s="104" t="s">
        <v>224</v>
      </c>
      <c r="B317" s="126" t="s">
        <v>225</v>
      </c>
      <c r="C317" s="105">
        <v>2020</v>
      </c>
      <c r="D317" s="105" t="s">
        <v>226</v>
      </c>
      <c r="E317" s="105">
        <v>0</v>
      </c>
      <c r="F317" s="105" t="s">
        <v>534</v>
      </c>
      <c r="G317" s="105" t="s">
        <v>518</v>
      </c>
      <c r="H317" s="105" t="s">
        <v>227</v>
      </c>
      <c r="I317" s="106" t="s">
        <v>228</v>
      </c>
      <c r="J317" s="104" t="s">
        <v>221</v>
      </c>
      <c r="K317" s="104" t="s">
        <v>75</v>
      </c>
      <c r="L317" s="104" t="s">
        <v>126</v>
      </c>
      <c r="M317" s="104">
        <v>1000000</v>
      </c>
      <c r="N317" s="104">
        <v>723154.69001974212</v>
      </c>
      <c r="O317" s="104">
        <v>1000000</v>
      </c>
      <c r="P317" s="104" t="s">
        <v>659</v>
      </c>
      <c r="Q317" s="104" t="s">
        <v>659</v>
      </c>
      <c r="R317" s="104" t="s">
        <v>659</v>
      </c>
      <c r="S317" s="104">
        <v>1000000</v>
      </c>
      <c r="T317" s="104">
        <v>723154.69001974212</v>
      </c>
      <c r="U317" s="112">
        <v>1000000</v>
      </c>
      <c r="V317" s="104" t="s">
        <v>75</v>
      </c>
      <c r="W317" s="104" t="s">
        <v>229</v>
      </c>
      <c r="X317" s="104" t="s">
        <v>75</v>
      </c>
      <c r="Y317" s="104" t="s">
        <v>230</v>
      </c>
      <c r="Z317" s="104" t="s">
        <v>75</v>
      </c>
      <c r="AA317" s="104">
        <v>0</v>
      </c>
      <c r="AB317" s="108">
        <v>0</v>
      </c>
      <c r="AC317" s="104">
        <v>1</v>
      </c>
      <c r="AD317" s="105" t="s">
        <v>231</v>
      </c>
      <c r="AE317" s="104">
        <v>1</v>
      </c>
      <c r="AF317" s="104" t="s">
        <v>232</v>
      </c>
      <c r="AG317" s="104">
        <v>2</v>
      </c>
      <c r="AH317" s="109" t="s">
        <v>81</v>
      </c>
      <c r="AI317" s="109">
        <v>0</v>
      </c>
      <c r="AJ317" s="109" t="s">
        <v>75</v>
      </c>
      <c r="AK317" s="109" t="s">
        <v>233</v>
      </c>
      <c r="AL317" s="109" t="s">
        <v>160</v>
      </c>
      <c r="AM317" s="109" t="s">
        <v>75</v>
      </c>
      <c r="AN317" s="109" t="s">
        <v>81</v>
      </c>
      <c r="AO317" s="109" t="s">
        <v>222</v>
      </c>
      <c r="AP317" s="109" t="s">
        <v>75</v>
      </c>
      <c r="AQ317" s="109">
        <v>1</v>
      </c>
      <c r="AR317" s="109" t="s">
        <v>126</v>
      </c>
    </row>
    <row r="318" spans="1:44" ht="18" customHeight="1" x14ac:dyDescent="0.45">
      <c r="A318" s="104" t="s">
        <v>234</v>
      </c>
      <c r="B318" s="126" t="s">
        <v>235</v>
      </c>
      <c r="C318" s="105">
        <v>2020</v>
      </c>
      <c r="D318" s="105" t="s">
        <v>87</v>
      </c>
      <c r="E318" s="105" t="s">
        <v>236</v>
      </c>
      <c r="F318" s="105" t="s">
        <v>87</v>
      </c>
      <c r="G318" s="105" t="s">
        <v>87</v>
      </c>
      <c r="H318" s="105" t="s">
        <v>100</v>
      </c>
      <c r="I318" s="106" t="s">
        <v>101</v>
      </c>
      <c r="J318" s="104" t="s">
        <v>73</v>
      </c>
      <c r="K318" s="104" t="s">
        <v>81</v>
      </c>
      <c r="L318" s="104" t="s">
        <v>126</v>
      </c>
      <c r="M318" s="104">
        <v>3400000</v>
      </c>
      <c r="N318" s="104">
        <v>2458725.9460671232</v>
      </c>
      <c r="O318" s="104">
        <v>3400000</v>
      </c>
      <c r="P318" s="104" t="s">
        <v>659</v>
      </c>
      <c r="Q318" s="104" t="s">
        <v>659</v>
      </c>
      <c r="R318" s="104" t="s">
        <v>659</v>
      </c>
      <c r="S318" s="104">
        <v>863000</v>
      </c>
      <c r="T318" s="104">
        <v>863000</v>
      </c>
      <c r="U318" s="112">
        <v>1193382.29</v>
      </c>
      <c r="V318" s="104" t="s">
        <v>81</v>
      </c>
      <c r="W318" s="104">
        <v>0</v>
      </c>
      <c r="X318" s="104" t="s">
        <v>81</v>
      </c>
      <c r="Y318" s="104">
        <v>0</v>
      </c>
      <c r="Z318" s="104" t="s">
        <v>81</v>
      </c>
      <c r="AA318" s="104">
        <v>0</v>
      </c>
      <c r="AB318" s="108">
        <v>0</v>
      </c>
      <c r="AC318" s="104">
        <v>0</v>
      </c>
      <c r="AD318" s="105">
        <v>0</v>
      </c>
      <c r="AE318" s="104">
        <v>0</v>
      </c>
      <c r="AF318" s="104">
        <v>0</v>
      </c>
      <c r="AG318" s="104">
        <v>0</v>
      </c>
      <c r="AH318" s="109" t="s">
        <v>81</v>
      </c>
      <c r="AI318" s="109">
        <v>0</v>
      </c>
      <c r="AJ318" s="109" t="s">
        <v>81</v>
      </c>
      <c r="AK318" s="109">
        <v>0</v>
      </c>
      <c r="AL318" s="109" t="s">
        <v>217</v>
      </c>
      <c r="AM318" s="109" t="s">
        <v>81</v>
      </c>
      <c r="AN318" s="109" t="s">
        <v>81</v>
      </c>
      <c r="AO318" s="109" t="s">
        <v>110</v>
      </c>
      <c r="AP318" s="109" t="s">
        <v>81</v>
      </c>
      <c r="AQ318" s="109">
        <v>1</v>
      </c>
      <c r="AR318" s="109" t="s">
        <v>74</v>
      </c>
    </row>
    <row r="319" spans="1:44" ht="18" customHeight="1" x14ac:dyDescent="0.45">
      <c r="A319" s="104" t="s">
        <v>237</v>
      </c>
      <c r="B319" s="126" t="s">
        <v>238</v>
      </c>
      <c r="C319" s="105">
        <v>2020</v>
      </c>
      <c r="D319" s="105" t="s">
        <v>87</v>
      </c>
      <c r="E319" s="105" t="s">
        <v>239</v>
      </c>
      <c r="F319" s="105" t="s">
        <v>87</v>
      </c>
      <c r="G319" s="105" t="s">
        <v>87</v>
      </c>
      <c r="H319" s="105" t="s">
        <v>89</v>
      </c>
      <c r="I319" s="106" t="s">
        <v>72</v>
      </c>
      <c r="J319" s="104" t="s">
        <v>180</v>
      </c>
      <c r="K319" s="104" t="s">
        <v>81</v>
      </c>
      <c r="L319" s="104" t="s">
        <v>74</v>
      </c>
      <c r="M319" s="104">
        <v>7000000</v>
      </c>
      <c r="N319" s="104">
        <v>7000000</v>
      </c>
      <c r="O319" s="104">
        <v>9679810</v>
      </c>
      <c r="P319" s="104" t="s">
        <v>659</v>
      </c>
      <c r="Q319" s="104" t="s">
        <v>659</v>
      </c>
      <c r="R319" s="104" t="s">
        <v>659</v>
      </c>
      <c r="S319" s="104">
        <v>7000000</v>
      </c>
      <c r="T319" s="104">
        <v>7000000</v>
      </c>
      <c r="U319" s="112">
        <v>9679810</v>
      </c>
      <c r="V319" s="104" t="s">
        <v>81</v>
      </c>
      <c r="W319" s="104">
        <v>0</v>
      </c>
      <c r="X319" s="104" t="s">
        <v>75</v>
      </c>
      <c r="Y319" s="104" t="s">
        <v>240</v>
      </c>
      <c r="Z319" s="104" t="s">
        <v>81</v>
      </c>
      <c r="AA319" s="104">
        <v>0</v>
      </c>
      <c r="AB319" s="108">
        <v>0</v>
      </c>
      <c r="AC319" s="104">
        <v>0</v>
      </c>
      <c r="AD319" s="105">
        <v>0</v>
      </c>
      <c r="AE319" s="104">
        <v>0</v>
      </c>
      <c r="AF319" s="104">
        <v>0</v>
      </c>
      <c r="AG319" s="104">
        <v>0</v>
      </c>
      <c r="AH319" s="109" t="s">
        <v>81</v>
      </c>
      <c r="AI319" s="109">
        <v>0</v>
      </c>
      <c r="AJ319" s="109" t="s">
        <v>81</v>
      </c>
      <c r="AK319" s="109">
        <v>0</v>
      </c>
      <c r="AL319" s="109" t="s">
        <v>217</v>
      </c>
      <c r="AM319" s="109" t="s">
        <v>81</v>
      </c>
      <c r="AN319" s="109" t="s">
        <v>81</v>
      </c>
      <c r="AO319" s="109" t="s">
        <v>84</v>
      </c>
      <c r="AP319" s="109" t="s">
        <v>81</v>
      </c>
      <c r="AQ319" s="109">
        <v>1</v>
      </c>
      <c r="AR319" s="109" t="s">
        <v>74</v>
      </c>
    </row>
    <row r="320" spans="1:44" ht="18" customHeight="1" x14ac:dyDescent="0.45">
      <c r="A320" s="104" t="s">
        <v>241</v>
      </c>
      <c r="B320" s="126" t="s">
        <v>242</v>
      </c>
      <c r="C320" s="105">
        <v>2020</v>
      </c>
      <c r="D320" s="105" t="s">
        <v>87</v>
      </c>
      <c r="E320" s="105" t="s">
        <v>243</v>
      </c>
      <c r="F320" s="105" t="s">
        <v>87</v>
      </c>
      <c r="G320" s="105" t="s">
        <v>87</v>
      </c>
      <c r="H320" s="105" t="s">
        <v>89</v>
      </c>
      <c r="I320" s="106" t="s">
        <v>72</v>
      </c>
      <c r="J320" s="104" t="s">
        <v>180</v>
      </c>
      <c r="K320" s="104" t="s">
        <v>81</v>
      </c>
      <c r="L320" s="104" t="s">
        <v>74</v>
      </c>
      <c r="M320" s="104">
        <v>16400000</v>
      </c>
      <c r="N320" s="104">
        <v>16400000</v>
      </c>
      <c r="O320" s="104">
        <v>22678412</v>
      </c>
      <c r="P320" s="104" t="s">
        <v>659</v>
      </c>
      <c r="Q320" s="104" t="s">
        <v>659</v>
      </c>
      <c r="R320" s="104" t="s">
        <v>659</v>
      </c>
      <c r="S320" s="104">
        <v>16400000</v>
      </c>
      <c r="T320" s="104">
        <v>16400000</v>
      </c>
      <c r="U320" s="112">
        <v>22678412</v>
      </c>
      <c r="V320" s="104" t="s">
        <v>81</v>
      </c>
      <c r="W320" s="104">
        <v>0</v>
      </c>
      <c r="X320" s="104" t="s">
        <v>81</v>
      </c>
      <c r="Y320" s="104">
        <v>0</v>
      </c>
      <c r="Z320" s="104" t="s">
        <v>81</v>
      </c>
      <c r="AA320" s="104">
        <v>0</v>
      </c>
      <c r="AB320" s="108">
        <v>0</v>
      </c>
      <c r="AC320" s="104">
        <v>0</v>
      </c>
      <c r="AD320" s="105">
        <v>0</v>
      </c>
      <c r="AE320" s="104">
        <v>0</v>
      </c>
      <c r="AF320" s="104">
        <v>0</v>
      </c>
      <c r="AG320" s="104">
        <v>0</v>
      </c>
      <c r="AH320" s="109" t="s">
        <v>81</v>
      </c>
      <c r="AI320" s="109">
        <v>0</v>
      </c>
      <c r="AJ320" s="109" t="s">
        <v>81</v>
      </c>
      <c r="AK320" s="109">
        <v>0</v>
      </c>
      <c r="AL320" s="109" t="s">
        <v>121</v>
      </c>
      <c r="AM320" s="109" t="s">
        <v>75</v>
      </c>
      <c r="AN320" s="109" t="s">
        <v>81</v>
      </c>
      <c r="AO320" s="109" t="s">
        <v>84</v>
      </c>
      <c r="AP320" s="109" t="s">
        <v>81</v>
      </c>
      <c r="AQ320" s="109">
        <v>1</v>
      </c>
      <c r="AR320" s="109" t="s">
        <v>74</v>
      </c>
    </row>
    <row r="321" spans="1:44" ht="18" customHeight="1" x14ac:dyDescent="0.45">
      <c r="A321" s="104" t="s">
        <v>244</v>
      </c>
      <c r="B321" s="126" t="s">
        <v>245</v>
      </c>
      <c r="C321" s="105">
        <v>2020</v>
      </c>
      <c r="D321" s="105" t="s">
        <v>87</v>
      </c>
      <c r="E321" s="105" t="s">
        <v>246</v>
      </c>
      <c r="F321" s="105" t="s">
        <v>87</v>
      </c>
      <c r="G321" s="105" t="s">
        <v>87</v>
      </c>
      <c r="H321" s="105" t="s">
        <v>71</v>
      </c>
      <c r="I321" s="106" t="s">
        <v>72</v>
      </c>
      <c r="J321" s="104" t="s">
        <v>180</v>
      </c>
      <c r="K321" s="104" t="s">
        <v>81</v>
      </c>
      <c r="L321" s="104" t="s">
        <v>74</v>
      </c>
      <c r="M321" s="104">
        <v>9970000</v>
      </c>
      <c r="N321" s="104">
        <v>9970000</v>
      </c>
      <c r="O321" s="104">
        <v>13786815.1</v>
      </c>
      <c r="P321" s="104" t="s">
        <v>659</v>
      </c>
      <c r="Q321" s="104" t="s">
        <v>659</v>
      </c>
      <c r="R321" s="104" t="s">
        <v>659</v>
      </c>
      <c r="S321" s="104">
        <v>9970000</v>
      </c>
      <c r="T321" s="104">
        <v>9970000</v>
      </c>
      <c r="U321" s="112">
        <v>13786815.1</v>
      </c>
      <c r="V321" s="104" t="s">
        <v>75</v>
      </c>
      <c r="W321" s="104" t="s">
        <v>247</v>
      </c>
      <c r="X321" s="104" t="s">
        <v>75</v>
      </c>
      <c r="Y321" s="104" t="s">
        <v>248</v>
      </c>
      <c r="Z321" s="104" t="s">
        <v>75</v>
      </c>
      <c r="AA321" s="104">
        <v>0</v>
      </c>
      <c r="AB321" s="108" t="s">
        <v>78</v>
      </c>
      <c r="AC321" s="104">
        <v>0</v>
      </c>
      <c r="AD321" s="105" t="s">
        <v>78</v>
      </c>
      <c r="AE321" s="104">
        <v>2</v>
      </c>
      <c r="AF321" s="104" t="s">
        <v>249</v>
      </c>
      <c r="AG321" s="104">
        <v>2</v>
      </c>
      <c r="AH321" s="109" t="s">
        <v>75</v>
      </c>
      <c r="AI321" s="109" t="s">
        <v>250</v>
      </c>
      <c r="AJ321" s="109" t="s">
        <v>75</v>
      </c>
      <c r="AK321" s="109" t="s">
        <v>251</v>
      </c>
      <c r="AL321" s="109" t="s">
        <v>121</v>
      </c>
      <c r="AM321" s="109" t="s">
        <v>75</v>
      </c>
      <c r="AN321" s="109" t="s">
        <v>81</v>
      </c>
      <c r="AO321" s="109" t="s">
        <v>84</v>
      </c>
      <c r="AP321" s="109" t="s">
        <v>81</v>
      </c>
      <c r="AQ321" s="109">
        <v>1</v>
      </c>
      <c r="AR321" s="109" t="s">
        <v>74</v>
      </c>
    </row>
    <row r="322" spans="1:44" ht="18" customHeight="1" x14ac:dyDescent="0.45">
      <c r="A322" s="104" t="s">
        <v>252</v>
      </c>
      <c r="B322" s="126" t="s">
        <v>253</v>
      </c>
      <c r="C322" s="105">
        <v>2020</v>
      </c>
      <c r="D322" s="105" t="s">
        <v>254</v>
      </c>
      <c r="E322" s="105">
        <v>0</v>
      </c>
      <c r="F322" s="105" t="s">
        <v>555</v>
      </c>
      <c r="G322" s="105" t="s">
        <v>522</v>
      </c>
      <c r="H322" s="105" t="s">
        <v>255</v>
      </c>
      <c r="I322" s="106" t="s">
        <v>256</v>
      </c>
      <c r="J322" s="104" t="s">
        <v>116</v>
      </c>
      <c r="K322" s="104" t="s">
        <v>81</v>
      </c>
      <c r="L322" s="104" t="s">
        <v>104</v>
      </c>
      <c r="M322" s="104">
        <v>124190000</v>
      </c>
      <c r="N322" s="104">
        <v>100487102.3076674</v>
      </c>
      <c r="O322" s="104">
        <v>138956579.68411171</v>
      </c>
      <c r="P322" s="104" t="s">
        <v>659</v>
      </c>
      <c r="Q322" s="104" t="s">
        <v>659</v>
      </c>
      <c r="R322" s="104" t="s">
        <v>659</v>
      </c>
      <c r="S322" s="104">
        <v>121502000</v>
      </c>
      <c r="T322" s="104">
        <v>98312133.864129201</v>
      </c>
      <c r="U322" s="112">
        <v>135948968.0713338</v>
      </c>
      <c r="V322" s="104" t="s">
        <v>75</v>
      </c>
      <c r="W322" s="104" t="s">
        <v>257</v>
      </c>
      <c r="X322" s="104" t="s">
        <v>75</v>
      </c>
      <c r="Y322" s="104" t="s">
        <v>258</v>
      </c>
      <c r="Z322" s="104" t="s">
        <v>75</v>
      </c>
      <c r="AA322" s="104">
        <v>0</v>
      </c>
      <c r="AB322" s="108" t="s">
        <v>78</v>
      </c>
      <c r="AC322" s="104">
        <v>3</v>
      </c>
      <c r="AD322" s="105" t="s">
        <v>259</v>
      </c>
      <c r="AE322" s="104">
        <v>0</v>
      </c>
      <c r="AF322" s="104" t="s">
        <v>78</v>
      </c>
      <c r="AG322" s="104">
        <v>3</v>
      </c>
      <c r="AH322" s="109" t="s">
        <v>75</v>
      </c>
      <c r="AI322" s="109" t="s">
        <v>260</v>
      </c>
      <c r="AJ322" s="109" t="s">
        <v>75</v>
      </c>
      <c r="AK322" s="109" t="s">
        <v>261</v>
      </c>
      <c r="AL322" s="109" t="s">
        <v>132</v>
      </c>
      <c r="AM322" s="109" t="s">
        <v>75</v>
      </c>
      <c r="AN322" s="109" t="s">
        <v>75</v>
      </c>
      <c r="AO322" s="109" t="s">
        <v>110</v>
      </c>
      <c r="AP322" s="109" t="s">
        <v>75</v>
      </c>
      <c r="AQ322" s="109">
        <v>1</v>
      </c>
      <c r="AR322" s="109" t="s">
        <v>104</v>
      </c>
    </row>
    <row r="323" spans="1:44" ht="18" customHeight="1" x14ac:dyDescent="0.45">
      <c r="A323" s="104" t="s">
        <v>262</v>
      </c>
      <c r="B323" s="126" t="s">
        <v>263</v>
      </c>
      <c r="C323" s="105">
        <v>2020</v>
      </c>
      <c r="D323" s="105" t="s">
        <v>135</v>
      </c>
      <c r="E323" s="105">
        <v>0</v>
      </c>
      <c r="F323" s="105" t="s">
        <v>530</v>
      </c>
      <c r="G323" s="105" t="s">
        <v>520</v>
      </c>
      <c r="H323" s="105" t="s">
        <v>264</v>
      </c>
      <c r="I323" s="106" t="s">
        <v>228</v>
      </c>
      <c r="J323" s="104" t="s">
        <v>73</v>
      </c>
      <c r="K323" s="104" t="s">
        <v>81</v>
      </c>
      <c r="L323" s="104" t="s">
        <v>74</v>
      </c>
      <c r="M323" s="104">
        <v>11970000</v>
      </c>
      <c r="N323" s="104">
        <v>11970000</v>
      </c>
      <c r="O323" s="104">
        <v>16552475.1</v>
      </c>
      <c r="P323" s="104" t="s">
        <v>659</v>
      </c>
      <c r="Q323" s="104" t="s">
        <v>659</v>
      </c>
      <c r="R323" s="104" t="s">
        <v>659</v>
      </c>
      <c r="S323" s="104">
        <v>2000000</v>
      </c>
      <c r="T323" s="104">
        <v>2000000</v>
      </c>
      <c r="U323" s="112">
        <v>2765660</v>
      </c>
      <c r="V323" s="104" t="s">
        <v>75</v>
      </c>
      <c r="W323" s="104" t="s">
        <v>265</v>
      </c>
      <c r="X323" s="104" t="s">
        <v>75</v>
      </c>
      <c r="Y323" s="104" t="s">
        <v>266</v>
      </c>
      <c r="Z323" s="104" t="s">
        <v>75</v>
      </c>
      <c r="AA323" s="104">
        <v>2</v>
      </c>
      <c r="AB323" s="108" t="s">
        <v>267</v>
      </c>
      <c r="AC323" s="104">
        <v>2</v>
      </c>
      <c r="AD323" s="105" t="s">
        <v>268</v>
      </c>
      <c r="AE323" s="104">
        <v>2</v>
      </c>
      <c r="AF323" s="104" t="s">
        <v>269</v>
      </c>
      <c r="AG323" s="104">
        <v>6</v>
      </c>
      <c r="AH323" s="109" t="s">
        <v>81</v>
      </c>
      <c r="AI323" s="109">
        <v>0</v>
      </c>
      <c r="AJ323" s="109" t="s">
        <v>75</v>
      </c>
      <c r="AK323" s="109" t="s">
        <v>270</v>
      </c>
      <c r="AL323" s="109" t="s">
        <v>121</v>
      </c>
      <c r="AM323" s="109" t="s">
        <v>75</v>
      </c>
      <c r="AN323" s="109" t="s">
        <v>75</v>
      </c>
      <c r="AO323" s="109" t="s">
        <v>110</v>
      </c>
      <c r="AP323" s="109" t="s">
        <v>75</v>
      </c>
      <c r="AQ323" s="109">
        <v>1</v>
      </c>
      <c r="AR323" s="109" t="s">
        <v>74</v>
      </c>
    </row>
    <row r="324" spans="1:44" ht="18" customHeight="1" x14ac:dyDescent="0.45">
      <c r="A324" s="104" t="s">
        <v>271</v>
      </c>
      <c r="B324" s="126" t="s">
        <v>272</v>
      </c>
      <c r="C324" s="105">
        <v>2020</v>
      </c>
      <c r="D324" s="105" t="s">
        <v>273</v>
      </c>
      <c r="E324" s="105">
        <v>0</v>
      </c>
      <c r="F324" s="105" t="s">
        <v>549</v>
      </c>
      <c r="G324" s="105" t="s">
        <v>518</v>
      </c>
      <c r="H324" s="105" t="s">
        <v>264</v>
      </c>
      <c r="I324" s="106" t="s">
        <v>228</v>
      </c>
      <c r="J324" s="104" t="s">
        <v>73</v>
      </c>
      <c r="K324" s="104" t="s">
        <v>81</v>
      </c>
      <c r="L324" s="104" t="s">
        <v>74</v>
      </c>
      <c r="M324" s="104">
        <v>4325000</v>
      </c>
      <c r="N324" s="104">
        <v>4325000</v>
      </c>
      <c r="O324" s="104">
        <v>5980739.75</v>
      </c>
      <c r="P324" s="104" t="s">
        <v>659</v>
      </c>
      <c r="Q324" s="104" t="s">
        <v>659</v>
      </c>
      <c r="R324" s="104" t="s">
        <v>659</v>
      </c>
      <c r="S324" s="104">
        <v>1500000</v>
      </c>
      <c r="T324" s="104">
        <v>1500000</v>
      </c>
      <c r="U324" s="112">
        <v>2074245</v>
      </c>
      <c r="V324" s="104" t="s">
        <v>75</v>
      </c>
      <c r="W324" s="104" t="s">
        <v>274</v>
      </c>
      <c r="X324" s="104" t="s">
        <v>75</v>
      </c>
      <c r="Y324" s="104" t="s">
        <v>275</v>
      </c>
      <c r="Z324" s="104" t="s">
        <v>75</v>
      </c>
      <c r="AA324" s="104">
        <v>0</v>
      </c>
      <c r="AB324" s="108" t="s">
        <v>78</v>
      </c>
      <c r="AC324" s="104">
        <v>1</v>
      </c>
      <c r="AD324" s="105" t="s">
        <v>276</v>
      </c>
      <c r="AE324" s="104">
        <v>2</v>
      </c>
      <c r="AF324" s="104" t="s">
        <v>277</v>
      </c>
      <c r="AG324" s="104">
        <v>3</v>
      </c>
      <c r="AH324" s="109" t="s">
        <v>75</v>
      </c>
      <c r="AI324" s="109" t="s">
        <v>278</v>
      </c>
      <c r="AJ324" s="109" t="s">
        <v>75</v>
      </c>
      <c r="AK324" s="109" t="s">
        <v>279</v>
      </c>
      <c r="AL324" s="109" t="s">
        <v>121</v>
      </c>
      <c r="AM324" s="109" t="s">
        <v>75</v>
      </c>
      <c r="AN324" s="109" t="s">
        <v>81</v>
      </c>
      <c r="AO324" s="109" t="s">
        <v>110</v>
      </c>
      <c r="AP324" s="109" t="s">
        <v>75</v>
      </c>
      <c r="AQ324" s="109">
        <v>1</v>
      </c>
      <c r="AR324" s="109" t="s">
        <v>74</v>
      </c>
    </row>
    <row r="325" spans="1:44" ht="18" customHeight="1" x14ac:dyDescent="0.45">
      <c r="A325" s="104" t="s">
        <v>280</v>
      </c>
      <c r="B325" s="126" t="s">
        <v>281</v>
      </c>
      <c r="C325" s="105">
        <v>2020</v>
      </c>
      <c r="D325" s="105" t="s">
        <v>282</v>
      </c>
      <c r="E325" s="105">
        <v>0</v>
      </c>
      <c r="F325" s="105" t="s">
        <v>553</v>
      </c>
      <c r="G325" s="105" t="s">
        <v>520</v>
      </c>
      <c r="H325" s="105" t="s">
        <v>264</v>
      </c>
      <c r="I325" s="106" t="s">
        <v>228</v>
      </c>
      <c r="J325" s="104" t="s">
        <v>73</v>
      </c>
      <c r="K325" s="104" t="s">
        <v>81</v>
      </c>
      <c r="L325" s="104" t="s">
        <v>74</v>
      </c>
      <c r="M325" s="104">
        <v>5800000</v>
      </c>
      <c r="N325" s="104">
        <v>5800000</v>
      </c>
      <c r="O325" s="104">
        <v>8020414</v>
      </c>
      <c r="P325" s="104" t="s">
        <v>659</v>
      </c>
      <c r="Q325" s="104" t="s">
        <v>659</v>
      </c>
      <c r="R325" s="104" t="s">
        <v>659</v>
      </c>
      <c r="S325" s="104">
        <v>4000000</v>
      </c>
      <c r="T325" s="104">
        <v>4000000</v>
      </c>
      <c r="U325" s="112">
        <v>5531320</v>
      </c>
      <c r="V325" s="104" t="s">
        <v>75</v>
      </c>
      <c r="W325" s="104" t="s">
        <v>283</v>
      </c>
      <c r="X325" s="104" t="s">
        <v>81</v>
      </c>
      <c r="Y325" s="104">
        <v>0</v>
      </c>
      <c r="Z325" s="104" t="s">
        <v>75</v>
      </c>
      <c r="AA325" s="104">
        <v>0</v>
      </c>
      <c r="AB325" s="108" t="s">
        <v>78</v>
      </c>
      <c r="AC325" s="104">
        <v>0</v>
      </c>
      <c r="AD325" s="105" t="s">
        <v>78</v>
      </c>
      <c r="AE325" s="104">
        <v>2</v>
      </c>
      <c r="AF325" s="104" t="s">
        <v>284</v>
      </c>
      <c r="AG325" s="104">
        <v>2</v>
      </c>
      <c r="AH325" s="109" t="s">
        <v>81</v>
      </c>
      <c r="AI325" s="109">
        <v>0</v>
      </c>
      <c r="AJ325" s="109" t="s">
        <v>75</v>
      </c>
      <c r="AK325" s="109" t="s">
        <v>285</v>
      </c>
      <c r="AL325" s="109" t="s">
        <v>286</v>
      </c>
      <c r="AM325" s="109" t="s">
        <v>75</v>
      </c>
      <c r="AN325" s="109" t="s">
        <v>81</v>
      </c>
      <c r="AO325" s="109" t="s">
        <v>110</v>
      </c>
      <c r="AP325" s="109" t="s">
        <v>81</v>
      </c>
      <c r="AQ325" s="109">
        <v>1</v>
      </c>
      <c r="AR325" s="109" t="s">
        <v>74</v>
      </c>
    </row>
    <row r="326" spans="1:44" ht="18" customHeight="1" x14ac:dyDescent="0.45">
      <c r="A326" s="104" t="s">
        <v>287</v>
      </c>
      <c r="B326" s="126" t="s">
        <v>288</v>
      </c>
      <c r="C326" s="105">
        <v>2020</v>
      </c>
      <c r="D326" s="105" t="s">
        <v>289</v>
      </c>
      <c r="E326" s="105">
        <v>0</v>
      </c>
      <c r="F326" s="105" t="s">
        <v>492</v>
      </c>
      <c r="G326" s="105" t="s">
        <v>521</v>
      </c>
      <c r="H326" s="105" t="s">
        <v>216</v>
      </c>
      <c r="I326" s="106" t="s">
        <v>101</v>
      </c>
      <c r="J326" s="104" t="s">
        <v>290</v>
      </c>
      <c r="K326" s="104" t="s">
        <v>81</v>
      </c>
      <c r="L326" s="104" t="s">
        <v>104</v>
      </c>
      <c r="M326" s="104">
        <v>570210000</v>
      </c>
      <c r="N326" s="104">
        <v>461379745.6063695</v>
      </c>
      <c r="O326" s="104">
        <v>638009753.61685598</v>
      </c>
      <c r="P326" s="104" t="s">
        <v>659</v>
      </c>
      <c r="Q326" s="104" t="s">
        <v>659</v>
      </c>
      <c r="R326" s="104" t="s">
        <v>659</v>
      </c>
      <c r="S326" s="104">
        <v>100000000</v>
      </c>
      <c r="T326" s="104">
        <v>80914004.595915452</v>
      </c>
      <c r="U326" s="112">
        <v>111890312.97536977</v>
      </c>
      <c r="V326" s="104" t="s">
        <v>75</v>
      </c>
      <c r="W326" s="104" t="s">
        <v>291</v>
      </c>
      <c r="X326" s="104" t="s">
        <v>81</v>
      </c>
      <c r="Y326" s="104">
        <v>0</v>
      </c>
      <c r="Z326" s="104" t="s">
        <v>75</v>
      </c>
      <c r="AA326" s="104">
        <v>0</v>
      </c>
      <c r="AB326" s="108" t="s">
        <v>78</v>
      </c>
      <c r="AC326" s="104">
        <v>1</v>
      </c>
      <c r="AD326" s="105" t="s">
        <v>292</v>
      </c>
      <c r="AE326" s="104">
        <v>2</v>
      </c>
      <c r="AF326" s="104" t="s">
        <v>293</v>
      </c>
      <c r="AG326" s="104">
        <v>3</v>
      </c>
      <c r="AH326" s="109" t="s">
        <v>81</v>
      </c>
      <c r="AI326" s="109">
        <v>0</v>
      </c>
      <c r="AJ326" s="109" t="s">
        <v>75</v>
      </c>
      <c r="AK326" s="109" t="s">
        <v>294</v>
      </c>
      <c r="AL326" s="109" t="s">
        <v>132</v>
      </c>
      <c r="AM326" s="109" t="s">
        <v>75</v>
      </c>
      <c r="AN326" s="109" t="s">
        <v>81</v>
      </c>
      <c r="AO326" s="109" t="s">
        <v>84</v>
      </c>
      <c r="AP326" s="109" t="s">
        <v>81</v>
      </c>
      <c r="AQ326" s="109">
        <v>1</v>
      </c>
      <c r="AR326" s="109" t="s">
        <v>104</v>
      </c>
    </row>
    <row r="327" spans="1:44" ht="18" customHeight="1" x14ac:dyDescent="0.45">
      <c r="A327" s="104" t="s">
        <v>295</v>
      </c>
      <c r="B327" s="126" t="s">
        <v>296</v>
      </c>
      <c r="C327" s="105">
        <v>2020</v>
      </c>
      <c r="D327" s="105" t="s">
        <v>297</v>
      </c>
      <c r="E327" s="105">
        <v>0</v>
      </c>
      <c r="F327" s="105" t="s">
        <v>566</v>
      </c>
      <c r="G327" s="105" t="s">
        <v>522</v>
      </c>
      <c r="H327" s="105" t="s">
        <v>216</v>
      </c>
      <c r="I327" s="106" t="s">
        <v>101</v>
      </c>
      <c r="J327" s="104" t="s">
        <v>73</v>
      </c>
      <c r="K327" s="104" t="s">
        <v>81</v>
      </c>
      <c r="L327" s="104" t="s">
        <v>126</v>
      </c>
      <c r="M327" s="104">
        <v>80838472</v>
      </c>
      <c r="N327" s="104">
        <v>58458720.160829604</v>
      </c>
      <c r="O327" s="104">
        <v>80838472</v>
      </c>
      <c r="P327" s="104" t="s">
        <v>659</v>
      </c>
      <c r="Q327" s="104" t="s">
        <v>659</v>
      </c>
      <c r="R327" s="104" t="s">
        <v>659</v>
      </c>
      <c r="S327" s="104">
        <v>36000000</v>
      </c>
      <c r="T327" s="104">
        <v>36000000</v>
      </c>
      <c r="U327" s="112">
        <v>49781880</v>
      </c>
      <c r="V327" s="104" t="s">
        <v>75</v>
      </c>
      <c r="W327" s="104" t="s">
        <v>298</v>
      </c>
      <c r="X327" s="104" t="s">
        <v>81</v>
      </c>
      <c r="Y327" s="104">
        <v>0</v>
      </c>
      <c r="Z327" s="104" t="s">
        <v>75</v>
      </c>
      <c r="AA327" s="104">
        <v>0</v>
      </c>
      <c r="AB327" s="108" t="s">
        <v>78</v>
      </c>
      <c r="AC327" s="104">
        <v>0</v>
      </c>
      <c r="AD327" s="105" t="s">
        <v>78</v>
      </c>
      <c r="AE327" s="104">
        <v>1</v>
      </c>
      <c r="AF327" s="104" t="s">
        <v>299</v>
      </c>
      <c r="AG327" s="104">
        <v>1</v>
      </c>
      <c r="AH327" s="109" t="s">
        <v>81</v>
      </c>
      <c r="AI327" s="109">
        <v>0</v>
      </c>
      <c r="AJ327" s="109" t="s">
        <v>75</v>
      </c>
      <c r="AK327" s="109" t="s">
        <v>300</v>
      </c>
      <c r="AL327" s="109" t="s">
        <v>132</v>
      </c>
      <c r="AM327" s="109" t="s">
        <v>75</v>
      </c>
      <c r="AN327" s="109" t="s">
        <v>75</v>
      </c>
      <c r="AO327" s="109" t="s">
        <v>84</v>
      </c>
      <c r="AP327" s="109" t="s">
        <v>81</v>
      </c>
      <c r="AQ327" s="109">
        <v>1</v>
      </c>
      <c r="AR327" s="109" t="s">
        <v>74</v>
      </c>
    </row>
    <row r="328" spans="1:44" ht="18" customHeight="1" x14ac:dyDescent="0.45">
      <c r="A328" s="104" t="s">
        <v>301</v>
      </c>
      <c r="B328" s="126" t="s">
        <v>302</v>
      </c>
      <c r="C328" s="105">
        <v>2020</v>
      </c>
      <c r="D328" s="105" t="s">
        <v>151</v>
      </c>
      <c r="E328" s="105">
        <v>0</v>
      </c>
      <c r="F328" s="105" t="s">
        <v>546</v>
      </c>
      <c r="G328" s="105" t="s">
        <v>518</v>
      </c>
      <c r="H328" s="105" t="s">
        <v>114</v>
      </c>
      <c r="I328" s="106" t="s">
        <v>115</v>
      </c>
      <c r="J328" s="104" t="s">
        <v>137</v>
      </c>
      <c r="K328" s="104" t="s">
        <v>81</v>
      </c>
      <c r="L328" s="104" t="s">
        <v>126</v>
      </c>
      <c r="M328" s="104">
        <v>2144570000</v>
      </c>
      <c r="N328" s="104">
        <v>1550855853.5756383</v>
      </c>
      <c r="O328" s="104">
        <v>2144570000</v>
      </c>
      <c r="P328" s="104" t="s">
        <v>659</v>
      </c>
      <c r="Q328" s="104" t="s">
        <v>659</v>
      </c>
      <c r="R328" s="104" t="s">
        <v>659</v>
      </c>
      <c r="S328" s="104">
        <v>204000000</v>
      </c>
      <c r="T328" s="104">
        <v>147523556.76402739</v>
      </c>
      <c r="U328" s="112">
        <v>204000000</v>
      </c>
      <c r="V328" s="104" t="s">
        <v>81</v>
      </c>
      <c r="W328" s="104">
        <v>0</v>
      </c>
      <c r="X328" s="104" t="s">
        <v>81</v>
      </c>
      <c r="Y328" s="104">
        <v>0</v>
      </c>
      <c r="Z328" s="104" t="s">
        <v>81</v>
      </c>
      <c r="AA328" s="104">
        <v>0</v>
      </c>
      <c r="AB328" s="108">
        <v>0</v>
      </c>
      <c r="AC328" s="104">
        <v>0</v>
      </c>
      <c r="AD328" s="105">
        <v>0</v>
      </c>
      <c r="AE328" s="104">
        <v>0</v>
      </c>
      <c r="AF328" s="104">
        <v>0</v>
      </c>
      <c r="AG328" s="104">
        <v>0</v>
      </c>
      <c r="AH328" s="109" t="s">
        <v>81</v>
      </c>
      <c r="AI328" s="109">
        <v>0</v>
      </c>
      <c r="AJ328" s="109" t="s">
        <v>81</v>
      </c>
      <c r="AK328" s="109">
        <v>0</v>
      </c>
      <c r="AL328" s="109" t="s">
        <v>121</v>
      </c>
      <c r="AM328" s="109" t="s">
        <v>75</v>
      </c>
      <c r="AN328" s="109" t="s">
        <v>75</v>
      </c>
      <c r="AO328" s="109" t="s">
        <v>84</v>
      </c>
      <c r="AP328" s="109" t="s">
        <v>81</v>
      </c>
      <c r="AQ328" s="109">
        <v>1</v>
      </c>
      <c r="AR328" s="109" t="s">
        <v>126</v>
      </c>
    </row>
    <row r="329" spans="1:44" ht="18" customHeight="1" x14ac:dyDescent="0.45">
      <c r="A329" s="104" t="s">
        <v>303</v>
      </c>
      <c r="B329" s="126" t="s">
        <v>304</v>
      </c>
      <c r="C329" s="105">
        <v>2020</v>
      </c>
      <c r="D329" s="105" t="s">
        <v>305</v>
      </c>
      <c r="E329" s="105">
        <v>0</v>
      </c>
      <c r="F329" s="105" t="s">
        <v>1855</v>
      </c>
      <c r="G329" s="105" t="s">
        <v>522</v>
      </c>
      <c r="H329" s="105" t="s">
        <v>216</v>
      </c>
      <c r="I329" s="106" t="s">
        <v>101</v>
      </c>
      <c r="J329" s="104" t="s">
        <v>90</v>
      </c>
      <c r="K329" s="104" t="s">
        <v>81</v>
      </c>
      <c r="L329" s="104" t="s">
        <v>74</v>
      </c>
      <c r="M329" s="104">
        <v>15000000</v>
      </c>
      <c r="N329" s="104">
        <v>15000000</v>
      </c>
      <c r="O329" s="104">
        <v>20742450</v>
      </c>
      <c r="P329" s="104" t="s">
        <v>659</v>
      </c>
      <c r="Q329" s="104" t="s">
        <v>659</v>
      </c>
      <c r="R329" s="104" t="s">
        <v>659</v>
      </c>
      <c r="S329" s="104">
        <v>5000000</v>
      </c>
      <c r="T329" s="104">
        <v>5000000</v>
      </c>
      <c r="U329" s="112">
        <v>6914150</v>
      </c>
      <c r="V329" s="104" t="s">
        <v>75</v>
      </c>
      <c r="W329" s="104" t="s">
        <v>306</v>
      </c>
      <c r="X329" s="104" t="s">
        <v>81</v>
      </c>
      <c r="Y329" s="104" t="s">
        <v>307</v>
      </c>
      <c r="Z329" s="104" t="s">
        <v>75</v>
      </c>
      <c r="AA329" s="104">
        <v>0</v>
      </c>
      <c r="AB329" s="108" t="s">
        <v>78</v>
      </c>
      <c r="AC329" s="104">
        <v>1</v>
      </c>
      <c r="AD329" s="105" t="s">
        <v>308</v>
      </c>
      <c r="AE329" s="104">
        <v>2</v>
      </c>
      <c r="AF329" s="104" t="s">
        <v>309</v>
      </c>
      <c r="AG329" s="104">
        <v>3</v>
      </c>
      <c r="AH329" s="109" t="s">
        <v>75</v>
      </c>
      <c r="AI329" s="109" t="s">
        <v>310</v>
      </c>
      <c r="AJ329" s="109" t="s">
        <v>75</v>
      </c>
      <c r="AK329" s="109" t="s">
        <v>311</v>
      </c>
      <c r="AL329" s="109" t="s">
        <v>132</v>
      </c>
      <c r="AM329" s="109" t="s">
        <v>75</v>
      </c>
      <c r="AN329" s="109" t="s">
        <v>75</v>
      </c>
      <c r="AO329" s="109" t="s">
        <v>84</v>
      </c>
      <c r="AP329" s="109" t="s">
        <v>81</v>
      </c>
      <c r="AQ329" s="109">
        <v>1</v>
      </c>
      <c r="AR329" s="109" t="s">
        <v>74</v>
      </c>
    </row>
    <row r="330" spans="1:44" ht="18" customHeight="1" x14ac:dyDescent="0.45">
      <c r="A330" s="104" t="s">
        <v>312</v>
      </c>
      <c r="B330" s="126" t="s">
        <v>313</v>
      </c>
      <c r="C330" s="105">
        <v>2020</v>
      </c>
      <c r="D330" s="105" t="s">
        <v>314</v>
      </c>
      <c r="E330" s="105">
        <v>0</v>
      </c>
      <c r="F330" s="105" t="s">
        <v>557</v>
      </c>
      <c r="G330" s="105" t="s">
        <v>522</v>
      </c>
      <c r="H330" s="105" t="s">
        <v>216</v>
      </c>
      <c r="I330" s="106" t="s">
        <v>101</v>
      </c>
      <c r="J330" s="104" t="s">
        <v>180</v>
      </c>
      <c r="K330" s="104" t="s">
        <v>81</v>
      </c>
      <c r="L330" s="104" t="s">
        <v>74</v>
      </c>
      <c r="M330" s="104">
        <v>20000000</v>
      </c>
      <c r="N330" s="104">
        <v>20000000</v>
      </c>
      <c r="O330" s="104">
        <v>27656600</v>
      </c>
      <c r="P330" s="104" t="s">
        <v>659</v>
      </c>
      <c r="Q330" s="104" t="s">
        <v>659</v>
      </c>
      <c r="R330" s="104" t="s">
        <v>659</v>
      </c>
      <c r="S330" s="104">
        <v>20000000</v>
      </c>
      <c r="T330" s="104">
        <v>20000000</v>
      </c>
      <c r="U330" s="112">
        <v>27656600</v>
      </c>
      <c r="V330" s="104" t="s">
        <v>81</v>
      </c>
      <c r="W330" s="104">
        <v>0</v>
      </c>
      <c r="X330" s="104" t="s">
        <v>81</v>
      </c>
      <c r="Y330" s="104">
        <v>0</v>
      </c>
      <c r="Z330" s="104" t="s">
        <v>81</v>
      </c>
      <c r="AA330" s="104">
        <v>0</v>
      </c>
      <c r="AB330" s="108">
        <v>0</v>
      </c>
      <c r="AC330" s="104">
        <v>0</v>
      </c>
      <c r="AD330" s="105">
        <v>0</v>
      </c>
      <c r="AE330" s="104">
        <v>0</v>
      </c>
      <c r="AF330" s="104">
        <v>0</v>
      </c>
      <c r="AG330" s="104">
        <v>0</v>
      </c>
      <c r="AH330" s="109" t="s">
        <v>81</v>
      </c>
      <c r="AI330" s="109">
        <v>0</v>
      </c>
      <c r="AJ330" s="109" t="s">
        <v>81</v>
      </c>
      <c r="AK330" s="109">
        <v>0</v>
      </c>
      <c r="AL330" s="109" t="s">
        <v>286</v>
      </c>
      <c r="AM330" s="109" t="s">
        <v>75</v>
      </c>
      <c r="AN330" s="109" t="s">
        <v>75</v>
      </c>
      <c r="AO330" s="109" t="s">
        <v>84</v>
      </c>
      <c r="AP330" s="109" t="s">
        <v>81</v>
      </c>
      <c r="AQ330" s="109">
        <v>1</v>
      </c>
      <c r="AR330" s="109" t="s">
        <v>74</v>
      </c>
    </row>
    <row r="331" spans="1:44" ht="18" customHeight="1" x14ac:dyDescent="0.45">
      <c r="A331" s="104" t="s">
        <v>315</v>
      </c>
      <c r="B331" s="126" t="s">
        <v>316</v>
      </c>
      <c r="C331" s="105">
        <v>2020</v>
      </c>
      <c r="D331" s="105" t="s">
        <v>317</v>
      </c>
      <c r="E331" s="105">
        <v>0</v>
      </c>
      <c r="F331" s="105" t="s">
        <v>526</v>
      </c>
      <c r="G331" s="105" t="s">
        <v>522</v>
      </c>
      <c r="H331" s="105" t="s">
        <v>264</v>
      </c>
      <c r="I331" s="106" t="s">
        <v>228</v>
      </c>
      <c r="J331" s="104" t="s">
        <v>290</v>
      </c>
      <c r="K331" s="104" t="s">
        <v>81</v>
      </c>
      <c r="L331" s="104" t="s">
        <v>74</v>
      </c>
      <c r="M331" s="104">
        <v>16390000</v>
      </c>
      <c r="N331" s="104">
        <v>16390000</v>
      </c>
      <c r="O331" s="104">
        <v>22664583.699999999</v>
      </c>
      <c r="P331" s="104" t="s">
        <v>659</v>
      </c>
      <c r="Q331" s="104" t="s">
        <v>659</v>
      </c>
      <c r="R331" s="104" t="s">
        <v>659</v>
      </c>
      <c r="S331" s="104">
        <v>9370000</v>
      </c>
      <c r="T331" s="104">
        <v>9370000</v>
      </c>
      <c r="U331" s="112">
        <v>12957117.1</v>
      </c>
      <c r="V331" s="104" t="s">
        <v>75</v>
      </c>
      <c r="W331" s="104" t="s">
        <v>318</v>
      </c>
      <c r="X331" s="104" t="s">
        <v>75</v>
      </c>
      <c r="Y331" s="104" t="s">
        <v>319</v>
      </c>
      <c r="Z331" s="104" t="s">
        <v>75</v>
      </c>
      <c r="AA331" s="104">
        <v>1</v>
      </c>
      <c r="AB331" s="108" t="s">
        <v>320</v>
      </c>
      <c r="AC331" s="104">
        <v>1</v>
      </c>
      <c r="AD331" s="105" t="s">
        <v>321</v>
      </c>
      <c r="AE331" s="104">
        <v>2</v>
      </c>
      <c r="AF331" s="104" t="s">
        <v>322</v>
      </c>
      <c r="AG331" s="104">
        <v>4</v>
      </c>
      <c r="AH331" s="109" t="s">
        <v>81</v>
      </c>
      <c r="AI331" s="109">
        <v>0</v>
      </c>
      <c r="AJ331" s="109" t="s">
        <v>75</v>
      </c>
      <c r="AK331" s="109" t="s">
        <v>323</v>
      </c>
      <c r="AL331" s="109" t="s">
        <v>121</v>
      </c>
      <c r="AM331" s="109" t="s">
        <v>75</v>
      </c>
      <c r="AN331" s="109" t="s">
        <v>75</v>
      </c>
      <c r="AO331" s="109" t="s">
        <v>110</v>
      </c>
      <c r="AP331" s="109" t="s">
        <v>75</v>
      </c>
      <c r="AQ331" s="109">
        <v>1</v>
      </c>
      <c r="AR331" s="109" t="s">
        <v>74</v>
      </c>
    </row>
    <row r="332" spans="1:44" ht="18" customHeight="1" x14ac:dyDescent="0.45">
      <c r="A332" s="104" t="s">
        <v>324</v>
      </c>
      <c r="B332" s="126" t="s">
        <v>325</v>
      </c>
      <c r="C332" s="105">
        <v>2020</v>
      </c>
      <c r="D332" s="105" t="s">
        <v>179</v>
      </c>
      <c r="E332" s="105">
        <v>0</v>
      </c>
      <c r="F332" s="105" t="s">
        <v>561</v>
      </c>
      <c r="G332" s="105" t="s">
        <v>522</v>
      </c>
      <c r="H332" s="105" t="s">
        <v>264</v>
      </c>
      <c r="I332" s="106" t="s">
        <v>228</v>
      </c>
      <c r="J332" s="104" t="s">
        <v>290</v>
      </c>
      <c r="K332" s="104" t="s">
        <v>81</v>
      </c>
      <c r="L332" s="104" t="s">
        <v>74</v>
      </c>
      <c r="M332" s="104">
        <v>10790000</v>
      </c>
      <c r="N332" s="104">
        <v>10790000</v>
      </c>
      <c r="O332" s="104">
        <v>14920735.699999999</v>
      </c>
      <c r="P332" s="104" t="s">
        <v>659</v>
      </c>
      <c r="Q332" s="104" t="s">
        <v>659</v>
      </c>
      <c r="R332" s="104" t="s">
        <v>659</v>
      </c>
      <c r="S332" s="104">
        <v>5530000</v>
      </c>
      <c r="T332" s="104">
        <v>5530000</v>
      </c>
      <c r="U332" s="112">
        <v>7647049.9000000004</v>
      </c>
      <c r="V332" s="104" t="s">
        <v>75</v>
      </c>
      <c r="W332" s="104" t="s">
        <v>326</v>
      </c>
      <c r="X332" s="104" t="s">
        <v>75</v>
      </c>
      <c r="Y332" s="104" t="s">
        <v>327</v>
      </c>
      <c r="Z332" s="104" t="s">
        <v>75</v>
      </c>
      <c r="AA332" s="104">
        <v>0</v>
      </c>
      <c r="AB332" s="108" t="s">
        <v>78</v>
      </c>
      <c r="AC332" s="104">
        <v>2</v>
      </c>
      <c r="AD332" s="105" t="s">
        <v>328</v>
      </c>
      <c r="AE332" s="104">
        <v>1</v>
      </c>
      <c r="AF332" s="104" t="s">
        <v>329</v>
      </c>
      <c r="AG332" s="104">
        <v>3</v>
      </c>
      <c r="AH332" s="109" t="s">
        <v>75</v>
      </c>
      <c r="AI332" s="109" t="s">
        <v>330</v>
      </c>
      <c r="AJ332" s="109" t="s">
        <v>75</v>
      </c>
      <c r="AK332" s="109" t="s">
        <v>331</v>
      </c>
      <c r="AL332" s="109" t="s">
        <v>132</v>
      </c>
      <c r="AM332" s="109" t="s">
        <v>75</v>
      </c>
      <c r="AN332" s="109" t="s">
        <v>75</v>
      </c>
      <c r="AO332" s="109" t="s">
        <v>110</v>
      </c>
      <c r="AP332" s="109" t="s">
        <v>75</v>
      </c>
      <c r="AQ332" s="109">
        <v>1</v>
      </c>
      <c r="AR332" s="109" t="s">
        <v>74</v>
      </c>
    </row>
    <row r="333" spans="1:44" ht="18" customHeight="1" x14ac:dyDescent="0.45">
      <c r="A333" s="104" t="s">
        <v>332</v>
      </c>
      <c r="B333" s="126" t="s">
        <v>333</v>
      </c>
      <c r="C333" s="105">
        <v>2020</v>
      </c>
      <c r="D333" s="105" t="s">
        <v>282</v>
      </c>
      <c r="E333" s="105">
        <v>0</v>
      </c>
      <c r="F333" s="105" t="s">
        <v>553</v>
      </c>
      <c r="G333" s="105" t="s">
        <v>520</v>
      </c>
      <c r="H333" s="105" t="s">
        <v>114</v>
      </c>
      <c r="I333" s="106" t="s">
        <v>115</v>
      </c>
      <c r="J333" s="104" t="s">
        <v>180</v>
      </c>
      <c r="K333" s="104" t="s">
        <v>81</v>
      </c>
      <c r="L333" s="104" t="s">
        <v>74</v>
      </c>
      <c r="M333" s="104">
        <v>4640000</v>
      </c>
      <c r="N333" s="104">
        <v>4640000</v>
      </c>
      <c r="O333" s="104">
        <v>6416331.2000000002</v>
      </c>
      <c r="P333" s="104" t="s">
        <v>659</v>
      </c>
      <c r="Q333" s="104" t="s">
        <v>659</v>
      </c>
      <c r="R333" s="104" t="s">
        <v>659</v>
      </c>
      <c r="S333" s="104">
        <v>4640000</v>
      </c>
      <c r="T333" s="104">
        <v>4640000</v>
      </c>
      <c r="U333" s="112">
        <v>6416331.2000000002</v>
      </c>
      <c r="V333" s="104" t="s">
        <v>75</v>
      </c>
      <c r="W333" s="104" t="s">
        <v>334</v>
      </c>
      <c r="X333" s="104" t="s">
        <v>81</v>
      </c>
      <c r="Y333" s="104">
        <v>0</v>
      </c>
      <c r="Z333" s="104" t="s">
        <v>75</v>
      </c>
      <c r="AA333" s="104">
        <v>0</v>
      </c>
      <c r="AB333" s="108" t="s">
        <v>78</v>
      </c>
      <c r="AC333" s="104">
        <v>1</v>
      </c>
      <c r="AD333" s="105" t="s">
        <v>335</v>
      </c>
      <c r="AE333" s="104">
        <v>0</v>
      </c>
      <c r="AF333" s="104" t="s">
        <v>78</v>
      </c>
      <c r="AG333" s="104">
        <v>1</v>
      </c>
      <c r="AH333" s="109" t="s">
        <v>75</v>
      </c>
      <c r="AI333" s="109" t="s">
        <v>336</v>
      </c>
      <c r="AJ333" s="109" t="s">
        <v>75</v>
      </c>
      <c r="AK333" s="109" t="s">
        <v>337</v>
      </c>
      <c r="AL333" s="109" t="s">
        <v>121</v>
      </c>
      <c r="AM333" s="109" t="s">
        <v>75</v>
      </c>
      <c r="AN333" s="109" t="s">
        <v>75</v>
      </c>
      <c r="AO333" s="109" t="s">
        <v>84</v>
      </c>
      <c r="AP333" s="109" t="s">
        <v>81</v>
      </c>
      <c r="AQ333" s="109">
        <v>1</v>
      </c>
      <c r="AR333" s="109" t="s">
        <v>74</v>
      </c>
    </row>
    <row r="334" spans="1:44" ht="18" customHeight="1" x14ac:dyDescent="0.45">
      <c r="A334" s="104" t="s">
        <v>338</v>
      </c>
      <c r="B334" s="126" t="s">
        <v>339</v>
      </c>
      <c r="C334" s="105">
        <v>2020</v>
      </c>
      <c r="D334" s="105" t="s">
        <v>87</v>
      </c>
      <c r="E334" s="105" t="s">
        <v>340</v>
      </c>
      <c r="F334" s="105" t="s">
        <v>87</v>
      </c>
      <c r="G334" s="105" t="s">
        <v>87</v>
      </c>
      <c r="H334" s="105" t="s">
        <v>114</v>
      </c>
      <c r="I334" s="106" t="s">
        <v>115</v>
      </c>
      <c r="J334" s="104" t="s">
        <v>90</v>
      </c>
      <c r="K334" s="104" t="s">
        <v>81</v>
      </c>
      <c r="L334" s="104" t="s">
        <v>74</v>
      </c>
      <c r="M334" s="104">
        <v>20000000</v>
      </c>
      <c r="N334" s="104">
        <v>20000000</v>
      </c>
      <c r="O334" s="104">
        <v>27656600</v>
      </c>
      <c r="P334" s="104" t="s">
        <v>659</v>
      </c>
      <c r="Q334" s="104" t="s">
        <v>659</v>
      </c>
      <c r="R334" s="104" t="s">
        <v>659</v>
      </c>
      <c r="S334" s="104">
        <v>10000000</v>
      </c>
      <c r="T334" s="104">
        <v>10000000</v>
      </c>
      <c r="U334" s="112">
        <v>13828300</v>
      </c>
      <c r="V334" s="104" t="s">
        <v>81</v>
      </c>
      <c r="W334" s="104">
        <v>0</v>
      </c>
      <c r="X334" s="104" t="s">
        <v>81</v>
      </c>
      <c r="Y334" s="104">
        <v>0</v>
      </c>
      <c r="Z334" s="104" t="s">
        <v>81</v>
      </c>
      <c r="AA334" s="104">
        <v>0</v>
      </c>
      <c r="AB334" s="108">
        <v>0</v>
      </c>
      <c r="AC334" s="104">
        <v>0</v>
      </c>
      <c r="AD334" s="105">
        <v>0</v>
      </c>
      <c r="AE334" s="104">
        <v>0</v>
      </c>
      <c r="AF334" s="104">
        <v>0</v>
      </c>
      <c r="AG334" s="104">
        <v>0</v>
      </c>
      <c r="AH334" s="109" t="s">
        <v>81</v>
      </c>
      <c r="AI334" s="109">
        <v>0</v>
      </c>
      <c r="AJ334" s="109" t="s">
        <v>81</v>
      </c>
      <c r="AK334" s="109">
        <v>0</v>
      </c>
      <c r="AL334" s="109" t="s">
        <v>121</v>
      </c>
      <c r="AM334" s="109" t="s">
        <v>75</v>
      </c>
      <c r="AN334" s="109" t="s">
        <v>75</v>
      </c>
      <c r="AO334" s="109" t="s">
        <v>84</v>
      </c>
      <c r="AP334" s="109" t="s">
        <v>81</v>
      </c>
      <c r="AQ334" s="109">
        <v>1</v>
      </c>
      <c r="AR334" s="109" t="s">
        <v>74</v>
      </c>
    </row>
    <row r="335" spans="1:44" ht="18" customHeight="1" x14ac:dyDescent="0.45">
      <c r="A335" s="104" t="s">
        <v>341</v>
      </c>
      <c r="B335" s="126" t="s">
        <v>342</v>
      </c>
      <c r="C335" s="105">
        <v>2019</v>
      </c>
      <c r="D335" s="105" t="s">
        <v>343</v>
      </c>
      <c r="E335" s="105">
        <v>0</v>
      </c>
      <c r="F335" s="105" t="s">
        <v>528</v>
      </c>
      <c r="G335" s="105" t="s">
        <v>521</v>
      </c>
      <c r="H335" s="105" t="s">
        <v>227</v>
      </c>
      <c r="I335" s="106" t="s">
        <v>228</v>
      </c>
      <c r="J335" s="104" t="s">
        <v>73</v>
      </c>
      <c r="K335" s="104" t="s">
        <v>81</v>
      </c>
      <c r="L335" s="104" t="s">
        <v>74</v>
      </c>
      <c r="M335" s="104">
        <v>21380000</v>
      </c>
      <c r="N335" s="104">
        <v>21380000</v>
      </c>
      <c r="O335" s="104">
        <v>29735090.199999999</v>
      </c>
      <c r="P335" s="104" t="s">
        <v>659</v>
      </c>
      <c r="Q335" s="104" t="s">
        <v>659</v>
      </c>
      <c r="R335" s="104" t="s">
        <v>659</v>
      </c>
      <c r="S335" s="104">
        <v>8000000</v>
      </c>
      <c r="T335" s="104">
        <v>8000000</v>
      </c>
      <c r="U335" s="112">
        <v>11126320</v>
      </c>
      <c r="V335" s="104" t="s">
        <v>75</v>
      </c>
      <c r="W335" s="104" t="s">
        <v>344</v>
      </c>
      <c r="X335" s="104" t="s">
        <v>75</v>
      </c>
      <c r="Y335" s="104" t="s">
        <v>345</v>
      </c>
      <c r="Z335" s="104" t="s">
        <v>75</v>
      </c>
      <c r="AA335" s="104">
        <v>2</v>
      </c>
      <c r="AB335" s="108" t="s">
        <v>346</v>
      </c>
      <c r="AC335" s="104">
        <v>2</v>
      </c>
      <c r="AD335" s="105" t="s">
        <v>347</v>
      </c>
      <c r="AE335" s="104">
        <v>2</v>
      </c>
      <c r="AF335" s="104" t="s">
        <v>348</v>
      </c>
      <c r="AG335" s="104">
        <v>6</v>
      </c>
      <c r="AH335" s="109" t="s">
        <v>75</v>
      </c>
      <c r="AI335" s="109" t="s">
        <v>349</v>
      </c>
      <c r="AJ335" s="109" t="s">
        <v>75</v>
      </c>
      <c r="AK335" s="109" t="s">
        <v>350</v>
      </c>
      <c r="AL335" s="109" t="s">
        <v>132</v>
      </c>
      <c r="AM335" s="109" t="s">
        <v>75</v>
      </c>
      <c r="AN335" s="109" t="s">
        <v>75</v>
      </c>
      <c r="AO335" s="109" t="s">
        <v>84</v>
      </c>
      <c r="AP335" s="109" t="s">
        <v>75</v>
      </c>
      <c r="AQ335" s="109">
        <v>1</v>
      </c>
      <c r="AR335" s="109" t="s">
        <v>74</v>
      </c>
    </row>
    <row r="336" spans="1:44" ht="18" customHeight="1" x14ac:dyDescent="0.45">
      <c r="A336" s="104" t="s">
        <v>351</v>
      </c>
      <c r="B336" s="126" t="s">
        <v>352</v>
      </c>
      <c r="C336" s="105">
        <v>2021</v>
      </c>
      <c r="D336" s="105" t="s">
        <v>353</v>
      </c>
      <c r="E336" s="105">
        <v>0</v>
      </c>
      <c r="F336" s="105" t="s">
        <v>78</v>
      </c>
      <c r="G336" s="105" t="s">
        <v>519</v>
      </c>
      <c r="H336" s="105" t="s">
        <v>216</v>
      </c>
      <c r="I336" s="106" t="s">
        <v>101</v>
      </c>
      <c r="J336" s="104" t="s">
        <v>103</v>
      </c>
      <c r="K336" s="104" t="s">
        <v>81</v>
      </c>
      <c r="L336" s="104" t="s">
        <v>74</v>
      </c>
      <c r="M336" s="104">
        <v>266412940</v>
      </c>
      <c r="N336" s="104">
        <v>266412940</v>
      </c>
      <c r="O336" s="104">
        <v>383706565.09380001</v>
      </c>
      <c r="P336" s="104" t="s">
        <v>659</v>
      </c>
      <c r="Q336" s="104" t="s">
        <v>659</v>
      </c>
      <c r="R336" s="104" t="s">
        <v>659</v>
      </c>
      <c r="S336" s="104">
        <v>7136069</v>
      </c>
      <c r="T336" s="104">
        <v>7136069</v>
      </c>
      <c r="U336" s="112">
        <v>10277866.09863</v>
      </c>
      <c r="V336" s="104" t="s">
        <v>81</v>
      </c>
      <c r="W336" s="104">
        <v>0</v>
      </c>
      <c r="X336" s="104" t="s">
        <v>81</v>
      </c>
      <c r="Y336" s="104">
        <v>0</v>
      </c>
      <c r="Z336" s="104" t="s">
        <v>75</v>
      </c>
      <c r="AA336" s="104">
        <v>0</v>
      </c>
      <c r="AB336" s="108" t="s">
        <v>78</v>
      </c>
      <c r="AC336" s="104">
        <v>0</v>
      </c>
      <c r="AD336" s="105" t="s">
        <v>78</v>
      </c>
      <c r="AE336" s="104">
        <v>1</v>
      </c>
      <c r="AF336" s="104" t="s">
        <v>354</v>
      </c>
      <c r="AG336" s="104">
        <v>1</v>
      </c>
      <c r="AH336" s="109" t="s">
        <v>75</v>
      </c>
      <c r="AI336" s="109" t="s">
        <v>355</v>
      </c>
      <c r="AJ336" s="109" t="s">
        <v>75</v>
      </c>
      <c r="AK336" s="109" t="s">
        <v>356</v>
      </c>
      <c r="AL336" s="109" t="s">
        <v>121</v>
      </c>
      <c r="AM336" s="109" t="s">
        <v>75</v>
      </c>
      <c r="AN336" s="109" t="s">
        <v>75</v>
      </c>
      <c r="AO336" s="109" t="s">
        <v>84</v>
      </c>
      <c r="AP336" s="109" t="s">
        <v>81</v>
      </c>
      <c r="AQ336" s="109">
        <v>1</v>
      </c>
      <c r="AR336" s="109" t="s">
        <v>74</v>
      </c>
    </row>
    <row r="337" spans="1:44" ht="18" customHeight="1" x14ac:dyDescent="0.45">
      <c r="A337" s="104" t="s">
        <v>357</v>
      </c>
      <c r="B337" s="126" t="s">
        <v>358</v>
      </c>
      <c r="C337" s="105">
        <v>2021</v>
      </c>
      <c r="D337" s="105" t="s">
        <v>195</v>
      </c>
      <c r="E337" s="105">
        <v>0</v>
      </c>
      <c r="F337" s="105" t="s">
        <v>536</v>
      </c>
      <c r="G337" s="105" t="s">
        <v>522</v>
      </c>
      <c r="H337" s="105" t="s">
        <v>359</v>
      </c>
      <c r="I337" s="106" t="s">
        <v>115</v>
      </c>
      <c r="J337" s="104" t="s">
        <v>73</v>
      </c>
      <c r="K337" s="104" t="s">
        <v>81</v>
      </c>
      <c r="L337" s="104" t="s">
        <v>74</v>
      </c>
      <c r="M337" s="104">
        <v>34170000</v>
      </c>
      <c r="N337" s="104">
        <v>34170000</v>
      </c>
      <c r="O337" s="104">
        <v>49214025.899999999</v>
      </c>
      <c r="P337" s="104" t="s">
        <v>659</v>
      </c>
      <c r="Q337" s="104" t="s">
        <v>659</v>
      </c>
      <c r="R337" s="104" t="s">
        <v>659</v>
      </c>
      <c r="S337" s="104">
        <v>22000000</v>
      </c>
      <c r="T337" s="104">
        <v>22000000</v>
      </c>
      <c r="U337" s="112">
        <v>31685940</v>
      </c>
      <c r="V337" s="104" t="s">
        <v>75</v>
      </c>
      <c r="W337" s="104" t="s">
        <v>360</v>
      </c>
      <c r="X337" s="104" t="s">
        <v>75</v>
      </c>
      <c r="Y337" s="104" t="s">
        <v>361</v>
      </c>
      <c r="Z337" s="104" t="s">
        <v>75</v>
      </c>
      <c r="AA337" s="104">
        <v>1</v>
      </c>
      <c r="AB337" s="108" t="s">
        <v>362</v>
      </c>
      <c r="AC337" s="104">
        <v>4</v>
      </c>
      <c r="AD337" s="105" t="s">
        <v>363</v>
      </c>
      <c r="AE337" s="104">
        <v>6</v>
      </c>
      <c r="AF337" s="104" t="s">
        <v>364</v>
      </c>
      <c r="AG337" s="104">
        <v>11</v>
      </c>
      <c r="AH337" s="109" t="s">
        <v>81</v>
      </c>
      <c r="AI337" s="109">
        <v>0</v>
      </c>
      <c r="AJ337" s="109" t="s">
        <v>75</v>
      </c>
      <c r="AK337" s="109" t="s">
        <v>365</v>
      </c>
      <c r="AL337" s="109" t="s">
        <v>121</v>
      </c>
      <c r="AM337" s="109" t="s">
        <v>75</v>
      </c>
      <c r="AN337" s="109" t="s">
        <v>75</v>
      </c>
      <c r="AO337" s="109" t="s">
        <v>110</v>
      </c>
      <c r="AP337" s="109" t="s">
        <v>75</v>
      </c>
      <c r="AQ337" s="109">
        <v>1</v>
      </c>
      <c r="AR337" s="109" t="s">
        <v>74</v>
      </c>
    </row>
    <row r="338" spans="1:44" ht="18" customHeight="1" x14ac:dyDescent="0.45">
      <c r="A338" s="104" t="s">
        <v>366</v>
      </c>
      <c r="B338" s="126" t="s">
        <v>367</v>
      </c>
      <c r="C338" s="105">
        <v>2021</v>
      </c>
      <c r="D338" s="105" t="s">
        <v>273</v>
      </c>
      <c r="E338" s="105">
        <v>0</v>
      </c>
      <c r="F338" s="105" t="s">
        <v>549</v>
      </c>
      <c r="G338" s="105" t="s">
        <v>518</v>
      </c>
      <c r="H338" s="105" t="s">
        <v>368</v>
      </c>
      <c r="I338" s="106" t="s">
        <v>101</v>
      </c>
      <c r="J338" s="104" t="s">
        <v>73</v>
      </c>
      <c r="K338" s="104" t="s">
        <v>81</v>
      </c>
      <c r="L338" s="104" t="s">
        <v>74</v>
      </c>
      <c r="M338" s="104">
        <v>3300000</v>
      </c>
      <c r="N338" s="104">
        <v>3300000</v>
      </c>
      <c r="O338" s="104">
        <v>4752891</v>
      </c>
      <c r="P338" s="104" t="s">
        <v>659</v>
      </c>
      <c r="Q338" s="104" t="s">
        <v>659</v>
      </c>
      <c r="R338" s="104" t="s">
        <v>659</v>
      </c>
      <c r="S338" s="104">
        <v>3000000</v>
      </c>
      <c r="T338" s="104">
        <v>3000000</v>
      </c>
      <c r="U338" s="112">
        <v>4320810</v>
      </c>
      <c r="V338" s="104" t="s">
        <v>81</v>
      </c>
      <c r="W338" s="104">
        <v>0</v>
      </c>
      <c r="X338" s="104" t="s">
        <v>81</v>
      </c>
      <c r="Y338" s="104">
        <v>0</v>
      </c>
      <c r="Z338" s="104" t="s">
        <v>81</v>
      </c>
      <c r="AA338" s="104">
        <v>0</v>
      </c>
      <c r="AB338" s="108">
        <v>0</v>
      </c>
      <c r="AC338" s="104">
        <v>0</v>
      </c>
      <c r="AD338" s="105">
        <v>0</v>
      </c>
      <c r="AE338" s="104">
        <v>0</v>
      </c>
      <c r="AF338" s="104">
        <v>0</v>
      </c>
      <c r="AG338" s="104">
        <v>0</v>
      </c>
      <c r="AH338" s="109" t="s">
        <v>81</v>
      </c>
      <c r="AI338" s="109">
        <v>0</v>
      </c>
      <c r="AJ338" s="109" t="s">
        <v>81</v>
      </c>
      <c r="AK338" s="109">
        <v>0</v>
      </c>
      <c r="AL338" s="109" t="s">
        <v>121</v>
      </c>
      <c r="AM338" s="109" t="s">
        <v>75</v>
      </c>
      <c r="AN338" s="109" t="s">
        <v>75</v>
      </c>
      <c r="AO338" s="109" t="s">
        <v>84</v>
      </c>
      <c r="AP338" s="109" t="s">
        <v>81</v>
      </c>
      <c r="AQ338" s="109">
        <v>1</v>
      </c>
      <c r="AR338" s="109" t="s">
        <v>74</v>
      </c>
    </row>
    <row r="339" spans="1:44" ht="18" customHeight="1" x14ac:dyDescent="0.45">
      <c r="A339" s="104" t="s">
        <v>369</v>
      </c>
      <c r="B339" s="126" t="s">
        <v>370</v>
      </c>
      <c r="C339" s="105">
        <v>2021</v>
      </c>
      <c r="D339" s="105" t="s">
        <v>371</v>
      </c>
      <c r="E339" s="105">
        <v>0</v>
      </c>
      <c r="F339" s="105" t="s">
        <v>542</v>
      </c>
      <c r="G339" s="105" t="s">
        <v>520</v>
      </c>
      <c r="H339" s="105" t="s">
        <v>114</v>
      </c>
      <c r="I339" s="106" t="s">
        <v>115</v>
      </c>
      <c r="J339" s="104" t="s">
        <v>73</v>
      </c>
      <c r="K339" s="104" t="s">
        <v>81</v>
      </c>
      <c r="L339" s="104" t="s">
        <v>74</v>
      </c>
      <c r="M339" s="104">
        <v>5120000</v>
      </c>
      <c r="N339" s="104">
        <v>5120000</v>
      </c>
      <c r="O339" s="104">
        <v>7374182.3999999994</v>
      </c>
      <c r="P339" s="104" t="s">
        <v>659</v>
      </c>
      <c r="Q339" s="104" t="s">
        <v>659</v>
      </c>
      <c r="R339" s="104" t="s">
        <v>659</v>
      </c>
      <c r="S339" s="104">
        <v>5000000</v>
      </c>
      <c r="T339" s="104">
        <v>5000000</v>
      </c>
      <c r="U339" s="112">
        <v>7201350</v>
      </c>
      <c r="V339" s="104" t="s">
        <v>75</v>
      </c>
      <c r="W339" s="104" t="s">
        <v>372</v>
      </c>
      <c r="X339" s="104" t="s">
        <v>81</v>
      </c>
      <c r="Y339" s="104">
        <v>0</v>
      </c>
      <c r="Z339" s="104" t="s">
        <v>75</v>
      </c>
      <c r="AA339" s="104">
        <v>0</v>
      </c>
      <c r="AB339" s="108" t="s">
        <v>78</v>
      </c>
      <c r="AC339" s="104">
        <v>0</v>
      </c>
      <c r="AD339" s="105" t="s">
        <v>78</v>
      </c>
      <c r="AE339" s="104">
        <v>2</v>
      </c>
      <c r="AF339" s="104" t="s">
        <v>373</v>
      </c>
      <c r="AG339" s="104">
        <v>2</v>
      </c>
      <c r="AH339" s="109" t="s">
        <v>81</v>
      </c>
      <c r="AI339" s="109">
        <v>0</v>
      </c>
      <c r="AJ339" s="109" t="s">
        <v>75</v>
      </c>
      <c r="AK339" s="109" t="s">
        <v>374</v>
      </c>
      <c r="AL339" s="109" t="s">
        <v>121</v>
      </c>
      <c r="AM339" s="109" t="s">
        <v>75</v>
      </c>
      <c r="AN339" s="109" t="s">
        <v>75</v>
      </c>
      <c r="AO339" s="109" t="s">
        <v>84</v>
      </c>
      <c r="AP339" s="109" t="s">
        <v>81</v>
      </c>
      <c r="AQ339" s="109">
        <v>1</v>
      </c>
      <c r="AR339" s="109" t="s">
        <v>74</v>
      </c>
    </row>
    <row r="340" spans="1:44" ht="18" customHeight="1" x14ac:dyDescent="0.45">
      <c r="A340" s="104" t="s">
        <v>375</v>
      </c>
      <c r="B340" s="126" t="s">
        <v>376</v>
      </c>
      <c r="C340" s="105">
        <v>2021</v>
      </c>
      <c r="D340" s="105" t="s">
        <v>377</v>
      </c>
      <c r="E340" s="105">
        <v>0</v>
      </c>
      <c r="F340" s="105" t="s">
        <v>544</v>
      </c>
      <c r="G340" s="105" t="s">
        <v>520</v>
      </c>
      <c r="H340" s="105" t="s">
        <v>227</v>
      </c>
      <c r="I340" s="106" t="s">
        <v>228</v>
      </c>
      <c r="J340" s="104" t="s">
        <v>73</v>
      </c>
      <c r="K340" s="104" t="s">
        <v>81</v>
      </c>
      <c r="L340" s="104" t="s">
        <v>126</v>
      </c>
      <c r="M340" s="104">
        <v>9080000</v>
      </c>
      <c r="N340" s="104">
        <v>6304373.4855270199</v>
      </c>
      <c r="O340" s="104">
        <v>9080000</v>
      </c>
      <c r="P340" s="104" t="s">
        <v>659</v>
      </c>
      <c r="Q340" s="104" t="s">
        <v>659</v>
      </c>
      <c r="R340" s="104" t="s">
        <v>659</v>
      </c>
      <c r="S340" s="104">
        <v>430000</v>
      </c>
      <c r="T340" s="104">
        <v>298555.13202385663</v>
      </c>
      <c r="U340" s="112">
        <v>429999.99999999994</v>
      </c>
      <c r="V340" s="104" t="s">
        <v>75</v>
      </c>
      <c r="W340" s="104" t="s">
        <v>378</v>
      </c>
      <c r="X340" s="104" t="s">
        <v>75</v>
      </c>
      <c r="Y340" s="104" t="s">
        <v>379</v>
      </c>
      <c r="Z340" s="104" t="s">
        <v>75</v>
      </c>
      <c r="AA340" s="104">
        <v>1</v>
      </c>
      <c r="AB340" s="108" t="s">
        <v>380</v>
      </c>
      <c r="AC340" s="104">
        <v>0</v>
      </c>
      <c r="AD340" s="105">
        <v>0</v>
      </c>
      <c r="AE340" s="104">
        <v>3</v>
      </c>
      <c r="AF340" s="104" t="s">
        <v>381</v>
      </c>
      <c r="AG340" s="104">
        <v>4</v>
      </c>
      <c r="AH340" s="109" t="s">
        <v>75</v>
      </c>
      <c r="AI340" s="109" t="s">
        <v>382</v>
      </c>
      <c r="AJ340" s="109" t="s">
        <v>75</v>
      </c>
      <c r="AK340" s="109" t="s">
        <v>383</v>
      </c>
      <c r="AL340" s="109" t="s">
        <v>132</v>
      </c>
      <c r="AM340" s="109" t="s">
        <v>75</v>
      </c>
      <c r="AN340" s="109" t="s">
        <v>75</v>
      </c>
      <c r="AO340" s="109" t="s">
        <v>110</v>
      </c>
      <c r="AP340" s="109" t="s">
        <v>75</v>
      </c>
      <c r="AQ340" s="109">
        <v>1</v>
      </c>
      <c r="AR340" s="109" t="s">
        <v>126</v>
      </c>
    </row>
    <row r="341" spans="1:44" ht="18" customHeight="1" x14ac:dyDescent="0.45">
      <c r="A341" s="104" t="s">
        <v>384</v>
      </c>
      <c r="B341" s="126" t="s">
        <v>385</v>
      </c>
      <c r="C341" s="105">
        <v>2021</v>
      </c>
      <c r="D341" s="105" t="s">
        <v>273</v>
      </c>
      <c r="E341" s="105">
        <v>0</v>
      </c>
      <c r="F341" s="105" t="s">
        <v>549</v>
      </c>
      <c r="G341" s="105" t="s">
        <v>518</v>
      </c>
      <c r="H341" s="105" t="s">
        <v>114</v>
      </c>
      <c r="I341" s="106" t="s">
        <v>115</v>
      </c>
      <c r="J341" s="104" t="s">
        <v>73</v>
      </c>
      <c r="K341" s="104" t="s">
        <v>81</v>
      </c>
      <c r="L341" s="104" t="s">
        <v>74</v>
      </c>
      <c r="M341" s="104">
        <v>3302092</v>
      </c>
      <c r="N341" s="104">
        <v>3302092</v>
      </c>
      <c r="O341" s="104">
        <v>4755904.0448399996</v>
      </c>
      <c r="P341" s="104" t="s">
        <v>659</v>
      </c>
      <c r="Q341" s="104" t="s">
        <v>659</v>
      </c>
      <c r="R341" s="104" t="s">
        <v>659</v>
      </c>
      <c r="S341" s="104">
        <v>3000000</v>
      </c>
      <c r="T341" s="104">
        <v>3000000</v>
      </c>
      <c r="U341" s="112">
        <v>4320810</v>
      </c>
      <c r="V341" s="104" t="s">
        <v>81</v>
      </c>
      <c r="W341" s="104">
        <v>0</v>
      </c>
      <c r="X341" s="104" t="s">
        <v>81</v>
      </c>
      <c r="Y341" s="104">
        <v>0</v>
      </c>
      <c r="Z341" s="104" t="s">
        <v>81</v>
      </c>
      <c r="AA341" s="104">
        <v>0</v>
      </c>
      <c r="AB341" s="108">
        <v>0</v>
      </c>
      <c r="AC341" s="104">
        <v>0</v>
      </c>
      <c r="AD341" s="105">
        <v>0</v>
      </c>
      <c r="AE341" s="104">
        <v>0</v>
      </c>
      <c r="AF341" s="104">
        <v>0</v>
      </c>
      <c r="AG341" s="104">
        <v>0</v>
      </c>
      <c r="AH341" s="109" t="s">
        <v>81</v>
      </c>
      <c r="AI341" s="109">
        <v>0</v>
      </c>
      <c r="AJ341" s="109" t="s">
        <v>81</v>
      </c>
      <c r="AK341" s="109">
        <v>0</v>
      </c>
      <c r="AL341" s="109" t="s">
        <v>121</v>
      </c>
      <c r="AM341" s="109" t="s">
        <v>75</v>
      </c>
      <c r="AN341" s="109" t="s">
        <v>75</v>
      </c>
      <c r="AO341" s="109" t="s">
        <v>84</v>
      </c>
      <c r="AP341" s="109" t="s">
        <v>81</v>
      </c>
      <c r="AQ341" s="109">
        <v>1</v>
      </c>
      <c r="AR341" s="109" t="s">
        <v>74</v>
      </c>
    </row>
    <row r="342" spans="1:44" ht="18" customHeight="1" x14ac:dyDescent="0.45">
      <c r="A342" s="104" t="s">
        <v>386</v>
      </c>
      <c r="B342" s="126" t="s">
        <v>387</v>
      </c>
      <c r="C342" s="105">
        <v>2021</v>
      </c>
      <c r="D342" s="105" t="s">
        <v>145</v>
      </c>
      <c r="E342" s="105">
        <v>0</v>
      </c>
      <c r="F342" s="105" t="s">
        <v>543</v>
      </c>
      <c r="G342" s="105" t="s">
        <v>522</v>
      </c>
      <c r="H342" s="105" t="s">
        <v>216</v>
      </c>
      <c r="I342" s="106" t="s">
        <v>101</v>
      </c>
      <c r="J342" s="104" t="s">
        <v>103</v>
      </c>
      <c r="K342" s="104" t="s">
        <v>81</v>
      </c>
      <c r="L342" s="104" t="s">
        <v>126</v>
      </c>
      <c r="M342" s="104">
        <v>1582900000</v>
      </c>
      <c r="N342" s="104">
        <v>1099030042.9780529</v>
      </c>
      <c r="O342" s="104">
        <v>1582900000</v>
      </c>
      <c r="P342" s="104" t="s">
        <v>659</v>
      </c>
      <c r="Q342" s="104" t="s">
        <v>659</v>
      </c>
      <c r="R342" s="104" t="s">
        <v>659</v>
      </c>
      <c r="S342" s="104">
        <v>90000000</v>
      </c>
      <c r="T342" s="104">
        <v>76023144.824090883</v>
      </c>
      <c r="U342" s="112">
        <v>109493854.79579337</v>
      </c>
      <c r="V342" s="104" t="s">
        <v>81</v>
      </c>
      <c r="W342" s="104">
        <v>0</v>
      </c>
      <c r="X342" s="104" t="s">
        <v>81</v>
      </c>
      <c r="Y342" s="104">
        <v>0</v>
      </c>
      <c r="Z342" s="104" t="s">
        <v>81</v>
      </c>
      <c r="AA342" s="104">
        <v>0</v>
      </c>
      <c r="AB342" s="108">
        <v>0</v>
      </c>
      <c r="AC342" s="104">
        <v>0</v>
      </c>
      <c r="AD342" s="105">
        <v>0</v>
      </c>
      <c r="AE342" s="104">
        <v>0</v>
      </c>
      <c r="AF342" s="104">
        <v>0</v>
      </c>
      <c r="AG342" s="104">
        <v>0</v>
      </c>
      <c r="AH342" s="109" t="s">
        <v>81</v>
      </c>
      <c r="AI342" s="109">
        <v>0</v>
      </c>
      <c r="AJ342" s="109" t="s">
        <v>81</v>
      </c>
      <c r="AK342" s="109">
        <v>0</v>
      </c>
      <c r="AL342" s="109" t="s">
        <v>121</v>
      </c>
      <c r="AM342" s="109" t="s">
        <v>75</v>
      </c>
      <c r="AN342" s="109" t="s">
        <v>75</v>
      </c>
      <c r="AO342" s="109" t="s">
        <v>84</v>
      </c>
      <c r="AP342" s="109" t="s">
        <v>81</v>
      </c>
      <c r="AQ342" s="109">
        <v>1</v>
      </c>
      <c r="AR342" s="109" t="s">
        <v>104</v>
      </c>
    </row>
    <row r="343" spans="1:44" ht="18" customHeight="1" x14ac:dyDescent="0.45">
      <c r="A343" s="104" t="s">
        <v>388</v>
      </c>
      <c r="B343" s="126" t="s">
        <v>389</v>
      </c>
      <c r="C343" s="105">
        <v>2021</v>
      </c>
      <c r="D343" s="105" t="s">
        <v>155</v>
      </c>
      <c r="E343" s="105">
        <v>0</v>
      </c>
      <c r="F343" s="105" t="s">
        <v>559</v>
      </c>
      <c r="G343" s="105" t="s">
        <v>520</v>
      </c>
      <c r="H343" s="105" t="s">
        <v>390</v>
      </c>
      <c r="I343" s="106" t="s">
        <v>101</v>
      </c>
      <c r="J343" s="104" t="s">
        <v>103</v>
      </c>
      <c r="K343" s="104" t="s">
        <v>81</v>
      </c>
      <c r="L343" s="104" t="s">
        <v>104</v>
      </c>
      <c r="M343" s="104">
        <v>0</v>
      </c>
      <c r="N343" s="104">
        <v>0</v>
      </c>
      <c r="O343" s="104">
        <v>0</v>
      </c>
      <c r="P343" s="104" t="s">
        <v>659</v>
      </c>
      <c r="Q343" s="104" t="s">
        <v>659</v>
      </c>
      <c r="R343" s="104" t="s">
        <v>659</v>
      </c>
      <c r="S343" s="104">
        <v>65000000</v>
      </c>
      <c r="T343" s="104">
        <v>54905604.595176749</v>
      </c>
      <c r="U343" s="112">
        <v>79078895.130295217</v>
      </c>
      <c r="V343" s="104" t="s">
        <v>75</v>
      </c>
      <c r="W343" s="104" t="s">
        <v>391</v>
      </c>
      <c r="X343" s="104" t="s">
        <v>81</v>
      </c>
      <c r="Y343" s="104">
        <v>0</v>
      </c>
      <c r="Z343" s="104" t="s">
        <v>75</v>
      </c>
      <c r="AA343" s="104">
        <v>0</v>
      </c>
      <c r="AB343" s="108" t="s">
        <v>78</v>
      </c>
      <c r="AC343" s="104">
        <v>0</v>
      </c>
      <c r="AD343" s="105" t="s">
        <v>78</v>
      </c>
      <c r="AE343" s="104">
        <v>1</v>
      </c>
      <c r="AF343" s="104" t="s">
        <v>392</v>
      </c>
      <c r="AG343" s="104">
        <v>1</v>
      </c>
      <c r="AH343" s="109" t="s">
        <v>81</v>
      </c>
      <c r="AI343" s="109">
        <v>0</v>
      </c>
      <c r="AJ343" s="109" t="s">
        <v>75</v>
      </c>
      <c r="AK343" s="109" t="s">
        <v>393</v>
      </c>
      <c r="AL343" s="109" t="s">
        <v>132</v>
      </c>
      <c r="AM343" s="109" t="s">
        <v>75</v>
      </c>
      <c r="AN343" s="109" t="s">
        <v>81</v>
      </c>
      <c r="AO343" s="109" t="s">
        <v>84</v>
      </c>
      <c r="AP343" s="109" t="s">
        <v>81</v>
      </c>
      <c r="AQ343" s="109">
        <v>1</v>
      </c>
      <c r="AR343" s="109" t="s">
        <v>104</v>
      </c>
    </row>
    <row r="344" spans="1:44" ht="18" customHeight="1" x14ac:dyDescent="0.45">
      <c r="A344" s="104" t="s">
        <v>394</v>
      </c>
      <c r="B344" s="126" t="s">
        <v>395</v>
      </c>
      <c r="C344" s="105">
        <v>2021</v>
      </c>
      <c r="D344" s="105" t="s">
        <v>396</v>
      </c>
      <c r="E344" s="105">
        <v>0</v>
      </c>
      <c r="F344" s="105" t="s">
        <v>545</v>
      </c>
      <c r="G344" s="105" t="s">
        <v>519</v>
      </c>
      <c r="H344" s="105" t="s">
        <v>368</v>
      </c>
      <c r="I344" s="106" t="s">
        <v>101</v>
      </c>
      <c r="J344" s="104" t="s">
        <v>73</v>
      </c>
      <c r="K344" s="104" t="s">
        <v>81</v>
      </c>
      <c r="L344" s="104" t="s">
        <v>74</v>
      </c>
      <c r="M344" s="104">
        <v>3530000</v>
      </c>
      <c r="N344" s="104">
        <v>3530000</v>
      </c>
      <c r="O344" s="104">
        <v>5084153.0999999996</v>
      </c>
      <c r="P344" s="104" t="s">
        <v>659</v>
      </c>
      <c r="Q344" s="104" t="s">
        <v>659</v>
      </c>
      <c r="R344" s="104" t="s">
        <v>659</v>
      </c>
      <c r="S344" s="104">
        <v>3000000</v>
      </c>
      <c r="T344" s="104">
        <v>3000000</v>
      </c>
      <c r="U344" s="112">
        <v>4320810</v>
      </c>
      <c r="V344" s="104" t="s">
        <v>81</v>
      </c>
      <c r="W344" s="104">
        <v>0</v>
      </c>
      <c r="X344" s="104" t="s">
        <v>81</v>
      </c>
      <c r="Y344" s="104">
        <v>0</v>
      </c>
      <c r="Z344" s="104" t="s">
        <v>81</v>
      </c>
      <c r="AA344" s="104">
        <v>0</v>
      </c>
      <c r="AB344" s="108">
        <v>0</v>
      </c>
      <c r="AC344" s="104">
        <v>0</v>
      </c>
      <c r="AD344" s="105">
        <v>0</v>
      </c>
      <c r="AE344" s="104">
        <v>0</v>
      </c>
      <c r="AF344" s="104">
        <v>0</v>
      </c>
      <c r="AG344" s="104">
        <v>0</v>
      </c>
      <c r="AH344" s="109" t="s">
        <v>81</v>
      </c>
      <c r="AI344" s="109">
        <v>0</v>
      </c>
      <c r="AJ344" s="109" t="s">
        <v>81</v>
      </c>
      <c r="AK344" s="109">
        <v>0</v>
      </c>
      <c r="AL344" s="109" t="s">
        <v>397</v>
      </c>
      <c r="AM344" s="109" t="s">
        <v>75</v>
      </c>
      <c r="AN344" s="109" t="s">
        <v>81</v>
      </c>
      <c r="AO344" s="109" t="s">
        <v>84</v>
      </c>
      <c r="AP344" s="109" t="s">
        <v>81</v>
      </c>
      <c r="AQ344" s="109">
        <v>1</v>
      </c>
      <c r="AR344" s="109" t="s">
        <v>74</v>
      </c>
    </row>
    <row r="345" spans="1:44" ht="18" customHeight="1" x14ac:dyDescent="0.45">
      <c r="A345" s="104" t="s">
        <v>398</v>
      </c>
      <c r="B345" s="126" t="s">
        <v>399</v>
      </c>
      <c r="C345" s="105">
        <v>2021</v>
      </c>
      <c r="D345" s="105" t="s">
        <v>314</v>
      </c>
      <c r="E345" s="105">
        <v>0</v>
      </c>
      <c r="F345" s="105" t="s">
        <v>557</v>
      </c>
      <c r="G345" s="105" t="s">
        <v>522</v>
      </c>
      <c r="H345" s="105" t="s">
        <v>227</v>
      </c>
      <c r="I345" s="106" t="s">
        <v>228</v>
      </c>
      <c r="J345" s="104" t="s">
        <v>290</v>
      </c>
      <c r="K345" s="104" t="s">
        <v>81</v>
      </c>
      <c r="L345" s="104" t="s">
        <v>74</v>
      </c>
      <c r="M345" s="104">
        <v>9130000</v>
      </c>
      <c r="N345" s="104">
        <v>9130000</v>
      </c>
      <c r="O345" s="104">
        <v>13149665.1</v>
      </c>
      <c r="P345" s="104" t="s">
        <v>659</v>
      </c>
      <c r="Q345" s="104" t="s">
        <v>659</v>
      </c>
      <c r="R345" s="104" t="s">
        <v>659</v>
      </c>
      <c r="S345" s="104">
        <v>3660000</v>
      </c>
      <c r="T345" s="104">
        <v>3660000</v>
      </c>
      <c r="U345" s="112">
        <v>5271388.2</v>
      </c>
      <c r="V345" s="104" t="s">
        <v>75</v>
      </c>
      <c r="W345" s="104" t="s">
        <v>400</v>
      </c>
      <c r="X345" s="104" t="s">
        <v>81</v>
      </c>
      <c r="Y345" s="104">
        <v>0</v>
      </c>
      <c r="Z345" s="104" t="s">
        <v>75</v>
      </c>
      <c r="AA345" s="104">
        <v>0</v>
      </c>
      <c r="AB345" s="108" t="s">
        <v>78</v>
      </c>
      <c r="AC345" s="104">
        <v>0</v>
      </c>
      <c r="AD345" s="105" t="s">
        <v>78</v>
      </c>
      <c r="AE345" s="104">
        <v>1</v>
      </c>
      <c r="AF345" s="104" t="s">
        <v>401</v>
      </c>
      <c r="AG345" s="104">
        <v>1</v>
      </c>
      <c r="AH345" s="109" t="s">
        <v>75</v>
      </c>
      <c r="AI345" s="109" t="s">
        <v>402</v>
      </c>
      <c r="AJ345" s="109" t="s">
        <v>75</v>
      </c>
      <c r="AK345" s="109" t="s">
        <v>403</v>
      </c>
      <c r="AL345" s="109" t="s">
        <v>121</v>
      </c>
      <c r="AM345" s="109" t="s">
        <v>75</v>
      </c>
      <c r="AN345" s="109" t="s">
        <v>75</v>
      </c>
      <c r="AO345" s="109" t="s">
        <v>84</v>
      </c>
      <c r="AP345" s="109" t="s">
        <v>81</v>
      </c>
      <c r="AQ345" s="109">
        <v>1</v>
      </c>
      <c r="AR345" s="109" t="s">
        <v>74</v>
      </c>
    </row>
    <row r="346" spans="1:44" ht="18" customHeight="1" x14ac:dyDescent="0.45">
      <c r="A346" s="104" t="s">
        <v>404</v>
      </c>
      <c r="B346" s="126" t="s">
        <v>405</v>
      </c>
      <c r="C346" s="105">
        <v>2021</v>
      </c>
      <c r="D346" s="105" t="s">
        <v>163</v>
      </c>
      <c r="E346" s="105">
        <v>0</v>
      </c>
      <c r="F346" s="105" t="s">
        <v>556</v>
      </c>
      <c r="G346" s="105" t="s">
        <v>522</v>
      </c>
      <c r="H346" s="105" t="s">
        <v>216</v>
      </c>
      <c r="I346" s="106" t="s">
        <v>101</v>
      </c>
      <c r="J346" s="104" t="s">
        <v>103</v>
      </c>
      <c r="K346" s="104" t="s">
        <v>81</v>
      </c>
      <c r="L346" s="104" t="s">
        <v>126</v>
      </c>
      <c r="M346" s="104">
        <v>175000000</v>
      </c>
      <c r="N346" s="104">
        <v>121504995.59110445</v>
      </c>
      <c r="O346" s="104">
        <v>175000000</v>
      </c>
      <c r="P346" s="104" t="s">
        <v>659</v>
      </c>
      <c r="Q346" s="104" t="s">
        <v>659</v>
      </c>
      <c r="R346" s="104" t="s">
        <v>659</v>
      </c>
      <c r="S346" s="104">
        <v>20000000</v>
      </c>
      <c r="T346" s="104">
        <v>13886285.210411938</v>
      </c>
      <c r="U346" s="112">
        <v>20000000</v>
      </c>
      <c r="V346" s="104" t="s">
        <v>81</v>
      </c>
      <c r="W346" s="104">
        <v>0</v>
      </c>
      <c r="X346" s="104" t="s">
        <v>81</v>
      </c>
      <c r="Y346" s="104">
        <v>0</v>
      </c>
      <c r="Z346" s="104" t="s">
        <v>81</v>
      </c>
      <c r="AA346" s="104">
        <v>0</v>
      </c>
      <c r="AB346" s="108">
        <v>0</v>
      </c>
      <c r="AC346" s="104">
        <v>0</v>
      </c>
      <c r="AD346" s="105">
        <v>0</v>
      </c>
      <c r="AE346" s="104">
        <v>0</v>
      </c>
      <c r="AF346" s="104">
        <v>0</v>
      </c>
      <c r="AG346" s="104">
        <v>0</v>
      </c>
      <c r="AH346" s="109" t="s">
        <v>81</v>
      </c>
      <c r="AI346" s="109">
        <v>0</v>
      </c>
      <c r="AJ346" s="109" t="s">
        <v>81</v>
      </c>
      <c r="AK346" s="109">
        <v>0</v>
      </c>
      <c r="AL346" s="109" t="s">
        <v>121</v>
      </c>
      <c r="AM346" s="109" t="s">
        <v>75</v>
      </c>
      <c r="AN346" s="109" t="s">
        <v>81</v>
      </c>
      <c r="AO346" s="109" t="s">
        <v>84</v>
      </c>
      <c r="AP346" s="109" t="s">
        <v>81</v>
      </c>
      <c r="AQ346" s="109">
        <v>1</v>
      </c>
      <c r="AR346" s="109" t="s">
        <v>126</v>
      </c>
    </row>
    <row r="347" spans="1:44" ht="18" customHeight="1" x14ac:dyDescent="0.45">
      <c r="A347" s="104" t="s">
        <v>406</v>
      </c>
      <c r="B347" s="126" t="s">
        <v>407</v>
      </c>
      <c r="C347" s="105">
        <v>2021</v>
      </c>
      <c r="D347" s="105" t="s">
        <v>195</v>
      </c>
      <c r="E347" s="105">
        <v>0</v>
      </c>
      <c r="F347" s="105" t="s">
        <v>536</v>
      </c>
      <c r="G347" s="105" t="s">
        <v>522</v>
      </c>
      <c r="H347" s="105" t="s">
        <v>227</v>
      </c>
      <c r="I347" s="106" t="s">
        <v>228</v>
      </c>
      <c r="J347" s="104" t="s">
        <v>73</v>
      </c>
      <c r="K347" s="104" t="s">
        <v>81</v>
      </c>
      <c r="L347" s="104" t="s">
        <v>74</v>
      </c>
      <c r="M347" s="104">
        <v>72260000</v>
      </c>
      <c r="N347" s="104">
        <v>72260000</v>
      </c>
      <c r="O347" s="104">
        <v>104073910.2</v>
      </c>
      <c r="P347" s="104" t="s">
        <v>659</v>
      </c>
      <c r="Q347" s="104" t="s">
        <v>659</v>
      </c>
      <c r="R347" s="104" t="s">
        <v>659</v>
      </c>
      <c r="S347" s="104">
        <v>33250000</v>
      </c>
      <c r="T347" s="104">
        <v>33250000</v>
      </c>
      <c r="U347" s="112">
        <v>47888977.5</v>
      </c>
      <c r="V347" s="104" t="s">
        <v>75</v>
      </c>
      <c r="W347" s="104" t="s">
        <v>408</v>
      </c>
      <c r="X347" s="104" t="s">
        <v>81</v>
      </c>
      <c r="Y347" s="104">
        <v>0</v>
      </c>
      <c r="Z347" s="104" t="s">
        <v>75</v>
      </c>
      <c r="AA347" s="104">
        <v>0</v>
      </c>
      <c r="AB347" s="108" t="s">
        <v>78</v>
      </c>
      <c r="AC347" s="104">
        <v>0</v>
      </c>
      <c r="AD347" s="105" t="s">
        <v>78</v>
      </c>
      <c r="AE347" s="104">
        <v>3</v>
      </c>
      <c r="AF347" s="104" t="s">
        <v>409</v>
      </c>
      <c r="AG347" s="104">
        <v>3</v>
      </c>
      <c r="AH347" s="109" t="s">
        <v>81</v>
      </c>
      <c r="AI347" s="109">
        <v>0</v>
      </c>
      <c r="AJ347" s="109" t="s">
        <v>75</v>
      </c>
      <c r="AK347" s="109" t="s">
        <v>410</v>
      </c>
      <c r="AL347" s="109" t="s">
        <v>121</v>
      </c>
      <c r="AM347" s="109" t="s">
        <v>75</v>
      </c>
      <c r="AN347" s="109" t="s">
        <v>75</v>
      </c>
      <c r="AO347" s="109" t="s">
        <v>110</v>
      </c>
      <c r="AP347" s="109" t="s">
        <v>81</v>
      </c>
      <c r="AQ347" s="109">
        <v>1</v>
      </c>
      <c r="AR347" s="109" t="s">
        <v>74</v>
      </c>
    </row>
    <row r="348" spans="1:44" ht="18" customHeight="1" x14ac:dyDescent="0.45">
      <c r="A348" s="104" t="s">
        <v>411</v>
      </c>
      <c r="B348" s="126" t="s">
        <v>412</v>
      </c>
      <c r="C348" s="105">
        <v>2021</v>
      </c>
      <c r="D348" s="105" t="s">
        <v>113</v>
      </c>
      <c r="E348" s="105">
        <v>0</v>
      </c>
      <c r="F348" s="105" t="s">
        <v>565</v>
      </c>
      <c r="G348" s="105" t="s">
        <v>518</v>
      </c>
      <c r="H348" s="105" t="s">
        <v>216</v>
      </c>
      <c r="I348" s="106" t="s">
        <v>101</v>
      </c>
      <c r="J348" s="104" t="s">
        <v>103</v>
      </c>
      <c r="K348" s="104" t="s">
        <v>81</v>
      </c>
      <c r="L348" s="104" t="s">
        <v>104</v>
      </c>
      <c r="M348" s="104">
        <v>0</v>
      </c>
      <c r="N348" s="104">
        <v>0</v>
      </c>
      <c r="O348" s="104">
        <v>0</v>
      </c>
      <c r="P348" s="104" t="s">
        <v>659</v>
      </c>
      <c r="Q348" s="104" t="s">
        <v>659</v>
      </c>
      <c r="R348" s="104" t="s">
        <v>659</v>
      </c>
      <c r="S348" s="104">
        <v>60000000</v>
      </c>
      <c r="T348" s="104">
        <v>50682096.549393922</v>
      </c>
      <c r="U348" s="112">
        <v>72995903.197195575</v>
      </c>
      <c r="V348" s="104" t="s">
        <v>81</v>
      </c>
      <c r="W348" s="104">
        <v>0</v>
      </c>
      <c r="X348" s="104" t="s">
        <v>81</v>
      </c>
      <c r="Y348" s="104">
        <v>0</v>
      </c>
      <c r="Z348" s="104" t="s">
        <v>81</v>
      </c>
      <c r="AA348" s="104">
        <v>0</v>
      </c>
      <c r="AB348" s="108">
        <v>0</v>
      </c>
      <c r="AC348" s="104">
        <v>0</v>
      </c>
      <c r="AD348" s="105">
        <v>0</v>
      </c>
      <c r="AE348" s="104">
        <v>0</v>
      </c>
      <c r="AF348" s="104">
        <v>0</v>
      </c>
      <c r="AG348" s="104">
        <v>0</v>
      </c>
      <c r="AH348" s="109" t="s">
        <v>81</v>
      </c>
      <c r="AI348" s="109">
        <v>0</v>
      </c>
      <c r="AJ348" s="109" t="s">
        <v>81</v>
      </c>
      <c r="AK348" s="109">
        <v>0</v>
      </c>
      <c r="AL348" s="109" t="s">
        <v>121</v>
      </c>
      <c r="AM348" s="109" t="s">
        <v>75</v>
      </c>
      <c r="AN348" s="109" t="s">
        <v>75</v>
      </c>
      <c r="AO348" s="109" t="s">
        <v>84</v>
      </c>
      <c r="AP348" s="109" t="s">
        <v>81</v>
      </c>
      <c r="AQ348" s="109">
        <v>1</v>
      </c>
      <c r="AR348" s="109" t="s">
        <v>104</v>
      </c>
    </row>
    <row r="349" spans="1:44" ht="18" customHeight="1" x14ac:dyDescent="0.45">
      <c r="A349" s="104" t="s">
        <v>413</v>
      </c>
      <c r="B349" s="126" t="s">
        <v>414</v>
      </c>
      <c r="C349" s="105">
        <v>2021</v>
      </c>
      <c r="D349" s="105" t="s">
        <v>87</v>
      </c>
      <c r="E349" s="105" t="s">
        <v>415</v>
      </c>
      <c r="F349" s="105" t="s">
        <v>87</v>
      </c>
      <c r="G349" s="105" t="s">
        <v>87</v>
      </c>
      <c r="H349" s="105" t="s">
        <v>216</v>
      </c>
      <c r="I349" s="106" t="s">
        <v>101</v>
      </c>
      <c r="J349" s="104" t="s">
        <v>73</v>
      </c>
      <c r="K349" s="104" t="s">
        <v>81</v>
      </c>
      <c r="L349" s="104" t="s">
        <v>74</v>
      </c>
      <c r="M349" s="104">
        <v>19528197.940000001</v>
      </c>
      <c r="N349" s="104">
        <v>19528197.940000001</v>
      </c>
      <c r="O349" s="104">
        <v>28125877.647043802</v>
      </c>
      <c r="P349" s="104" t="s">
        <v>659</v>
      </c>
      <c r="Q349" s="104" t="s">
        <v>659</v>
      </c>
      <c r="R349" s="104" t="s">
        <v>659</v>
      </c>
      <c r="S349" s="104">
        <v>10000000</v>
      </c>
      <c r="T349" s="104">
        <v>10000000</v>
      </c>
      <c r="U349" s="112">
        <v>14402700</v>
      </c>
      <c r="V349" s="104" t="s">
        <v>81</v>
      </c>
      <c r="W349" s="104">
        <v>0</v>
      </c>
      <c r="X349" s="104" t="s">
        <v>81</v>
      </c>
      <c r="Y349" s="104">
        <v>0</v>
      </c>
      <c r="Z349" s="104" t="s">
        <v>75</v>
      </c>
      <c r="AA349" s="104">
        <v>0</v>
      </c>
      <c r="AB349" s="108" t="s">
        <v>78</v>
      </c>
      <c r="AC349" s="104">
        <v>0</v>
      </c>
      <c r="AD349" s="105" t="s">
        <v>78</v>
      </c>
      <c r="AE349" s="104">
        <v>1</v>
      </c>
      <c r="AF349" s="104" t="s">
        <v>416</v>
      </c>
      <c r="AG349" s="104">
        <v>1</v>
      </c>
      <c r="AH349" s="109" t="s">
        <v>81</v>
      </c>
      <c r="AI349" s="109">
        <v>0</v>
      </c>
      <c r="AJ349" s="109" t="s">
        <v>81</v>
      </c>
      <c r="AK349" s="109">
        <v>0</v>
      </c>
      <c r="AL349" s="109" t="s">
        <v>121</v>
      </c>
      <c r="AM349" s="109" t="s">
        <v>75</v>
      </c>
      <c r="AN349" s="109" t="s">
        <v>75</v>
      </c>
      <c r="AO349" s="109" t="s">
        <v>84</v>
      </c>
      <c r="AP349" s="109" t="s">
        <v>81</v>
      </c>
      <c r="AQ349" s="109">
        <v>1</v>
      </c>
      <c r="AR349" s="109" t="s">
        <v>74</v>
      </c>
    </row>
    <row r="350" spans="1:44" ht="18" customHeight="1" x14ac:dyDescent="0.45">
      <c r="A350" s="104" t="s">
        <v>417</v>
      </c>
      <c r="B350" s="126" t="s">
        <v>418</v>
      </c>
      <c r="C350" s="105">
        <v>2021</v>
      </c>
      <c r="D350" s="105" t="s">
        <v>419</v>
      </c>
      <c r="E350" s="105">
        <v>0</v>
      </c>
      <c r="F350" s="105" t="s">
        <v>563</v>
      </c>
      <c r="G350" s="105" t="s">
        <v>519</v>
      </c>
      <c r="H350" s="105" t="s">
        <v>264</v>
      </c>
      <c r="I350" s="106" t="s">
        <v>228</v>
      </c>
      <c r="J350" s="104" t="s">
        <v>116</v>
      </c>
      <c r="K350" s="104" t="s">
        <v>81</v>
      </c>
      <c r="L350" s="104" t="s">
        <v>74</v>
      </c>
      <c r="M350" s="104">
        <v>230000000</v>
      </c>
      <c r="N350" s="104">
        <v>230000000</v>
      </c>
      <c r="O350" s="104">
        <v>331262100</v>
      </c>
      <c r="P350" s="104" t="s">
        <v>659</v>
      </c>
      <c r="Q350" s="104" t="s">
        <v>659</v>
      </c>
      <c r="R350" s="104" t="s">
        <v>659</v>
      </c>
      <c r="S350" s="104">
        <v>210000000</v>
      </c>
      <c r="T350" s="104">
        <v>210000000</v>
      </c>
      <c r="U350" s="112">
        <v>302456700</v>
      </c>
      <c r="V350" s="104" t="s">
        <v>75</v>
      </c>
      <c r="W350" s="104" t="s">
        <v>420</v>
      </c>
      <c r="X350" s="104" t="s">
        <v>81</v>
      </c>
      <c r="Y350" s="104">
        <v>0</v>
      </c>
      <c r="Z350" s="104" t="s">
        <v>75</v>
      </c>
      <c r="AA350" s="104">
        <v>0</v>
      </c>
      <c r="AB350" s="108" t="s">
        <v>78</v>
      </c>
      <c r="AC350" s="104">
        <v>0</v>
      </c>
      <c r="AD350" s="105" t="s">
        <v>78</v>
      </c>
      <c r="AE350" s="104">
        <v>2</v>
      </c>
      <c r="AF350" s="104" t="s">
        <v>421</v>
      </c>
      <c r="AG350" s="104">
        <v>2</v>
      </c>
      <c r="AH350" s="109" t="s">
        <v>81</v>
      </c>
      <c r="AI350" s="109">
        <v>0</v>
      </c>
      <c r="AJ350" s="109" t="s">
        <v>75</v>
      </c>
      <c r="AK350" s="109" t="s">
        <v>422</v>
      </c>
      <c r="AL350" s="109" t="s">
        <v>423</v>
      </c>
      <c r="AM350" s="109" t="s">
        <v>75</v>
      </c>
      <c r="AN350" s="109" t="s">
        <v>75</v>
      </c>
      <c r="AO350" s="109" t="s">
        <v>110</v>
      </c>
      <c r="AP350" s="109" t="s">
        <v>81</v>
      </c>
      <c r="AQ350" s="109">
        <v>1</v>
      </c>
      <c r="AR350" s="109" t="s">
        <v>74</v>
      </c>
    </row>
    <row r="351" spans="1:44" ht="18" customHeight="1" x14ac:dyDescent="0.45">
      <c r="A351" s="104" t="s">
        <v>424</v>
      </c>
      <c r="B351" s="126" t="s">
        <v>425</v>
      </c>
      <c r="C351" s="105">
        <v>2021</v>
      </c>
      <c r="D351" s="105" t="s">
        <v>151</v>
      </c>
      <c r="E351" s="105">
        <v>0</v>
      </c>
      <c r="F351" s="105" t="s">
        <v>546</v>
      </c>
      <c r="G351" s="105" t="s">
        <v>518</v>
      </c>
      <c r="H351" s="105" t="s">
        <v>255</v>
      </c>
      <c r="I351" s="106" t="s">
        <v>256</v>
      </c>
      <c r="J351" s="104" t="s">
        <v>116</v>
      </c>
      <c r="K351" s="104" t="s">
        <v>81</v>
      </c>
      <c r="L351" s="104" t="s">
        <v>74</v>
      </c>
      <c r="M351" s="104">
        <v>120800000</v>
      </c>
      <c r="N351" s="104">
        <v>120800000</v>
      </c>
      <c r="O351" s="104">
        <v>173984616</v>
      </c>
      <c r="P351" s="104" t="s">
        <v>659</v>
      </c>
      <c r="Q351" s="104" t="s">
        <v>659</v>
      </c>
      <c r="R351" s="104" t="s">
        <v>659</v>
      </c>
      <c r="S351" s="104">
        <v>59100000</v>
      </c>
      <c r="T351" s="104">
        <v>59100000</v>
      </c>
      <c r="U351" s="112">
        <v>85119957</v>
      </c>
      <c r="V351" s="104" t="s">
        <v>75</v>
      </c>
      <c r="W351" s="104" t="s">
        <v>426</v>
      </c>
      <c r="X351" s="104" t="s">
        <v>75</v>
      </c>
      <c r="Y351" s="104" t="s">
        <v>427</v>
      </c>
      <c r="Z351" s="104" t="s">
        <v>75</v>
      </c>
      <c r="AA351" s="104">
        <v>0</v>
      </c>
      <c r="AB351" s="108" t="s">
        <v>78</v>
      </c>
      <c r="AC351" s="104">
        <v>1</v>
      </c>
      <c r="AD351" s="105" t="s">
        <v>428</v>
      </c>
      <c r="AE351" s="104">
        <v>1</v>
      </c>
      <c r="AF351" s="104" t="s">
        <v>429</v>
      </c>
      <c r="AG351" s="104">
        <v>2</v>
      </c>
      <c r="AH351" s="109" t="s">
        <v>81</v>
      </c>
      <c r="AI351" s="109">
        <v>0</v>
      </c>
      <c r="AJ351" s="109" t="s">
        <v>75</v>
      </c>
      <c r="AK351" s="109" t="s">
        <v>430</v>
      </c>
      <c r="AL351" s="109" t="s">
        <v>132</v>
      </c>
      <c r="AM351" s="109" t="s">
        <v>75</v>
      </c>
      <c r="AN351" s="109" t="s">
        <v>75</v>
      </c>
      <c r="AO351" s="109" t="s">
        <v>110</v>
      </c>
      <c r="AP351" s="109" t="s">
        <v>75</v>
      </c>
      <c r="AQ351" s="109">
        <v>1</v>
      </c>
      <c r="AR351" s="109" t="s">
        <v>74</v>
      </c>
    </row>
    <row r="352" spans="1:44" ht="18" customHeight="1" x14ac:dyDescent="0.45">
      <c r="A352" s="104" t="s">
        <v>431</v>
      </c>
      <c r="B352" s="126" t="s">
        <v>432</v>
      </c>
      <c r="C352" s="105">
        <v>2021</v>
      </c>
      <c r="D352" s="105" t="s">
        <v>433</v>
      </c>
      <c r="E352" s="105">
        <v>0</v>
      </c>
      <c r="F352" s="105" t="s">
        <v>564</v>
      </c>
      <c r="G352" s="105" t="s">
        <v>520</v>
      </c>
      <c r="H352" s="105" t="s">
        <v>368</v>
      </c>
      <c r="I352" s="106" t="s">
        <v>101</v>
      </c>
      <c r="J352" s="104" t="s">
        <v>73</v>
      </c>
      <c r="K352" s="104" t="s">
        <v>81</v>
      </c>
      <c r="L352" s="104" t="s">
        <v>74</v>
      </c>
      <c r="M352" s="104">
        <v>11660000</v>
      </c>
      <c r="N352" s="104">
        <v>11660000</v>
      </c>
      <c r="O352" s="104">
        <v>16793548.199999999</v>
      </c>
      <c r="P352" s="104" t="s">
        <v>659</v>
      </c>
      <c r="Q352" s="104" t="s">
        <v>659</v>
      </c>
      <c r="R352" s="104" t="s">
        <v>659</v>
      </c>
      <c r="S352" s="104">
        <v>10500000</v>
      </c>
      <c r="T352" s="104">
        <v>10500000</v>
      </c>
      <c r="U352" s="112">
        <v>15122835</v>
      </c>
      <c r="V352" s="104" t="s">
        <v>81</v>
      </c>
      <c r="W352" s="104">
        <v>0</v>
      </c>
      <c r="X352" s="104" t="s">
        <v>81</v>
      </c>
      <c r="Y352" s="104">
        <v>0</v>
      </c>
      <c r="Z352" s="104" t="s">
        <v>75</v>
      </c>
      <c r="AA352" s="104">
        <v>1</v>
      </c>
      <c r="AB352" s="108" t="s">
        <v>434</v>
      </c>
      <c r="AC352" s="104">
        <v>0</v>
      </c>
      <c r="AD352" s="105" t="s">
        <v>78</v>
      </c>
      <c r="AE352" s="104">
        <v>1</v>
      </c>
      <c r="AF352" s="104" t="s">
        <v>435</v>
      </c>
      <c r="AG352" s="104">
        <v>2</v>
      </c>
      <c r="AH352" s="109" t="s">
        <v>81</v>
      </c>
      <c r="AI352" s="109">
        <v>0</v>
      </c>
      <c r="AJ352" s="109" t="s">
        <v>81</v>
      </c>
      <c r="AK352" s="109">
        <v>0</v>
      </c>
      <c r="AL352" s="109" t="s">
        <v>121</v>
      </c>
      <c r="AM352" s="109" t="s">
        <v>75</v>
      </c>
      <c r="AN352" s="109" t="s">
        <v>75</v>
      </c>
      <c r="AO352" s="109" t="s">
        <v>84</v>
      </c>
      <c r="AP352" s="109" t="s">
        <v>81</v>
      </c>
      <c r="AQ352" s="109">
        <v>1</v>
      </c>
      <c r="AR352" s="109" t="s">
        <v>74</v>
      </c>
    </row>
    <row r="353" spans="1:44" ht="18" customHeight="1" x14ac:dyDescent="0.45">
      <c r="A353" s="104" t="s">
        <v>436</v>
      </c>
      <c r="B353" s="126" t="s">
        <v>437</v>
      </c>
      <c r="C353" s="105">
        <v>2022</v>
      </c>
      <c r="D353" s="105" t="s">
        <v>135</v>
      </c>
      <c r="E353" s="105">
        <v>0</v>
      </c>
      <c r="F353" s="105" t="s">
        <v>530</v>
      </c>
      <c r="G353" s="105" t="s">
        <v>520</v>
      </c>
      <c r="H353" s="105" t="s">
        <v>368</v>
      </c>
      <c r="I353" s="106" t="s">
        <v>101</v>
      </c>
      <c r="J353" s="104" t="s">
        <v>103</v>
      </c>
      <c r="K353" s="104" t="s">
        <v>81</v>
      </c>
      <c r="L353" s="104" t="s">
        <v>74</v>
      </c>
      <c r="M353" s="104">
        <v>11900000</v>
      </c>
      <c r="N353" s="104">
        <v>11900000</v>
      </c>
      <c r="O353" s="104">
        <v>16655120.999999998</v>
      </c>
      <c r="P353" s="104" t="s">
        <v>659</v>
      </c>
      <c r="Q353" s="104" t="s">
        <v>659</v>
      </c>
      <c r="R353" s="104" t="s">
        <v>659</v>
      </c>
      <c r="S353" s="104">
        <v>10000000</v>
      </c>
      <c r="T353" s="104">
        <v>10000000</v>
      </c>
      <c r="U353" s="112">
        <v>13995899.999999998</v>
      </c>
      <c r="V353" s="104" t="s">
        <v>81</v>
      </c>
      <c r="W353" s="104">
        <v>0</v>
      </c>
      <c r="X353" s="104" t="s">
        <v>81</v>
      </c>
      <c r="Y353" s="104">
        <v>0</v>
      </c>
      <c r="Z353" s="104" t="s">
        <v>81</v>
      </c>
      <c r="AA353" s="104">
        <v>0</v>
      </c>
      <c r="AB353" s="108">
        <v>0</v>
      </c>
      <c r="AC353" s="104">
        <v>0</v>
      </c>
      <c r="AD353" s="105">
        <v>0</v>
      </c>
      <c r="AE353" s="104">
        <v>0</v>
      </c>
      <c r="AF353" s="104">
        <v>0</v>
      </c>
      <c r="AG353" s="104">
        <v>0</v>
      </c>
      <c r="AH353" s="109" t="s">
        <v>81</v>
      </c>
      <c r="AI353" s="109">
        <v>0</v>
      </c>
      <c r="AJ353" s="109" t="s">
        <v>81</v>
      </c>
      <c r="AK353" s="109">
        <v>0</v>
      </c>
      <c r="AL353" s="109" t="s">
        <v>121</v>
      </c>
      <c r="AM353" s="109" t="s">
        <v>75</v>
      </c>
      <c r="AN353" s="109" t="s">
        <v>81</v>
      </c>
      <c r="AO353" s="109" t="s">
        <v>84</v>
      </c>
      <c r="AP353" s="109" t="s">
        <v>81</v>
      </c>
      <c r="AQ353" s="109">
        <v>1</v>
      </c>
      <c r="AR353" s="109" t="s">
        <v>74</v>
      </c>
    </row>
    <row r="354" spans="1:44" ht="18" customHeight="1" x14ac:dyDescent="0.45">
      <c r="A354" s="104" t="s">
        <v>438</v>
      </c>
      <c r="B354" s="126" t="s">
        <v>439</v>
      </c>
      <c r="C354" s="105">
        <v>2022</v>
      </c>
      <c r="D354" s="105" t="s">
        <v>87</v>
      </c>
      <c r="E354" s="105" t="s">
        <v>440</v>
      </c>
      <c r="F354" s="105" t="s">
        <v>87</v>
      </c>
      <c r="G354" s="105" t="s">
        <v>87</v>
      </c>
      <c r="H354" s="105" t="s">
        <v>216</v>
      </c>
      <c r="I354" s="106" t="s">
        <v>101</v>
      </c>
      <c r="J354" s="104" t="s">
        <v>73</v>
      </c>
      <c r="K354" s="104" t="s">
        <v>81</v>
      </c>
      <c r="L354" s="104" t="s">
        <v>74</v>
      </c>
      <c r="M354" s="104">
        <v>2570000</v>
      </c>
      <c r="N354" s="104">
        <v>2570000</v>
      </c>
      <c r="O354" s="104">
        <v>3596946.3</v>
      </c>
      <c r="P354" s="104" t="s">
        <v>659</v>
      </c>
      <c r="Q354" s="104" t="s">
        <v>659</v>
      </c>
      <c r="R354" s="104" t="s">
        <v>659</v>
      </c>
      <c r="S354" s="104">
        <v>2000000</v>
      </c>
      <c r="T354" s="104">
        <v>2000000</v>
      </c>
      <c r="U354" s="112">
        <v>2799180</v>
      </c>
      <c r="V354" s="104" t="s">
        <v>81</v>
      </c>
      <c r="W354" s="104">
        <v>0</v>
      </c>
      <c r="X354" s="104" t="s">
        <v>81</v>
      </c>
      <c r="Y354" s="104">
        <v>0</v>
      </c>
      <c r="Z354" s="104" t="s">
        <v>75</v>
      </c>
      <c r="AA354" s="104">
        <v>0</v>
      </c>
      <c r="AB354" s="108" t="s">
        <v>78</v>
      </c>
      <c r="AC354" s="104">
        <v>0</v>
      </c>
      <c r="AD354" s="105" t="s">
        <v>78</v>
      </c>
      <c r="AE354" s="104">
        <v>1</v>
      </c>
      <c r="AF354" s="104" t="s">
        <v>441</v>
      </c>
      <c r="AG354" s="104">
        <v>1</v>
      </c>
      <c r="AH354" s="109" t="s">
        <v>75</v>
      </c>
      <c r="AI354" s="109" t="s">
        <v>442</v>
      </c>
      <c r="AJ354" s="109" t="s">
        <v>81</v>
      </c>
      <c r="AK354" s="109">
        <v>0</v>
      </c>
      <c r="AL354" s="109" t="s">
        <v>121</v>
      </c>
      <c r="AM354" s="109" t="s">
        <v>75</v>
      </c>
      <c r="AN354" s="109" t="s">
        <v>81</v>
      </c>
      <c r="AO354" s="109" t="s">
        <v>84</v>
      </c>
      <c r="AP354" s="109" t="s">
        <v>81</v>
      </c>
      <c r="AQ354" s="109">
        <v>1</v>
      </c>
      <c r="AR354" s="109" t="s">
        <v>74</v>
      </c>
    </row>
    <row r="355" spans="1:44" ht="18" customHeight="1" x14ac:dyDescent="0.45">
      <c r="A355" s="104" t="s">
        <v>443</v>
      </c>
      <c r="B355" s="126" t="s">
        <v>444</v>
      </c>
      <c r="C355" s="105">
        <v>2021</v>
      </c>
      <c r="D355" s="105" t="s">
        <v>445</v>
      </c>
      <c r="E355" s="105">
        <v>0</v>
      </c>
      <c r="F355" s="105" t="s">
        <v>552</v>
      </c>
      <c r="G355" s="105" t="s">
        <v>519</v>
      </c>
      <c r="H355" s="105" t="s">
        <v>227</v>
      </c>
      <c r="I355" s="106" t="s">
        <v>228</v>
      </c>
      <c r="J355" s="104" t="s">
        <v>73</v>
      </c>
      <c r="K355" s="104" t="s">
        <v>81</v>
      </c>
      <c r="L355" s="104" t="s">
        <v>74</v>
      </c>
      <c r="M355" s="104">
        <v>32790000</v>
      </c>
      <c r="N355" s="104">
        <v>32790000</v>
      </c>
      <c r="O355" s="104">
        <v>47226453.299999997</v>
      </c>
      <c r="P355" s="104" t="s">
        <v>659</v>
      </c>
      <c r="Q355" s="104" t="s">
        <v>659</v>
      </c>
      <c r="R355" s="104" t="s">
        <v>659</v>
      </c>
      <c r="S355" s="104">
        <v>15000000</v>
      </c>
      <c r="T355" s="104">
        <v>15000000</v>
      </c>
      <c r="U355" s="112">
        <v>21604050</v>
      </c>
      <c r="V355" s="104" t="s">
        <v>75</v>
      </c>
      <c r="W355" s="104" t="s">
        <v>446</v>
      </c>
      <c r="X355" s="104" t="s">
        <v>81</v>
      </c>
      <c r="Y355" s="104">
        <v>0</v>
      </c>
      <c r="Z355" s="104" t="s">
        <v>75</v>
      </c>
      <c r="AA355" s="104">
        <v>0</v>
      </c>
      <c r="AB355" s="108" t="s">
        <v>78</v>
      </c>
      <c r="AC355" s="104">
        <v>0</v>
      </c>
      <c r="AD355" s="105" t="s">
        <v>78</v>
      </c>
      <c r="AE355" s="104">
        <v>2</v>
      </c>
      <c r="AF355" s="104" t="s">
        <v>447</v>
      </c>
      <c r="AG355" s="104">
        <v>2</v>
      </c>
      <c r="AH355" s="109" t="s">
        <v>75</v>
      </c>
      <c r="AI355" s="109" t="s">
        <v>448</v>
      </c>
      <c r="AJ355" s="109" t="s">
        <v>75</v>
      </c>
      <c r="AK355" s="109" t="s">
        <v>449</v>
      </c>
      <c r="AL355" s="109" t="s">
        <v>132</v>
      </c>
      <c r="AM355" s="109" t="s">
        <v>75</v>
      </c>
      <c r="AN355" s="109" t="s">
        <v>75</v>
      </c>
      <c r="AO355" s="109" t="s">
        <v>110</v>
      </c>
      <c r="AP355" s="109" t="s">
        <v>81</v>
      </c>
      <c r="AQ355" s="109">
        <v>1</v>
      </c>
      <c r="AR355" s="109" t="s">
        <v>74</v>
      </c>
    </row>
    <row r="356" spans="1:44" ht="18" customHeight="1" x14ac:dyDescent="0.45">
      <c r="A356" s="104" t="s">
        <v>450</v>
      </c>
      <c r="B356" s="126" t="s">
        <v>451</v>
      </c>
      <c r="C356" s="105">
        <v>2021</v>
      </c>
      <c r="D356" s="105" t="s">
        <v>87</v>
      </c>
      <c r="E356" s="105" t="s">
        <v>452</v>
      </c>
      <c r="F356" s="105" t="s">
        <v>87</v>
      </c>
      <c r="G356" s="105" t="s">
        <v>87</v>
      </c>
      <c r="H356" s="105" t="s">
        <v>216</v>
      </c>
      <c r="I356" s="106" t="s">
        <v>101</v>
      </c>
      <c r="J356" s="104" t="s">
        <v>73</v>
      </c>
      <c r="K356" s="104" t="s">
        <v>81</v>
      </c>
      <c r="L356" s="104" t="s">
        <v>74</v>
      </c>
      <c r="M356" s="104">
        <v>5500000</v>
      </c>
      <c r="N356" s="104">
        <v>5500000</v>
      </c>
      <c r="O356" s="104">
        <v>7921485</v>
      </c>
      <c r="P356" s="104" t="s">
        <v>659</v>
      </c>
      <c r="Q356" s="104" t="s">
        <v>659</v>
      </c>
      <c r="R356" s="104" t="s">
        <v>659</v>
      </c>
      <c r="S356" s="104">
        <v>5000000</v>
      </c>
      <c r="T356" s="104">
        <v>5000000</v>
      </c>
      <c r="U356" s="112">
        <v>7201350</v>
      </c>
      <c r="V356" s="104" t="s">
        <v>81</v>
      </c>
      <c r="W356" s="104">
        <v>0</v>
      </c>
      <c r="X356" s="104" t="s">
        <v>81</v>
      </c>
      <c r="Y356" s="104">
        <v>0</v>
      </c>
      <c r="Z356" s="104" t="s">
        <v>81</v>
      </c>
      <c r="AA356" s="104">
        <v>0</v>
      </c>
      <c r="AB356" s="108">
        <v>0</v>
      </c>
      <c r="AC356" s="104">
        <v>0</v>
      </c>
      <c r="AD356" s="105">
        <v>0</v>
      </c>
      <c r="AE356" s="104">
        <v>0</v>
      </c>
      <c r="AF356" s="104">
        <v>0</v>
      </c>
      <c r="AG356" s="104">
        <v>0</v>
      </c>
      <c r="AH356" s="109" t="s">
        <v>81</v>
      </c>
      <c r="AI356" s="109">
        <v>0</v>
      </c>
      <c r="AJ356" s="109" t="s">
        <v>81</v>
      </c>
      <c r="AK356" s="109">
        <v>0</v>
      </c>
      <c r="AL356" s="109" t="s">
        <v>121</v>
      </c>
      <c r="AM356" s="109" t="s">
        <v>75</v>
      </c>
      <c r="AN356" s="109" t="s">
        <v>81</v>
      </c>
      <c r="AO356" s="109" t="s">
        <v>84</v>
      </c>
      <c r="AP356" s="109" t="s">
        <v>81</v>
      </c>
      <c r="AQ356" s="109">
        <v>1</v>
      </c>
      <c r="AR356" s="109" t="s">
        <v>74</v>
      </c>
    </row>
    <row r="357" spans="1:44" ht="18" customHeight="1" x14ac:dyDescent="0.45">
      <c r="A357" s="104" t="s">
        <v>453</v>
      </c>
      <c r="B357" s="126" t="s">
        <v>454</v>
      </c>
      <c r="C357" s="105">
        <v>2021</v>
      </c>
      <c r="D357" s="105" t="s">
        <v>289</v>
      </c>
      <c r="E357" s="105">
        <v>0</v>
      </c>
      <c r="F357" s="105" t="s">
        <v>492</v>
      </c>
      <c r="G357" s="105" t="s">
        <v>521</v>
      </c>
      <c r="H357" s="105" t="s">
        <v>368</v>
      </c>
      <c r="I357" s="106" t="s">
        <v>101</v>
      </c>
      <c r="J357" s="104" t="s">
        <v>73</v>
      </c>
      <c r="K357" s="104" t="s">
        <v>81</v>
      </c>
      <c r="L357" s="104" t="s">
        <v>74</v>
      </c>
      <c r="M357" s="104">
        <v>22000000</v>
      </c>
      <c r="N357" s="104">
        <v>22000000</v>
      </c>
      <c r="O357" s="104">
        <v>31685940</v>
      </c>
      <c r="P357" s="104" t="s">
        <v>659</v>
      </c>
      <c r="Q357" s="104" t="s">
        <v>659</v>
      </c>
      <c r="R357" s="104" t="s">
        <v>659</v>
      </c>
      <c r="S357" s="104">
        <v>20000000</v>
      </c>
      <c r="T357" s="104">
        <v>20000000</v>
      </c>
      <c r="U357" s="112">
        <v>28805400</v>
      </c>
      <c r="V357" s="104" t="s">
        <v>75</v>
      </c>
      <c r="W357" s="104" t="s">
        <v>455</v>
      </c>
      <c r="X357" s="104" t="s">
        <v>81</v>
      </c>
      <c r="Y357" s="104">
        <v>0</v>
      </c>
      <c r="Z357" s="104" t="s">
        <v>75</v>
      </c>
      <c r="AA357" s="104">
        <v>0</v>
      </c>
      <c r="AB357" s="108" t="s">
        <v>78</v>
      </c>
      <c r="AC357" s="104">
        <v>0</v>
      </c>
      <c r="AD357" s="105" t="s">
        <v>78</v>
      </c>
      <c r="AE357" s="104">
        <v>2</v>
      </c>
      <c r="AF357" s="104" t="s">
        <v>456</v>
      </c>
      <c r="AG357" s="104">
        <v>2</v>
      </c>
      <c r="AH357" s="109" t="s">
        <v>81</v>
      </c>
      <c r="AI357" s="109">
        <v>0</v>
      </c>
      <c r="AJ357" s="109" t="s">
        <v>75</v>
      </c>
      <c r="AK357" s="109" t="s">
        <v>457</v>
      </c>
      <c r="AL357" s="109" t="s">
        <v>121</v>
      </c>
      <c r="AM357" s="109" t="s">
        <v>75</v>
      </c>
      <c r="AN357" s="109" t="s">
        <v>75</v>
      </c>
      <c r="AO357" s="109" t="s">
        <v>84</v>
      </c>
      <c r="AP357" s="109" t="s">
        <v>81</v>
      </c>
      <c r="AQ357" s="109">
        <v>1</v>
      </c>
      <c r="AR357" s="109" t="s">
        <v>74</v>
      </c>
    </row>
  </sheetData>
  <autoFilter ref="A1:AR357" xr:uid="{561D9BB5-D9D3-4569-8A2B-EDA4285F2D19}"/>
  <conditionalFormatting sqref="A1:D357 H1:Z357 E2:G357 AH1:AR1 AE1:AG357 AA2:AD357">
    <cfRule type="expression" dxfId="42" priority="5">
      <formula>A$1="Counter"</formula>
    </cfRule>
  </conditionalFormatting>
  <conditionalFormatting sqref="A2:E357 G2:G357">
    <cfRule type="expression" dxfId="41" priority="3">
      <formula>B$1="Counter"</formula>
    </cfRule>
  </conditionalFormatting>
  <conditionalFormatting sqref="A2:AG357">
    <cfRule type="expression" dxfId="40" priority="9">
      <formula>#REF!=TRUE</formula>
    </cfRule>
    <cfRule type="expression" dxfId="39" priority="10">
      <formula>#REF!=TRUE</formula>
    </cfRule>
  </conditionalFormatting>
  <conditionalFormatting sqref="D1:D357 E2:F357 C1 H1:I357">
    <cfRule type="expression" dxfId="38" priority="4">
      <formula>LEFT(C1,5)="ERROR"</formula>
    </cfRule>
  </conditionalFormatting>
  <conditionalFormatting sqref="F2:F357">
    <cfRule type="expression" dxfId="37" priority="13">
      <formula>#REF!="Counter"</formula>
    </cfRule>
  </conditionalFormatting>
  <conditionalFormatting sqref="AD2:AD357">
    <cfRule type="expression" dxfId="36" priority="2">
      <formula>#REF!="Counter"</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4CED3-3168-436C-A40A-A370E5999A70}">
  <sheetPr>
    <tabColor rgb="FF00FF00"/>
    <outlinePr summaryBelow="0" summaryRight="0"/>
  </sheetPr>
  <dimension ref="A1:AL61"/>
  <sheetViews>
    <sheetView workbookViewId="0">
      <pane ySplit="1" topLeftCell="A2" activePane="bottomLeft" state="frozen"/>
      <selection pane="bottomLeft" activeCell="E14" sqref="E14"/>
    </sheetView>
  </sheetViews>
  <sheetFormatPr defaultColWidth="13.88671875" defaultRowHeight="15.75" customHeight="1" x14ac:dyDescent="0.25"/>
  <cols>
    <col min="1" max="1" width="15.109375" style="1" customWidth="1"/>
    <col min="2" max="2" width="19.44140625" style="1" customWidth="1"/>
    <col min="3" max="3" width="20.77734375" style="1" customWidth="1"/>
    <col min="4" max="4" width="24.5546875" style="1" bestFit="1" customWidth="1"/>
    <col min="5" max="5" width="30.77734375" style="1" customWidth="1"/>
    <col min="6" max="6" width="46.21875" style="1" customWidth="1"/>
    <col min="7" max="9" width="20.77734375" style="1" customWidth="1"/>
    <col min="10" max="10" width="24.109375" style="1" customWidth="1"/>
    <col min="11" max="11" width="20.77734375" style="1" customWidth="1"/>
    <col min="12" max="12" width="29.44140625" style="1" customWidth="1"/>
    <col min="13" max="13" width="20.77734375" style="1" customWidth="1"/>
    <col min="14" max="14" width="53.109375" style="1" customWidth="1"/>
    <col min="15" max="26" width="20.77734375" style="1" customWidth="1"/>
    <col min="27" max="28" width="30.5546875" style="1" customWidth="1"/>
    <col min="29" max="33" width="20.77734375" style="1" customWidth="1"/>
    <col min="34" max="34" width="56" style="1" customWidth="1"/>
    <col min="35" max="35" width="26.33203125" style="1" customWidth="1"/>
    <col min="36" max="37" width="20.77734375" style="1" customWidth="1"/>
    <col min="38" max="38" width="30.109375" style="1" bestFit="1" customWidth="1"/>
    <col min="39" max="16384" width="13.88671875" style="1"/>
  </cols>
  <sheetData>
    <row r="1" spans="1:38" s="15" customFormat="1" ht="45.45" customHeight="1" x14ac:dyDescent="0.2">
      <c r="A1" s="10" t="s">
        <v>0</v>
      </c>
      <c r="B1" s="11" t="s">
        <v>1</v>
      </c>
      <c r="C1" s="12" t="s">
        <v>2</v>
      </c>
      <c r="D1" s="12" t="s">
        <v>3</v>
      </c>
      <c r="E1" s="12" t="s">
        <v>4</v>
      </c>
      <c r="F1" s="12" t="s">
        <v>5</v>
      </c>
      <c r="G1" s="13" t="s">
        <v>460</v>
      </c>
      <c r="H1" s="13" t="s">
        <v>7</v>
      </c>
      <c r="I1" s="13" t="s">
        <v>8</v>
      </c>
      <c r="J1" s="13" t="s">
        <v>9</v>
      </c>
      <c r="K1" s="12" t="s">
        <v>10</v>
      </c>
      <c r="L1" s="12" t="s">
        <v>11</v>
      </c>
      <c r="M1" s="14" t="s">
        <v>12</v>
      </c>
      <c r="N1" s="13" t="s">
        <v>13</v>
      </c>
      <c r="O1" s="13" t="s">
        <v>14</v>
      </c>
      <c r="P1" s="13" t="s">
        <v>15</v>
      </c>
      <c r="Q1" s="12" t="s">
        <v>16</v>
      </c>
      <c r="R1" s="13" t="s">
        <v>17</v>
      </c>
      <c r="S1" s="13" t="s">
        <v>18</v>
      </c>
      <c r="T1" s="13" t="s">
        <v>19</v>
      </c>
      <c r="U1" s="13" t="s">
        <v>20</v>
      </c>
      <c r="V1" s="13" t="s">
        <v>21</v>
      </c>
      <c r="W1" s="13" t="s">
        <v>22</v>
      </c>
      <c r="X1" s="13" t="s">
        <v>23</v>
      </c>
      <c r="Y1" s="13" t="s">
        <v>24</v>
      </c>
      <c r="Z1" s="13" t="s">
        <v>25</v>
      </c>
      <c r="AA1" s="13" t="s">
        <v>26</v>
      </c>
      <c r="AB1" s="13" t="s">
        <v>27</v>
      </c>
      <c r="AC1" s="13" t="s">
        <v>28</v>
      </c>
      <c r="AD1" s="11" t="s">
        <v>29</v>
      </c>
      <c r="AE1" s="12" t="s">
        <v>30</v>
      </c>
      <c r="AF1" s="12" t="s">
        <v>31</v>
      </c>
      <c r="AG1" s="12" t="s">
        <v>32</v>
      </c>
      <c r="AH1" s="13" t="s">
        <v>33</v>
      </c>
      <c r="AI1" s="13" t="s">
        <v>34</v>
      </c>
      <c r="AJ1" s="13" t="s">
        <v>35</v>
      </c>
      <c r="AK1" s="13" t="s">
        <v>36</v>
      </c>
      <c r="AL1" s="12" t="s">
        <v>37</v>
      </c>
    </row>
    <row r="2" spans="1:38" ht="15.75" customHeight="1" x14ac:dyDescent="0.25">
      <c r="A2" s="3" t="b">
        <v>1</v>
      </c>
      <c r="B2" s="3" t="b">
        <v>0</v>
      </c>
      <c r="C2" s="2"/>
      <c r="D2" s="5">
        <v>44007.334521851852</v>
      </c>
      <c r="E2" s="3" t="s">
        <v>67</v>
      </c>
      <c r="F2" s="3" t="s">
        <v>68</v>
      </c>
      <c r="G2" s="3" t="s">
        <v>69</v>
      </c>
      <c r="H2" s="3">
        <v>2020</v>
      </c>
      <c r="I2" s="3" t="s">
        <v>70</v>
      </c>
      <c r="J2" s="2"/>
      <c r="K2" s="3" t="s">
        <v>71</v>
      </c>
      <c r="L2" s="6" t="s">
        <v>72</v>
      </c>
      <c r="M2" s="4" t="s">
        <v>72</v>
      </c>
      <c r="N2" s="3" t="s">
        <v>73</v>
      </c>
      <c r="O2" s="3" t="s">
        <v>74</v>
      </c>
      <c r="P2" s="3">
        <v>11110000</v>
      </c>
      <c r="Q2" s="3" t="s">
        <v>74</v>
      </c>
      <c r="R2" s="3">
        <v>10000000</v>
      </c>
      <c r="S2" s="3" t="s">
        <v>75</v>
      </c>
      <c r="T2" s="3" t="s">
        <v>76</v>
      </c>
      <c r="U2" s="3" t="s">
        <v>75</v>
      </c>
      <c r="V2" s="3" t="s">
        <v>77</v>
      </c>
      <c r="W2" s="3" t="s">
        <v>75</v>
      </c>
      <c r="X2" s="3">
        <v>0</v>
      </c>
      <c r="Y2" s="3" t="s">
        <v>78</v>
      </c>
      <c r="Z2" s="3">
        <v>1</v>
      </c>
      <c r="AA2" s="3" t="s">
        <v>79</v>
      </c>
      <c r="AB2" s="3">
        <v>1</v>
      </c>
      <c r="AC2" s="3" t="s">
        <v>80</v>
      </c>
      <c r="AD2" s="3">
        <v>2</v>
      </c>
      <c r="AE2" s="3" t="s">
        <v>81</v>
      </c>
      <c r="AF2" s="2"/>
      <c r="AG2" s="3" t="s">
        <v>75</v>
      </c>
      <c r="AH2" s="3" t="s">
        <v>82</v>
      </c>
      <c r="AI2" s="3" t="s">
        <v>83</v>
      </c>
      <c r="AJ2" s="3" t="s">
        <v>75</v>
      </c>
      <c r="AK2" s="3" t="s">
        <v>81</v>
      </c>
      <c r="AL2" s="3" t="s">
        <v>84</v>
      </c>
    </row>
    <row r="3" spans="1:38" ht="15.75" customHeight="1" x14ac:dyDescent="0.25">
      <c r="A3" s="3" t="b">
        <v>1</v>
      </c>
      <c r="B3" s="3" t="b">
        <v>0</v>
      </c>
      <c r="C3" s="2"/>
      <c r="D3" s="5">
        <v>44007.425310624996</v>
      </c>
      <c r="E3" s="3" t="s">
        <v>67</v>
      </c>
      <c r="F3" s="3" t="s">
        <v>85</v>
      </c>
      <c r="G3" s="3" t="s">
        <v>86</v>
      </c>
      <c r="H3" s="3">
        <v>2020</v>
      </c>
      <c r="I3" s="3" t="s">
        <v>87</v>
      </c>
      <c r="J3" s="3" t="s">
        <v>88</v>
      </c>
      <c r="K3" s="3" t="s">
        <v>89</v>
      </c>
      <c r="L3" s="6" t="s">
        <v>72</v>
      </c>
      <c r="M3" s="4" t="s">
        <v>72</v>
      </c>
      <c r="N3" s="3" t="s">
        <v>90</v>
      </c>
      <c r="O3" s="3" t="s">
        <v>74</v>
      </c>
      <c r="P3" s="3">
        <v>16000000</v>
      </c>
      <c r="Q3" s="3" t="s">
        <v>74</v>
      </c>
      <c r="R3" s="3">
        <v>15000000</v>
      </c>
      <c r="S3" s="3" t="s">
        <v>75</v>
      </c>
      <c r="T3" s="3" t="s">
        <v>91</v>
      </c>
      <c r="U3" s="3" t="s">
        <v>75</v>
      </c>
      <c r="V3" s="3" t="s">
        <v>92</v>
      </c>
      <c r="W3" s="3" t="s">
        <v>75</v>
      </c>
      <c r="X3" s="3">
        <v>0</v>
      </c>
      <c r="Y3" s="3" t="s">
        <v>78</v>
      </c>
      <c r="Z3" s="3">
        <v>1</v>
      </c>
      <c r="AA3" s="3" t="s">
        <v>93</v>
      </c>
      <c r="AB3" s="3">
        <v>4</v>
      </c>
      <c r="AC3" s="3" t="s">
        <v>94</v>
      </c>
      <c r="AD3" s="3">
        <v>5</v>
      </c>
      <c r="AE3" s="3" t="s">
        <v>75</v>
      </c>
      <c r="AF3" s="3" t="s">
        <v>95</v>
      </c>
      <c r="AG3" s="3" t="s">
        <v>75</v>
      </c>
      <c r="AH3" s="3" t="s">
        <v>96</v>
      </c>
      <c r="AI3" s="3" t="s">
        <v>83</v>
      </c>
      <c r="AJ3" s="3" t="s">
        <v>75</v>
      </c>
      <c r="AK3" s="3" t="s">
        <v>81</v>
      </c>
      <c r="AL3" s="3" t="s">
        <v>84</v>
      </c>
    </row>
    <row r="4" spans="1:38" ht="15.75" customHeight="1" x14ac:dyDescent="0.25">
      <c r="A4" s="3" t="b">
        <v>1</v>
      </c>
      <c r="B4" s="3" t="b">
        <v>0</v>
      </c>
      <c r="C4" s="2"/>
      <c r="D4" s="5">
        <v>44009.265181875002</v>
      </c>
      <c r="E4" s="3" t="s">
        <v>67</v>
      </c>
      <c r="F4" s="3" t="s">
        <v>97</v>
      </c>
      <c r="G4" s="3" t="s">
        <v>98</v>
      </c>
      <c r="H4" s="3">
        <v>2020</v>
      </c>
      <c r="I4" s="3" t="s">
        <v>99</v>
      </c>
      <c r="J4" s="2"/>
      <c r="K4" s="3" t="s">
        <v>100</v>
      </c>
      <c r="L4" s="6" t="s">
        <v>101</v>
      </c>
      <c r="M4" s="4" t="s">
        <v>102</v>
      </c>
      <c r="N4" s="3" t="s">
        <v>103</v>
      </c>
      <c r="O4" s="3" t="s">
        <v>104</v>
      </c>
      <c r="P4" s="3">
        <v>35740000</v>
      </c>
      <c r="Q4" s="3" t="s">
        <v>104</v>
      </c>
      <c r="R4" s="3">
        <v>17870000</v>
      </c>
      <c r="S4" s="3" t="s">
        <v>75</v>
      </c>
      <c r="T4" s="3" t="s">
        <v>105</v>
      </c>
      <c r="U4" s="3" t="s">
        <v>75</v>
      </c>
      <c r="V4" s="3" t="s">
        <v>106</v>
      </c>
      <c r="W4" s="3" t="s">
        <v>75</v>
      </c>
      <c r="X4" s="3">
        <v>0</v>
      </c>
      <c r="Y4" s="3" t="s">
        <v>78</v>
      </c>
      <c r="Z4" s="3">
        <v>1</v>
      </c>
      <c r="AA4" s="3" t="s">
        <v>107</v>
      </c>
      <c r="AB4" s="3">
        <v>2</v>
      </c>
      <c r="AC4" s="3" t="s">
        <v>108</v>
      </c>
      <c r="AD4" s="3">
        <v>3</v>
      </c>
      <c r="AE4" s="3" t="s">
        <v>81</v>
      </c>
      <c r="AF4" s="2"/>
      <c r="AG4" s="3" t="s">
        <v>75</v>
      </c>
      <c r="AH4" s="3" t="s">
        <v>109</v>
      </c>
      <c r="AI4" s="3" t="s">
        <v>83</v>
      </c>
      <c r="AJ4" s="3" t="s">
        <v>75</v>
      </c>
      <c r="AK4" s="3" t="s">
        <v>81</v>
      </c>
      <c r="AL4" s="3" t="s">
        <v>110</v>
      </c>
    </row>
    <row r="5" spans="1:38" ht="15.75" customHeight="1" x14ac:dyDescent="0.25">
      <c r="A5" s="3" t="b">
        <v>1</v>
      </c>
      <c r="B5" s="3" t="b">
        <v>0</v>
      </c>
      <c r="C5" s="2"/>
      <c r="D5" s="5">
        <v>44011.257034409718</v>
      </c>
      <c r="E5" s="3" t="s">
        <v>67</v>
      </c>
      <c r="F5" s="3" t="s">
        <v>111</v>
      </c>
      <c r="G5" s="3" t="s">
        <v>112</v>
      </c>
      <c r="H5" s="3">
        <v>2020</v>
      </c>
      <c r="I5" s="3" t="s">
        <v>113</v>
      </c>
      <c r="J5" s="2"/>
      <c r="K5" s="3" t="s">
        <v>114</v>
      </c>
      <c r="L5" s="6" t="s">
        <v>115</v>
      </c>
      <c r="M5" s="4" t="s">
        <v>115</v>
      </c>
      <c r="N5" s="3" t="s">
        <v>116</v>
      </c>
      <c r="O5" s="3" t="s">
        <v>104</v>
      </c>
      <c r="P5" s="3">
        <v>180000000</v>
      </c>
      <c r="Q5" s="3" t="s">
        <v>104</v>
      </c>
      <c r="R5" s="3">
        <v>180000000</v>
      </c>
      <c r="S5" s="3" t="s">
        <v>75</v>
      </c>
      <c r="T5" s="3" t="s">
        <v>117</v>
      </c>
      <c r="U5" s="3" t="s">
        <v>75</v>
      </c>
      <c r="V5" s="3" t="s">
        <v>118</v>
      </c>
      <c r="W5" s="3" t="s">
        <v>75</v>
      </c>
      <c r="X5" s="3">
        <v>0</v>
      </c>
      <c r="Y5" s="3" t="s">
        <v>78</v>
      </c>
      <c r="Z5" s="3">
        <v>0</v>
      </c>
      <c r="AA5" s="3" t="s">
        <v>78</v>
      </c>
      <c r="AB5" s="3">
        <v>1</v>
      </c>
      <c r="AC5" s="3" t="s">
        <v>119</v>
      </c>
      <c r="AD5" s="3">
        <v>1</v>
      </c>
      <c r="AE5" s="3" t="s">
        <v>81</v>
      </c>
      <c r="AF5" s="2"/>
      <c r="AG5" s="3" t="s">
        <v>75</v>
      </c>
      <c r="AH5" s="3" t="s">
        <v>120</v>
      </c>
      <c r="AI5" s="3" t="s">
        <v>121</v>
      </c>
      <c r="AJ5" s="3" t="s">
        <v>75</v>
      </c>
      <c r="AK5" s="3" t="s">
        <v>75</v>
      </c>
      <c r="AL5" s="3" t="s">
        <v>84</v>
      </c>
    </row>
    <row r="6" spans="1:38" ht="15.75" customHeight="1" x14ac:dyDescent="0.25">
      <c r="A6" s="3" t="b">
        <v>1</v>
      </c>
      <c r="B6" s="3" t="b">
        <v>0</v>
      </c>
      <c r="C6" s="2"/>
      <c r="D6" s="5">
        <v>44014.186972986106</v>
      </c>
      <c r="E6" s="3" t="s">
        <v>67</v>
      </c>
      <c r="F6" s="3" t="s">
        <v>122</v>
      </c>
      <c r="G6" s="3" t="s">
        <v>123</v>
      </c>
      <c r="H6" s="3">
        <v>2020</v>
      </c>
      <c r="I6" s="3" t="s">
        <v>124</v>
      </c>
      <c r="J6" s="2"/>
      <c r="K6" s="3" t="s">
        <v>125</v>
      </c>
      <c r="L6" s="6" t="s">
        <v>72</v>
      </c>
      <c r="M6" s="4" t="s">
        <v>72</v>
      </c>
      <c r="N6" s="3" t="s">
        <v>116</v>
      </c>
      <c r="O6" s="3" t="s">
        <v>126</v>
      </c>
      <c r="P6" s="3">
        <v>205000000</v>
      </c>
      <c r="Q6" s="3" t="s">
        <v>126</v>
      </c>
      <c r="R6" s="3">
        <v>205000000</v>
      </c>
      <c r="S6" s="3" t="s">
        <v>75</v>
      </c>
      <c r="T6" s="3" t="s">
        <v>127</v>
      </c>
      <c r="U6" s="3" t="s">
        <v>75</v>
      </c>
      <c r="V6" s="3" t="s">
        <v>128</v>
      </c>
      <c r="W6" s="3" t="s">
        <v>75</v>
      </c>
      <c r="X6" s="3">
        <v>0</v>
      </c>
      <c r="Y6" s="3" t="s">
        <v>78</v>
      </c>
      <c r="Z6" s="3">
        <v>1</v>
      </c>
      <c r="AA6" s="3" t="s">
        <v>129</v>
      </c>
      <c r="AB6" s="3">
        <v>2</v>
      </c>
      <c r="AC6" s="3" t="s">
        <v>130</v>
      </c>
      <c r="AD6" s="3">
        <v>3</v>
      </c>
      <c r="AE6" s="3" t="s">
        <v>81</v>
      </c>
      <c r="AF6" s="2"/>
      <c r="AG6" s="3" t="s">
        <v>75</v>
      </c>
      <c r="AH6" s="3" t="s">
        <v>131</v>
      </c>
      <c r="AI6" s="3" t="s">
        <v>132</v>
      </c>
      <c r="AJ6" s="3" t="s">
        <v>75</v>
      </c>
      <c r="AK6" s="3" t="s">
        <v>81</v>
      </c>
      <c r="AL6" s="3" t="s">
        <v>84</v>
      </c>
    </row>
    <row r="7" spans="1:38" ht="15.75" customHeight="1" x14ac:dyDescent="0.25">
      <c r="A7" s="3" t="b">
        <v>1</v>
      </c>
      <c r="B7" s="3" t="b">
        <v>0</v>
      </c>
      <c r="C7" s="2"/>
      <c r="D7" s="5">
        <v>44014.213427766204</v>
      </c>
      <c r="E7" s="3" t="s">
        <v>67</v>
      </c>
      <c r="F7" s="3" t="s">
        <v>133</v>
      </c>
      <c r="G7" s="3" t="s">
        <v>134</v>
      </c>
      <c r="H7" s="3">
        <v>2020</v>
      </c>
      <c r="I7" s="3" t="s">
        <v>135</v>
      </c>
      <c r="J7" s="2"/>
      <c r="K7" s="3" t="s">
        <v>136</v>
      </c>
      <c r="L7" s="6" t="s">
        <v>72</v>
      </c>
      <c r="M7" s="4" t="s">
        <v>72</v>
      </c>
      <c r="N7" s="3" t="s">
        <v>137</v>
      </c>
      <c r="O7" s="3" t="s">
        <v>104</v>
      </c>
      <c r="P7" s="3">
        <v>315405494</v>
      </c>
      <c r="Q7" s="3" t="s">
        <v>104</v>
      </c>
      <c r="R7" s="3">
        <v>103147300</v>
      </c>
      <c r="S7" s="3" t="s">
        <v>75</v>
      </c>
      <c r="T7" s="3" t="s">
        <v>138</v>
      </c>
      <c r="U7" s="3" t="s">
        <v>75</v>
      </c>
      <c r="V7" s="3" t="s">
        <v>139</v>
      </c>
      <c r="W7" s="3" t="s">
        <v>75</v>
      </c>
      <c r="X7" s="3">
        <v>0</v>
      </c>
      <c r="Y7" s="3" t="s">
        <v>78</v>
      </c>
      <c r="Z7" s="3">
        <v>1</v>
      </c>
      <c r="AA7" s="3" t="s">
        <v>140</v>
      </c>
      <c r="AB7" s="3">
        <v>2</v>
      </c>
      <c r="AC7" s="3" t="s">
        <v>141</v>
      </c>
      <c r="AD7" s="3">
        <v>3</v>
      </c>
      <c r="AE7" s="3" t="s">
        <v>81</v>
      </c>
      <c r="AF7" s="2"/>
      <c r="AG7" s="3" t="s">
        <v>75</v>
      </c>
      <c r="AH7" s="3" t="s">
        <v>142</v>
      </c>
      <c r="AI7" s="3" t="s">
        <v>121</v>
      </c>
      <c r="AJ7" s="3" t="s">
        <v>75</v>
      </c>
      <c r="AK7" s="3" t="s">
        <v>75</v>
      </c>
      <c r="AL7" s="3" t="s">
        <v>84</v>
      </c>
    </row>
    <row r="8" spans="1:38" ht="15.75" customHeight="1" x14ac:dyDescent="0.25">
      <c r="A8" s="3" t="b">
        <v>1</v>
      </c>
      <c r="B8" s="3" t="b">
        <v>0</v>
      </c>
      <c r="C8" s="2"/>
      <c r="D8" s="5">
        <v>44014.242210775468</v>
      </c>
      <c r="E8" s="3" t="s">
        <v>67</v>
      </c>
      <c r="F8" s="3" t="s">
        <v>143</v>
      </c>
      <c r="G8" s="3" t="s">
        <v>144</v>
      </c>
      <c r="H8" s="3">
        <v>2020</v>
      </c>
      <c r="I8" s="3" t="s">
        <v>145</v>
      </c>
      <c r="J8" s="2"/>
      <c r="K8" s="3" t="s">
        <v>125</v>
      </c>
      <c r="L8" s="6" t="s">
        <v>72</v>
      </c>
      <c r="M8" s="4" t="s">
        <v>72</v>
      </c>
      <c r="N8" s="3" t="s">
        <v>103</v>
      </c>
      <c r="O8" s="3" t="s">
        <v>74</v>
      </c>
      <c r="P8" s="3">
        <v>693782353</v>
      </c>
      <c r="Q8" s="3" t="s">
        <v>104</v>
      </c>
      <c r="R8" s="3">
        <v>188000000</v>
      </c>
      <c r="S8" s="3" t="s">
        <v>81</v>
      </c>
      <c r="T8" s="2"/>
      <c r="U8" s="3" t="s">
        <v>75</v>
      </c>
      <c r="V8" s="3" t="s">
        <v>146</v>
      </c>
      <c r="W8" s="3" t="s">
        <v>75</v>
      </c>
      <c r="X8" s="3">
        <v>0</v>
      </c>
      <c r="Y8" s="3" t="s">
        <v>78</v>
      </c>
      <c r="Z8" s="3">
        <v>1</v>
      </c>
      <c r="AA8" s="3" t="s">
        <v>147</v>
      </c>
      <c r="AB8" s="3">
        <v>1</v>
      </c>
      <c r="AC8" s="3" t="s">
        <v>148</v>
      </c>
      <c r="AD8" s="3">
        <v>2</v>
      </c>
      <c r="AE8" s="3" t="s">
        <v>81</v>
      </c>
      <c r="AF8" s="2"/>
      <c r="AG8" s="3" t="s">
        <v>81</v>
      </c>
      <c r="AH8" s="2"/>
      <c r="AI8" s="3" t="s">
        <v>121</v>
      </c>
      <c r="AJ8" s="3" t="s">
        <v>75</v>
      </c>
      <c r="AK8" s="3" t="s">
        <v>81</v>
      </c>
      <c r="AL8" s="3" t="s">
        <v>84</v>
      </c>
    </row>
    <row r="9" spans="1:38" ht="15.75" customHeight="1" x14ac:dyDescent="0.25">
      <c r="A9" s="3" t="b">
        <v>1</v>
      </c>
      <c r="B9" s="3" t="b">
        <v>0</v>
      </c>
      <c r="C9" s="2"/>
      <c r="D9" s="5">
        <v>44015.242732118058</v>
      </c>
      <c r="E9" s="3" t="s">
        <v>67</v>
      </c>
      <c r="F9" s="3" t="s">
        <v>149</v>
      </c>
      <c r="G9" s="3" t="s">
        <v>150</v>
      </c>
      <c r="H9" s="3">
        <v>2020</v>
      </c>
      <c r="I9" s="3" t="s">
        <v>151</v>
      </c>
      <c r="J9" s="2"/>
      <c r="K9" s="3" t="s">
        <v>125</v>
      </c>
      <c r="L9" s="6" t="s">
        <v>72</v>
      </c>
      <c r="M9" s="4" t="s">
        <v>72</v>
      </c>
      <c r="N9" s="3" t="s">
        <v>116</v>
      </c>
      <c r="O9" s="3" t="s">
        <v>104</v>
      </c>
      <c r="P9" s="3">
        <v>264000000</v>
      </c>
      <c r="Q9" s="3" t="s">
        <v>104</v>
      </c>
      <c r="R9" s="3">
        <v>264000000</v>
      </c>
      <c r="S9" s="3" t="s">
        <v>81</v>
      </c>
      <c r="T9" s="2"/>
      <c r="U9" s="3" t="s">
        <v>81</v>
      </c>
      <c r="V9" s="2"/>
      <c r="W9" s="3" t="s">
        <v>81</v>
      </c>
      <c r="X9" s="2"/>
      <c r="Y9" s="2"/>
      <c r="Z9" s="2"/>
      <c r="AA9" s="2"/>
      <c r="AB9" s="3" t="s">
        <v>152</v>
      </c>
      <c r="AC9" s="3"/>
      <c r="AD9" s="3"/>
      <c r="AE9" s="3" t="s">
        <v>81</v>
      </c>
      <c r="AF9" s="2"/>
      <c r="AG9" s="3" t="s">
        <v>81</v>
      </c>
      <c r="AH9" s="2"/>
      <c r="AI9" s="3" t="s">
        <v>121</v>
      </c>
      <c r="AJ9" s="3" t="s">
        <v>75</v>
      </c>
      <c r="AK9" s="3" t="s">
        <v>81</v>
      </c>
      <c r="AL9" s="3" t="s">
        <v>84</v>
      </c>
    </row>
    <row r="10" spans="1:38" ht="15.75" customHeight="1" x14ac:dyDescent="0.25">
      <c r="A10" s="3" t="b">
        <v>1</v>
      </c>
      <c r="B10" s="3" t="b">
        <v>0</v>
      </c>
      <c r="C10" s="2"/>
      <c r="D10" s="5">
        <v>44015.266981249995</v>
      </c>
      <c r="E10" s="3" t="s">
        <v>67</v>
      </c>
      <c r="F10" s="3" t="s">
        <v>153</v>
      </c>
      <c r="G10" s="3" t="s">
        <v>154</v>
      </c>
      <c r="H10" s="3">
        <v>2020</v>
      </c>
      <c r="I10" s="3" t="s">
        <v>155</v>
      </c>
      <c r="J10" s="2"/>
      <c r="K10" s="3" t="s">
        <v>125</v>
      </c>
      <c r="L10" s="6" t="s">
        <v>72</v>
      </c>
      <c r="M10" s="4" t="s">
        <v>72</v>
      </c>
      <c r="N10" s="3" t="s">
        <v>103</v>
      </c>
      <c r="O10" s="3" t="s">
        <v>74</v>
      </c>
      <c r="P10" s="3">
        <v>70000000</v>
      </c>
      <c r="Q10" s="3" t="s">
        <v>104</v>
      </c>
      <c r="R10" s="3">
        <v>88000000</v>
      </c>
      <c r="S10" s="3" t="s">
        <v>75</v>
      </c>
      <c r="T10" s="3" t="s">
        <v>156</v>
      </c>
      <c r="U10" s="3" t="s">
        <v>75</v>
      </c>
      <c r="V10" s="3" t="s">
        <v>157</v>
      </c>
      <c r="W10" s="3" t="s">
        <v>75</v>
      </c>
      <c r="X10" s="3">
        <v>0</v>
      </c>
      <c r="Y10" s="3" t="s">
        <v>78</v>
      </c>
      <c r="Z10" s="3">
        <v>0</v>
      </c>
      <c r="AA10" s="3" t="s">
        <v>78</v>
      </c>
      <c r="AB10" s="3">
        <v>2</v>
      </c>
      <c r="AC10" s="3" t="s">
        <v>158</v>
      </c>
      <c r="AD10" s="3">
        <v>2</v>
      </c>
      <c r="AE10" s="3" t="s">
        <v>81</v>
      </c>
      <c r="AF10" s="2"/>
      <c r="AG10" s="3" t="s">
        <v>75</v>
      </c>
      <c r="AH10" s="3" t="s">
        <v>159</v>
      </c>
      <c r="AI10" s="3" t="s">
        <v>160</v>
      </c>
      <c r="AJ10" s="3" t="s">
        <v>75</v>
      </c>
      <c r="AK10" s="3" t="s">
        <v>81</v>
      </c>
      <c r="AL10" s="3" t="s">
        <v>84</v>
      </c>
    </row>
    <row r="11" spans="1:38" ht="15.75" customHeight="1" x14ac:dyDescent="0.25">
      <c r="A11" s="3" t="b">
        <v>1</v>
      </c>
      <c r="B11" s="3" t="b">
        <v>0</v>
      </c>
      <c r="C11" s="2"/>
      <c r="D11" s="5">
        <v>44015.284953761569</v>
      </c>
      <c r="E11" s="3" t="s">
        <v>67</v>
      </c>
      <c r="F11" s="3" t="s">
        <v>161</v>
      </c>
      <c r="G11" s="3" t="s">
        <v>162</v>
      </c>
      <c r="H11" s="3">
        <v>2020</v>
      </c>
      <c r="I11" s="3" t="s">
        <v>163</v>
      </c>
      <c r="J11" s="2"/>
      <c r="K11" s="3" t="s">
        <v>125</v>
      </c>
      <c r="L11" s="6" t="s">
        <v>72</v>
      </c>
      <c r="M11" s="4" t="s">
        <v>72</v>
      </c>
      <c r="N11" s="3" t="s">
        <v>103</v>
      </c>
      <c r="O11" s="3" t="s">
        <v>126</v>
      </c>
      <c r="P11" s="3">
        <v>71200000</v>
      </c>
      <c r="Q11" s="3" t="s">
        <v>126</v>
      </c>
      <c r="R11" s="3">
        <v>10000000</v>
      </c>
      <c r="S11" s="3" t="s">
        <v>75</v>
      </c>
      <c r="T11" s="3" t="s">
        <v>164</v>
      </c>
      <c r="U11" s="3" t="s">
        <v>75</v>
      </c>
      <c r="V11" s="3" t="s">
        <v>165</v>
      </c>
      <c r="W11" s="3" t="s">
        <v>75</v>
      </c>
      <c r="X11" s="3">
        <v>0</v>
      </c>
      <c r="Y11" s="3" t="s">
        <v>78</v>
      </c>
      <c r="Z11" s="3">
        <v>1</v>
      </c>
      <c r="AA11" s="3" t="s">
        <v>166</v>
      </c>
      <c r="AB11" s="3">
        <v>2</v>
      </c>
      <c r="AC11" s="3" t="s">
        <v>167</v>
      </c>
      <c r="AD11" s="3">
        <v>3</v>
      </c>
      <c r="AE11" s="3" t="s">
        <v>81</v>
      </c>
      <c r="AF11" s="2"/>
      <c r="AG11" s="3" t="s">
        <v>75</v>
      </c>
      <c r="AH11" s="3" t="s">
        <v>168</v>
      </c>
      <c r="AI11" s="3" t="s">
        <v>121</v>
      </c>
      <c r="AJ11" s="3" t="s">
        <v>75</v>
      </c>
      <c r="AK11" s="3" t="s">
        <v>81</v>
      </c>
      <c r="AL11" s="3" t="s">
        <v>84</v>
      </c>
    </row>
    <row r="12" spans="1:38" ht="15.75" customHeight="1" x14ac:dyDescent="0.25">
      <c r="A12" s="3" t="b">
        <v>1</v>
      </c>
      <c r="B12" s="3" t="b">
        <v>0</v>
      </c>
      <c r="C12" s="2"/>
      <c r="D12" s="5">
        <v>44018.274236064812</v>
      </c>
      <c r="E12" s="3" t="s">
        <v>169</v>
      </c>
      <c r="F12" s="3" t="s">
        <v>170</v>
      </c>
      <c r="G12" s="3" t="s">
        <v>171</v>
      </c>
      <c r="H12" s="3">
        <v>2020</v>
      </c>
      <c r="I12" s="3" t="s">
        <v>172</v>
      </c>
      <c r="J12" s="2"/>
      <c r="K12" s="3" t="s">
        <v>125</v>
      </c>
      <c r="L12" s="6" t="s">
        <v>72</v>
      </c>
      <c r="M12" s="4" t="s">
        <v>72</v>
      </c>
      <c r="N12" s="3" t="s">
        <v>103</v>
      </c>
      <c r="O12" s="3" t="s">
        <v>104</v>
      </c>
      <c r="P12" s="3">
        <v>499200000</v>
      </c>
      <c r="Q12" s="3" t="s">
        <v>104</v>
      </c>
      <c r="R12" s="3">
        <v>100500000</v>
      </c>
      <c r="S12" s="3" t="s">
        <v>75</v>
      </c>
      <c r="T12" s="3" t="s">
        <v>173</v>
      </c>
      <c r="U12" s="3" t="s">
        <v>75</v>
      </c>
      <c r="V12" s="3" t="s">
        <v>174</v>
      </c>
      <c r="W12" s="3" t="s">
        <v>75</v>
      </c>
      <c r="X12" s="3">
        <v>0</v>
      </c>
      <c r="Y12" s="3" t="s">
        <v>78</v>
      </c>
      <c r="Z12" s="3">
        <v>0</v>
      </c>
      <c r="AA12" s="3" t="s">
        <v>78</v>
      </c>
      <c r="AB12" s="3">
        <v>4</v>
      </c>
      <c r="AC12" s="3" t="s">
        <v>175</v>
      </c>
      <c r="AD12" s="3">
        <v>4</v>
      </c>
      <c r="AE12" s="3" t="s">
        <v>81</v>
      </c>
      <c r="AF12" s="2"/>
      <c r="AG12" s="3" t="s">
        <v>75</v>
      </c>
      <c r="AH12" s="3" t="s">
        <v>176</v>
      </c>
      <c r="AI12" s="3" t="s">
        <v>121</v>
      </c>
      <c r="AJ12" s="3" t="s">
        <v>75</v>
      </c>
      <c r="AK12" s="3" t="s">
        <v>81</v>
      </c>
      <c r="AL12" s="3" t="s">
        <v>84</v>
      </c>
    </row>
    <row r="13" spans="1:38" ht="15.75" customHeight="1" x14ac:dyDescent="0.25">
      <c r="A13" s="3" t="b">
        <v>1</v>
      </c>
      <c r="B13" s="3" t="b">
        <v>0</v>
      </c>
      <c r="C13" s="2"/>
      <c r="D13" s="5">
        <v>44023.913786759258</v>
      </c>
      <c r="E13" s="3" t="s">
        <v>67</v>
      </c>
      <c r="F13" s="3" t="s">
        <v>177</v>
      </c>
      <c r="G13" s="3" t="s">
        <v>178</v>
      </c>
      <c r="H13" s="3">
        <v>2020</v>
      </c>
      <c r="I13" s="3" t="s">
        <v>179</v>
      </c>
      <c r="J13" s="2"/>
      <c r="K13" s="3" t="s">
        <v>114</v>
      </c>
      <c r="L13" s="6" t="s">
        <v>115</v>
      </c>
      <c r="M13" s="4" t="s">
        <v>115</v>
      </c>
      <c r="N13" s="3" t="s">
        <v>180</v>
      </c>
      <c r="O13" s="3" t="s">
        <v>74</v>
      </c>
      <c r="P13" s="3">
        <v>3000000</v>
      </c>
      <c r="Q13" s="3" t="s">
        <v>74</v>
      </c>
      <c r="R13" s="3">
        <v>3000000</v>
      </c>
      <c r="S13" s="3" t="s">
        <v>81</v>
      </c>
      <c r="T13" s="2"/>
      <c r="U13" s="3" t="s">
        <v>81</v>
      </c>
      <c r="V13" s="2"/>
      <c r="W13" s="3" t="s">
        <v>75</v>
      </c>
      <c r="X13" s="3">
        <v>0</v>
      </c>
      <c r="Y13" s="3" t="s">
        <v>78</v>
      </c>
      <c r="Z13" s="3">
        <v>0</v>
      </c>
      <c r="AA13" s="3" t="s">
        <v>78</v>
      </c>
      <c r="AB13" s="3">
        <v>1</v>
      </c>
      <c r="AC13" s="3" t="s">
        <v>181</v>
      </c>
      <c r="AD13" s="3">
        <v>1</v>
      </c>
      <c r="AE13" s="3" t="s">
        <v>81</v>
      </c>
      <c r="AF13" s="2"/>
      <c r="AG13" s="3" t="s">
        <v>81</v>
      </c>
      <c r="AH13" s="2"/>
      <c r="AI13" s="3" t="s">
        <v>121</v>
      </c>
      <c r="AJ13" s="3" t="s">
        <v>75</v>
      </c>
      <c r="AK13" s="3" t="s">
        <v>81</v>
      </c>
      <c r="AL13" s="3" t="s">
        <v>84</v>
      </c>
    </row>
    <row r="14" spans="1:38" ht="15.75" customHeight="1" x14ac:dyDescent="0.25">
      <c r="A14" s="3" t="b">
        <v>1</v>
      </c>
      <c r="B14" s="3" t="b">
        <v>0</v>
      </c>
      <c r="C14" s="2"/>
      <c r="D14" s="5">
        <v>44023.923132592594</v>
      </c>
      <c r="E14" s="3" t="s">
        <v>67</v>
      </c>
      <c r="F14" s="3" t="s">
        <v>182</v>
      </c>
      <c r="G14" s="3" t="s">
        <v>183</v>
      </c>
      <c r="H14" s="3">
        <v>2020</v>
      </c>
      <c r="I14" s="3" t="s">
        <v>184</v>
      </c>
      <c r="J14" s="2"/>
      <c r="K14" s="3" t="s">
        <v>136</v>
      </c>
      <c r="L14" s="6" t="s">
        <v>72</v>
      </c>
      <c r="M14" s="4" t="s">
        <v>72</v>
      </c>
      <c r="N14" s="3" t="s">
        <v>103</v>
      </c>
      <c r="O14" s="3" t="s">
        <v>126</v>
      </c>
      <c r="P14" s="3">
        <v>5188500000</v>
      </c>
      <c r="Q14" s="3" t="s">
        <v>126</v>
      </c>
      <c r="R14" s="3">
        <v>288500000</v>
      </c>
      <c r="S14" s="3" t="s">
        <v>75</v>
      </c>
      <c r="T14" s="3" t="s">
        <v>185</v>
      </c>
      <c r="U14" s="3" t="s">
        <v>75</v>
      </c>
      <c r="V14" s="3" t="s">
        <v>186</v>
      </c>
      <c r="W14" s="3" t="s">
        <v>75</v>
      </c>
      <c r="X14" s="3">
        <v>0</v>
      </c>
      <c r="Y14" s="3" t="s">
        <v>78</v>
      </c>
      <c r="Z14" s="3">
        <v>0</v>
      </c>
      <c r="AA14" s="3" t="s">
        <v>78</v>
      </c>
      <c r="AB14" s="3">
        <v>1</v>
      </c>
      <c r="AC14" s="3" t="s">
        <v>187</v>
      </c>
      <c r="AD14" s="3">
        <v>1</v>
      </c>
      <c r="AE14" s="3" t="s">
        <v>81</v>
      </c>
      <c r="AF14" s="2"/>
      <c r="AG14" s="3" t="s">
        <v>75</v>
      </c>
      <c r="AH14" s="3" t="s">
        <v>188</v>
      </c>
      <c r="AI14" s="3" t="s">
        <v>121</v>
      </c>
      <c r="AJ14" s="3" t="s">
        <v>75</v>
      </c>
      <c r="AK14" s="3" t="s">
        <v>81</v>
      </c>
      <c r="AL14" s="3" t="s">
        <v>84</v>
      </c>
    </row>
    <row r="15" spans="1:38" ht="15.75" customHeight="1" x14ac:dyDescent="0.25">
      <c r="A15" s="3" t="b">
        <v>1</v>
      </c>
      <c r="B15" s="3" t="b">
        <v>0</v>
      </c>
      <c r="C15" s="2"/>
      <c r="D15" s="5">
        <v>44023.927070277779</v>
      </c>
      <c r="E15" s="3" t="s">
        <v>67</v>
      </c>
      <c r="F15" s="3" t="s">
        <v>189</v>
      </c>
      <c r="G15" s="3" t="s">
        <v>144</v>
      </c>
      <c r="H15" s="3">
        <v>2020</v>
      </c>
      <c r="I15" s="3" t="s">
        <v>87</v>
      </c>
      <c r="J15" s="3" t="s">
        <v>190</v>
      </c>
      <c r="K15" s="3" t="s">
        <v>125</v>
      </c>
      <c r="L15" s="6" t="s">
        <v>72</v>
      </c>
      <c r="M15" s="4" t="s">
        <v>72</v>
      </c>
      <c r="N15" s="3" t="s">
        <v>180</v>
      </c>
      <c r="O15" s="3" t="s">
        <v>74</v>
      </c>
      <c r="P15" s="3">
        <v>7000000</v>
      </c>
      <c r="Q15" s="3" t="s">
        <v>74</v>
      </c>
      <c r="R15" s="3">
        <v>7000000</v>
      </c>
      <c r="S15" s="3" t="s">
        <v>81</v>
      </c>
      <c r="T15" s="2"/>
      <c r="U15" s="3" t="s">
        <v>75</v>
      </c>
      <c r="V15" s="3" t="s">
        <v>191</v>
      </c>
      <c r="W15" s="3" t="s">
        <v>81</v>
      </c>
      <c r="X15" s="2"/>
      <c r="Y15" s="2"/>
      <c r="Z15" s="2"/>
      <c r="AA15" s="2"/>
      <c r="AB15" s="2"/>
      <c r="AC15" s="2"/>
      <c r="AD15" s="2"/>
      <c r="AE15" s="3" t="s">
        <v>75</v>
      </c>
      <c r="AF15" s="3" t="s">
        <v>192</v>
      </c>
      <c r="AG15" s="3" t="s">
        <v>81</v>
      </c>
      <c r="AH15" s="2"/>
      <c r="AI15" s="3" t="s">
        <v>121</v>
      </c>
      <c r="AJ15" s="3" t="s">
        <v>75</v>
      </c>
      <c r="AK15" s="3" t="s">
        <v>81</v>
      </c>
      <c r="AL15" s="3" t="s">
        <v>84</v>
      </c>
    </row>
    <row r="16" spans="1:38" ht="15.75" customHeight="1" x14ac:dyDescent="0.25">
      <c r="A16" s="3" t="b">
        <v>1</v>
      </c>
      <c r="B16" s="3" t="b">
        <v>0</v>
      </c>
      <c r="C16" s="2"/>
      <c r="D16" s="5">
        <v>44023.934801157404</v>
      </c>
      <c r="E16" s="3" t="s">
        <v>67</v>
      </c>
      <c r="F16" s="3" t="s">
        <v>193</v>
      </c>
      <c r="G16" s="3" t="s">
        <v>194</v>
      </c>
      <c r="H16" s="3">
        <v>2020</v>
      </c>
      <c r="I16" s="3" t="s">
        <v>195</v>
      </c>
      <c r="J16" s="2"/>
      <c r="K16" s="3" t="s">
        <v>125</v>
      </c>
      <c r="L16" s="6" t="s">
        <v>72</v>
      </c>
      <c r="M16" s="4" t="s">
        <v>72</v>
      </c>
      <c r="N16" s="3" t="s">
        <v>73</v>
      </c>
      <c r="O16" s="3" t="s">
        <v>74</v>
      </c>
      <c r="P16" s="3">
        <v>1056940000</v>
      </c>
      <c r="Q16" s="3" t="s">
        <v>74</v>
      </c>
      <c r="R16" s="3">
        <v>120000000</v>
      </c>
      <c r="S16" s="3" t="s">
        <v>75</v>
      </c>
      <c r="T16" s="3" t="s">
        <v>196</v>
      </c>
      <c r="U16" s="3" t="s">
        <v>75</v>
      </c>
      <c r="V16" s="3" t="s">
        <v>197</v>
      </c>
      <c r="W16" s="3" t="s">
        <v>75</v>
      </c>
      <c r="X16" s="3">
        <v>0</v>
      </c>
      <c r="Y16" s="3" t="s">
        <v>78</v>
      </c>
      <c r="Z16" s="3">
        <v>1</v>
      </c>
      <c r="AA16" s="7" t="s">
        <v>458</v>
      </c>
      <c r="AB16" s="3">
        <v>1</v>
      </c>
      <c r="AC16" s="3" t="s">
        <v>198</v>
      </c>
      <c r="AD16" s="3">
        <v>2</v>
      </c>
      <c r="AE16" s="3" t="s">
        <v>81</v>
      </c>
      <c r="AF16" s="2"/>
      <c r="AG16" s="3" t="s">
        <v>75</v>
      </c>
      <c r="AH16" s="3" t="s">
        <v>199</v>
      </c>
      <c r="AI16" s="3" t="s">
        <v>121</v>
      </c>
      <c r="AJ16" s="3" t="s">
        <v>75</v>
      </c>
      <c r="AK16" s="3" t="s">
        <v>75</v>
      </c>
      <c r="AL16" s="3" t="s">
        <v>84</v>
      </c>
    </row>
    <row r="17" spans="1:38" ht="15.75" customHeight="1" x14ac:dyDescent="0.25">
      <c r="A17" s="3" t="b">
        <v>1</v>
      </c>
      <c r="B17" s="3" t="b">
        <v>0</v>
      </c>
      <c r="C17" s="2"/>
      <c r="D17" s="5">
        <v>44023.942240960649</v>
      </c>
      <c r="E17" s="3" t="s">
        <v>67</v>
      </c>
      <c r="F17" s="3" t="s">
        <v>200</v>
      </c>
      <c r="G17" s="3" t="s">
        <v>201</v>
      </c>
      <c r="H17" s="3">
        <v>2020</v>
      </c>
      <c r="I17" s="3" t="s">
        <v>99</v>
      </c>
      <c r="J17" s="2"/>
      <c r="K17" s="3" t="s">
        <v>125</v>
      </c>
      <c r="L17" s="6" t="s">
        <v>72</v>
      </c>
      <c r="M17" s="4" t="s">
        <v>72</v>
      </c>
      <c r="N17" s="3" t="s">
        <v>103</v>
      </c>
      <c r="O17" s="3" t="s">
        <v>74</v>
      </c>
      <c r="P17" s="3">
        <v>24000000</v>
      </c>
      <c r="Q17" s="3" t="s">
        <v>104</v>
      </c>
      <c r="R17" s="3">
        <v>30000000</v>
      </c>
      <c r="S17" s="3" t="s">
        <v>75</v>
      </c>
      <c r="T17" s="3" t="s">
        <v>202</v>
      </c>
      <c r="U17" s="3" t="s">
        <v>75</v>
      </c>
      <c r="V17" s="3" t="s">
        <v>203</v>
      </c>
      <c r="W17" s="3" t="s">
        <v>75</v>
      </c>
      <c r="X17" s="3">
        <v>0</v>
      </c>
      <c r="Y17" s="3" t="s">
        <v>78</v>
      </c>
      <c r="Z17" s="3">
        <v>0</v>
      </c>
      <c r="AA17" s="3" t="s">
        <v>78</v>
      </c>
      <c r="AB17" s="3">
        <v>1</v>
      </c>
      <c r="AC17" s="3" t="s">
        <v>204</v>
      </c>
      <c r="AD17" s="3">
        <v>1</v>
      </c>
      <c r="AE17" s="3" t="s">
        <v>81</v>
      </c>
      <c r="AF17" s="2"/>
      <c r="AG17" s="3" t="s">
        <v>75</v>
      </c>
      <c r="AH17" s="3" t="s">
        <v>205</v>
      </c>
      <c r="AI17" s="3" t="s">
        <v>121</v>
      </c>
      <c r="AJ17" s="3" t="s">
        <v>75</v>
      </c>
      <c r="AK17" s="3" t="s">
        <v>81</v>
      </c>
      <c r="AL17" s="3" t="s">
        <v>84</v>
      </c>
    </row>
    <row r="18" spans="1:38" ht="15.75" customHeight="1" x14ac:dyDescent="0.25">
      <c r="A18" s="3" t="b">
        <v>1</v>
      </c>
      <c r="B18" s="3" t="b">
        <v>0</v>
      </c>
      <c r="C18" s="2"/>
      <c r="D18" s="5">
        <v>44023.95143105324</v>
      </c>
      <c r="E18" s="3" t="s">
        <v>67</v>
      </c>
      <c r="F18" s="3" t="s">
        <v>206</v>
      </c>
      <c r="G18" s="3" t="s">
        <v>207</v>
      </c>
      <c r="H18" s="3">
        <v>2020</v>
      </c>
      <c r="I18" s="3" t="s">
        <v>208</v>
      </c>
      <c r="J18" s="2"/>
      <c r="K18" s="3" t="s">
        <v>125</v>
      </c>
      <c r="L18" s="6" t="s">
        <v>72</v>
      </c>
      <c r="M18" s="4" t="s">
        <v>72</v>
      </c>
      <c r="N18" s="3" t="s">
        <v>103</v>
      </c>
      <c r="O18" s="3" t="s">
        <v>104</v>
      </c>
      <c r="P18" s="3">
        <v>448800000</v>
      </c>
      <c r="Q18" s="3" t="s">
        <v>104</v>
      </c>
      <c r="R18" s="3">
        <v>124000000</v>
      </c>
      <c r="S18" s="3" t="s">
        <v>75</v>
      </c>
      <c r="T18" s="3" t="s">
        <v>209</v>
      </c>
      <c r="U18" s="3" t="s">
        <v>75</v>
      </c>
      <c r="V18" s="3" t="s">
        <v>210</v>
      </c>
      <c r="W18" s="3" t="s">
        <v>75</v>
      </c>
      <c r="X18" s="3">
        <v>0</v>
      </c>
      <c r="Y18" s="3" t="s">
        <v>78</v>
      </c>
      <c r="Z18" s="3">
        <v>0</v>
      </c>
      <c r="AA18" s="3" t="s">
        <v>78</v>
      </c>
      <c r="AB18" s="3">
        <v>3</v>
      </c>
      <c r="AC18" s="3" t="s">
        <v>211</v>
      </c>
      <c r="AD18" s="3">
        <v>3</v>
      </c>
      <c r="AE18" s="3" t="s">
        <v>81</v>
      </c>
      <c r="AF18" s="2"/>
      <c r="AG18" s="3" t="s">
        <v>75</v>
      </c>
      <c r="AH18" s="3" t="s">
        <v>212</v>
      </c>
      <c r="AI18" s="3" t="s">
        <v>121</v>
      </c>
      <c r="AJ18" s="3" t="s">
        <v>75</v>
      </c>
      <c r="AK18" s="3" t="s">
        <v>81</v>
      </c>
      <c r="AL18" s="3" t="s">
        <v>84</v>
      </c>
    </row>
    <row r="19" spans="1:38" ht="15.75" customHeight="1" x14ac:dyDescent="0.25">
      <c r="A19" s="3" t="b">
        <v>1</v>
      </c>
      <c r="B19" s="3" t="b">
        <v>0</v>
      </c>
      <c r="C19" s="2"/>
      <c r="D19" s="5">
        <v>44028.213418310188</v>
      </c>
      <c r="E19" s="3" t="s">
        <v>67</v>
      </c>
      <c r="F19" s="3" t="s">
        <v>213</v>
      </c>
      <c r="G19" s="3" t="s">
        <v>214</v>
      </c>
      <c r="H19" s="3">
        <v>2020</v>
      </c>
      <c r="I19" s="3" t="s">
        <v>87</v>
      </c>
      <c r="J19" s="3" t="s">
        <v>215</v>
      </c>
      <c r="K19" s="3" t="s">
        <v>216</v>
      </c>
      <c r="L19" s="6" t="s">
        <v>101</v>
      </c>
      <c r="M19" s="4" t="s">
        <v>102</v>
      </c>
      <c r="N19" s="3" t="s">
        <v>180</v>
      </c>
      <c r="O19" s="3" t="s">
        <v>74</v>
      </c>
      <c r="P19" s="3">
        <v>850000</v>
      </c>
      <c r="Q19" s="3" t="s">
        <v>74</v>
      </c>
      <c r="R19" s="3">
        <v>850000</v>
      </c>
      <c r="S19" s="3" t="s">
        <v>81</v>
      </c>
      <c r="T19" s="2"/>
      <c r="U19" s="3" t="s">
        <v>81</v>
      </c>
      <c r="V19" s="2"/>
      <c r="W19" s="3" t="s">
        <v>81</v>
      </c>
      <c r="X19" s="2"/>
      <c r="Y19" s="2"/>
      <c r="Z19" s="2"/>
      <c r="AA19" s="2"/>
      <c r="AB19" s="2"/>
      <c r="AC19" s="2"/>
      <c r="AD19" s="2"/>
      <c r="AE19" s="3" t="s">
        <v>81</v>
      </c>
      <c r="AF19" s="2"/>
      <c r="AG19" s="3" t="s">
        <v>81</v>
      </c>
      <c r="AI19" s="3" t="s">
        <v>217</v>
      </c>
      <c r="AJ19" s="3" t="s">
        <v>75</v>
      </c>
      <c r="AK19" s="3" t="s">
        <v>81</v>
      </c>
      <c r="AL19" s="3" t="s">
        <v>110</v>
      </c>
    </row>
    <row r="20" spans="1:38" ht="15.75" customHeight="1" x14ac:dyDescent="0.25">
      <c r="A20" s="6" t="b">
        <v>1</v>
      </c>
      <c r="B20" s="3" t="b">
        <v>0</v>
      </c>
      <c r="C20" s="6"/>
      <c r="D20" s="8">
        <v>44034.350621180551</v>
      </c>
      <c r="E20" s="6" t="s">
        <v>67</v>
      </c>
      <c r="F20" s="6" t="s">
        <v>218</v>
      </c>
      <c r="G20" s="6" t="s">
        <v>219</v>
      </c>
      <c r="H20" s="6">
        <v>2020</v>
      </c>
      <c r="I20" s="6" t="s">
        <v>87</v>
      </c>
      <c r="J20" s="6" t="s">
        <v>220</v>
      </c>
      <c r="K20" s="6" t="s">
        <v>89</v>
      </c>
      <c r="L20" s="6" t="s">
        <v>72</v>
      </c>
      <c r="M20" s="4" t="s">
        <v>72</v>
      </c>
      <c r="N20" s="6" t="s">
        <v>221</v>
      </c>
      <c r="O20" s="6" t="s">
        <v>126</v>
      </c>
      <c r="P20" s="6">
        <v>2000000</v>
      </c>
      <c r="Q20" s="6" t="s">
        <v>126</v>
      </c>
      <c r="R20" s="6">
        <v>2000000</v>
      </c>
      <c r="S20" s="6" t="s">
        <v>81</v>
      </c>
      <c r="T20" s="6"/>
      <c r="U20" s="6" t="s">
        <v>81</v>
      </c>
      <c r="V20" s="6"/>
      <c r="W20" s="6" t="s">
        <v>81</v>
      </c>
      <c r="X20" s="6"/>
      <c r="Y20" s="6"/>
      <c r="Z20" s="6"/>
      <c r="AA20" s="6"/>
      <c r="AB20" s="6"/>
      <c r="AC20" s="6"/>
      <c r="AD20" s="6"/>
      <c r="AE20" s="6" t="s">
        <v>81</v>
      </c>
      <c r="AF20" s="6"/>
      <c r="AG20" s="6" t="s">
        <v>81</v>
      </c>
      <c r="AI20" s="6" t="s">
        <v>217</v>
      </c>
      <c r="AJ20" s="6" t="s">
        <v>81</v>
      </c>
      <c r="AK20" s="6" t="s">
        <v>81</v>
      </c>
      <c r="AL20" s="6" t="s">
        <v>222</v>
      </c>
    </row>
    <row r="21" spans="1:38" ht="15.75" customHeight="1" x14ac:dyDescent="0.25">
      <c r="A21" s="6" t="b">
        <v>1</v>
      </c>
      <c r="B21" s="3" t="b">
        <v>0</v>
      </c>
      <c r="C21" s="6"/>
      <c r="D21" s="8">
        <v>44034.356119942131</v>
      </c>
      <c r="E21" s="6" t="s">
        <v>223</v>
      </c>
      <c r="F21" s="6" t="s">
        <v>224</v>
      </c>
      <c r="G21" s="6" t="s">
        <v>225</v>
      </c>
      <c r="H21" s="6">
        <v>2020</v>
      </c>
      <c r="I21" s="6" t="s">
        <v>226</v>
      </c>
      <c r="J21" s="6"/>
      <c r="K21" s="6" t="s">
        <v>227</v>
      </c>
      <c r="L21" s="6" t="s">
        <v>228</v>
      </c>
      <c r="M21" s="4" t="s">
        <v>228</v>
      </c>
      <c r="N21" s="6" t="s">
        <v>221</v>
      </c>
      <c r="O21" s="6" t="s">
        <v>126</v>
      </c>
      <c r="P21" s="6">
        <v>1000000</v>
      </c>
      <c r="Q21" s="6" t="s">
        <v>126</v>
      </c>
      <c r="R21" s="6">
        <v>1000000</v>
      </c>
      <c r="S21" s="6" t="s">
        <v>75</v>
      </c>
      <c r="T21" s="6" t="s">
        <v>229</v>
      </c>
      <c r="U21" s="6" t="s">
        <v>75</v>
      </c>
      <c r="V21" s="6" t="s">
        <v>230</v>
      </c>
      <c r="W21" s="6" t="s">
        <v>75</v>
      </c>
      <c r="X21" s="6">
        <v>0</v>
      </c>
      <c r="Y21" s="6"/>
      <c r="Z21" s="6">
        <v>1</v>
      </c>
      <c r="AA21" s="6" t="s">
        <v>231</v>
      </c>
      <c r="AB21" s="6">
        <v>1</v>
      </c>
      <c r="AC21" s="6" t="s">
        <v>232</v>
      </c>
      <c r="AD21" s="6">
        <v>2</v>
      </c>
      <c r="AE21" s="6" t="s">
        <v>81</v>
      </c>
      <c r="AF21" s="6"/>
      <c r="AG21" s="6" t="s">
        <v>75</v>
      </c>
      <c r="AH21" s="6" t="s">
        <v>233</v>
      </c>
      <c r="AI21" s="6" t="s">
        <v>160</v>
      </c>
      <c r="AJ21" s="6" t="s">
        <v>75</v>
      </c>
      <c r="AK21" s="6" t="s">
        <v>81</v>
      </c>
      <c r="AL21" s="6" t="s">
        <v>222</v>
      </c>
    </row>
    <row r="22" spans="1:38" ht="15.75" customHeight="1" x14ac:dyDescent="0.25">
      <c r="A22" s="3" t="b">
        <v>1</v>
      </c>
      <c r="B22" s="3" t="b">
        <v>0</v>
      </c>
      <c r="C22" s="2"/>
      <c r="D22" s="5">
        <v>44034.358830300931</v>
      </c>
      <c r="E22" s="3" t="s">
        <v>67</v>
      </c>
      <c r="F22" s="3" t="s">
        <v>234</v>
      </c>
      <c r="G22" s="3" t="s">
        <v>235</v>
      </c>
      <c r="H22" s="3">
        <v>2020</v>
      </c>
      <c r="I22" s="3" t="s">
        <v>87</v>
      </c>
      <c r="J22" s="3" t="s">
        <v>236</v>
      </c>
      <c r="K22" s="3" t="s">
        <v>100</v>
      </c>
      <c r="L22" s="6" t="s">
        <v>101</v>
      </c>
      <c r="M22" s="4" t="s">
        <v>102</v>
      </c>
      <c r="N22" s="3" t="s">
        <v>73</v>
      </c>
      <c r="O22" s="3" t="s">
        <v>126</v>
      </c>
      <c r="P22" s="3">
        <v>3400000</v>
      </c>
      <c r="Q22" s="3" t="s">
        <v>74</v>
      </c>
      <c r="R22" s="3">
        <v>863000</v>
      </c>
      <c r="S22" s="3" t="s">
        <v>81</v>
      </c>
      <c r="T22" s="2"/>
      <c r="U22" s="3" t="s">
        <v>81</v>
      </c>
      <c r="V22" s="2"/>
      <c r="W22" s="3" t="s">
        <v>81</v>
      </c>
      <c r="X22" s="2"/>
      <c r="Y22" s="2"/>
      <c r="Z22" s="2"/>
      <c r="AA22" s="2"/>
      <c r="AB22" s="2"/>
      <c r="AC22" s="2"/>
      <c r="AD22" s="2"/>
      <c r="AE22" s="3" t="s">
        <v>81</v>
      </c>
      <c r="AF22" s="2"/>
      <c r="AG22" s="3" t="s">
        <v>81</v>
      </c>
      <c r="AH22" s="2"/>
      <c r="AI22" s="3" t="s">
        <v>217</v>
      </c>
      <c r="AJ22" s="3" t="s">
        <v>81</v>
      </c>
      <c r="AK22" s="3" t="s">
        <v>81</v>
      </c>
      <c r="AL22" s="3" t="s">
        <v>110</v>
      </c>
    </row>
    <row r="23" spans="1:38" ht="15.75" customHeight="1" x14ac:dyDescent="0.25">
      <c r="A23" s="3" t="b">
        <v>1</v>
      </c>
      <c r="B23" s="3" t="b">
        <v>0</v>
      </c>
      <c r="C23" s="2"/>
      <c r="D23" s="5">
        <v>44034.361906087965</v>
      </c>
      <c r="E23" s="3" t="s">
        <v>67</v>
      </c>
      <c r="F23" s="3" t="s">
        <v>237</v>
      </c>
      <c r="G23" s="3" t="s">
        <v>238</v>
      </c>
      <c r="H23" s="3">
        <v>2020</v>
      </c>
      <c r="I23" s="3" t="s">
        <v>87</v>
      </c>
      <c r="J23" s="3" t="s">
        <v>239</v>
      </c>
      <c r="K23" s="3" t="s">
        <v>89</v>
      </c>
      <c r="L23" s="6" t="s">
        <v>72</v>
      </c>
      <c r="M23" s="4" t="s">
        <v>72</v>
      </c>
      <c r="N23" s="3" t="s">
        <v>180</v>
      </c>
      <c r="O23" s="3" t="s">
        <v>74</v>
      </c>
      <c r="P23" s="3">
        <v>7000000</v>
      </c>
      <c r="Q23" s="3" t="s">
        <v>74</v>
      </c>
      <c r="R23" s="3">
        <v>7000000</v>
      </c>
      <c r="S23" s="3" t="s">
        <v>81</v>
      </c>
      <c r="T23" s="2"/>
      <c r="U23" s="3" t="s">
        <v>75</v>
      </c>
      <c r="V23" s="3" t="s">
        <v>240</v>
      </c>
      <c r="W23" s="3" t="s">
        <v>81</v>
      </c>
      <c r="X23" s="2"/>
      <c r="Y23" s="2"/>
      <c r="Z23" s="2"/>
      <c r="AA23" s="2"/>
      <c r="AB23" s="2"/>
      <c r="AC23" s="2"/>
      <c r="AD23" s="2"/>
      <c r="AE23" s="3" t="s">
        <v>81</v>
      </c>
      <c r="AF23" s="2"/>
      <c r="AG23" s="3" t="s">
        <v>81</v>
      </c>
      <c r="AH23" s="2"/>
      <c r="AI23" s="3" t="s">
        <v>217</v>
      </c>
      <c r="AJ23" s="3" t="s">
        <v>81</v>
      </c>
      <c r="AK23" s="3" t="s">
        <v>81</v>
      </c>
      <c r="AL23" s="3" t="s">
        <v>84</v>
      </c>
    </row>
    <row r="24" spans="1:38" ht="15.75" customHeight="1" x14ac:dyDescent="0.25">
      <c r="A24" s="3" t="b">
        <v>1</v>
      </c>
      <c r="B24" s="3" t="b">
        <v>0</v>
      </c>
      <c r="C24" s="2"/>
      <c r="D24" s="5">
        <v>44035.203303402777</v>
      </c>
      <c r="E24" s="3" t="s">
        <v>67</v>
      </c>
      <c r="F24" s="3" t="s">
        <v>241</v>
      </c>
      <c r="G24" s="3" t="s">
        <v>242</v>
      </c>
      <c r="H24" s="3">
        <v>2020</v>
      </c>
      <c r="I24" s="3" t="s">
        <v>87</v>
      </c>
      <c r="J24" s="3" t="s">
        <v>243</v>
      </c>
      <c r="K24" s="3" t="s">
        <v>89</v>
      </c>
      <c r="L24" s="6" t="s">
        <v>72</v>
      </c>
      <c r="M24" s="4" t="s">
        <v>72</v>
      </c>
      <c r="N24" s="3" t="s">
        <v>180</v>
      </c>
      <c r="O24" s="3" t="s">
        <v>74</v>
      </c>
      <c r="P24" s="3">
        <v>16400000</v>
      </c>
      <c r="Q24" s="3" t="s">
        <v>74</v>
      </c>
      <c r="R24" s="3">
        <v>16400000</v>
      </c>
      <c r="S24" s="3" t="s">
        <v>81</v>
      </c>
      <c r="T24" s="2"/>
      <c r="U24" s="3" t="s">
        <v>81</v>
      </c>
      <c r="V24" s="2"/>
      <c r="W24" s="3" t="s">
        <v>81</v>
      </c>
      <c r="X24" s="2"/>
      <c r="Y24" s="2"/>
      <c r="Z24" s="2"/>
      <c r="AA24" s="2"/>
      <c r="AB24" s="2"/>
      <c r="AC24" s="2"/>
      <c r="AD24" s="2"/>
      <c r="AE24" s="3" t="s">
        <v>81</v>
      </c>
      <c r="AF24" s="2"/>
      <c r="AG24" s="3" t="s">
        <v>81</v>
      </c>
      <c r="AH24" s="2"/>
      <c r="AI24" s="3" t="s">
        <v>121</v>
      </c>
      <c r="AJ24" s="3" t="s">
        <v>75</v>
      </c>
      <c r="AK24" s="3" t="s">
        <v>81</v>
      </c>
      <c r="AL24" s="3" t="s">
        <v>84</v>
      </c>
    </row>
    <row r="25" spans="1:38" ht="15.75" customHeight="1" x14ac:dyDescent="0.25">
      <c r="A25" s="3" t="b">
        <v>1</v>
      </c>
      <c r="B25" s="3" t="b">
        <v>0</v>
      </c>
      <c r="C25" s="2"/>
      <c r="D25" s="5">
        <v>44035.215353298612</v>
      </c>
      <c r="E25" s="3" t="s">
        <v>67</v>
      </c>
      <c r="F25" s="3" t="s">
        <v>244</v>
      </c>
      <c r="G25" s="3" t="s">
        <v>245</v>
      </c>
      <c r="H25" s="3">
        <v>2020</v>
      </c>
      <c r="I25" s="3" t="s">
        <v>87</v>
      </c>
      <c r="J25" s="3" t="s">
        <v>246</v>
      </c>
      <c r="K25" s="3" t="s">
        <v>71</v>
      </c>
      <c r="L25" s="6" t="s">
        <v>72</v>
      </c>
      <c r="M25" s="4" t="s">
        <v>72</v>
      </c>
      <c r="N25" s="3" t="s">
        <v>180</v>
      </c>
      <c r="O25" s="3" t="s">
        <v>74</v>
      </c>
      <c r="P25" s="3">
        <v>9970000</v>
      </c>
      <c r="Q25" s="3" t="s">
        <v>74</v>
      </c>
      <c r="R25" s="3">
        <v>9970000</v>
      </c>
      <c r="S25" s="3" t="s">
        <v>75</v>
      </c>
      <c r="T25" s="3" t="s">
        <v>247</v>
      </c>
      <c r="U25" s="3" t="s">
        <v>75</v>
      </c>
      <c r="V25" s="3" t="s">
        <v>248</v>
      </c>
      <c r="W25" s="3" t="s">
        <v>75</v>
      </c>
      <c r="X25" s="3">
        <v>0</v>
      </c>
      <c r="Y25" s="3" t="s">
        <v>78</v>
      </c>
      <c r="Z25" s="3">
        <v>0</v>
      </c>
      <c r="AA25" s="3" t="s">
        <v>78</v>
      </c>
      <c r="AB25" s="3">
        <v>2</v>
      </c>
      <c r="AC25" s="3" t="s">
        <v>249</v>
      </c>
      <c r="AD25" s="3">
        <v>2</v>
      </c>
      <c r="AE25" s="3" t="s">
        <v>75</v>
      </c>
      <c r="AF25" s="3" t="s">
        <v>250</v>
      </c>
      <c r="AG25" s="3" t="s">
        <v>75</v>
      </c>
      <c r="AH25" s="3" t="s">
        <v>251</v>
      </c>
      <c r="AI25" s="3" t="s">
        <v>121</v>
      </c>
      <c r="AJ25" s="3" t="s">
        <v>75</v>
      </c>
      <c r="AK25" s="3" t="s">
        <v>81</v>
      </c>
      <c r="AL25" s="3" t="s">
        <v>84</v>
      </c>
    </row>
    <row r="26" spans="1:38" ht="15" x14ac:dyDescent="0.25">
      <c r="A26" s="3" t="b">
        <v>1</v>
      </c>
      <c r="B26" s="3" t="b">
        <v>0</v>
      </c>
      <c r="C26" s="2"/>
      <c r="D26" s="5">
        <v>44487.914182071763</v>
      </c>
      <c r="E26" s="3" t="s">
        <v>67</v>
      </c>
      <c r="F26" s="3" t="s">
        <v>252</v>
      </c>
      <c r="G26" s="3" t="s">
        <v>253</v>
      </c>
      <c r="H26" s="3">
        <v>2020</v>
      </c>
      <c r="I26" s="3" t="s">
        <v>254</v>
      </c>
      <c r="J26" s="2"/>
      <c r="K26" s="3" t="s">
        <v>255</v>
      </c>
      <c r="L26" s="3" t="s">
        <v>256</v>
      </c>
      <c r="M26" s="2"/>
      <c r="N26" s="3" t="s">
        <v>116</v>
      </c>
      <c r="O26" s="3" t="s">
        <v>104</v>
      </c>
      <c r="P26" s="6">
        <v>124190000</v>
      </c>
      <c r="Q26" s="3" t="s">
        <v>104</v>
      </c>
      <c r="R26" s="6">
        <v>121502000</v>
      </c>
      <c r="S26" s="3" t="s">
        <v>75</v>
      </c>
      <c r="T26" s="3" t="s">
        <v>257</v>
      </c>
      <c r="U26" s="3" t="s">
        <v>75</v>
      </c>
      <c r="V26" s="3" t="s">
        <v>258</v>
      </c>
      <c r="W26" s="3" t="s">
        <v>75</v>
      </c>
      <c r="X26" s="3">
        <v>0</v>
      </c>
      <c r="Y26" s="3" t="s">
        <v>78</v>
      </c>
      <c r="Z26" s="3">
        <v>3</v>
      </c>
      <c r="AA26" s="3" t="s">
        <v>259</v>
      </c>
      <c r="AB26" s="3">
        <v>0</v>
      </c>
      <c r="AC26" s="3" t="s">
        <v>78</v>
      </c>
      <c r="AD26" s="3">
        <v>4</v>
      </c>
      <c r="AE26" s="3" t="s">
        <v>75</v>
      </c>
      <c r="AF26" s="3" t="s">
        <v>260</v>
      </c>
      <c r="AG26" s="3" t="s">
        <v>75</v>
      </c>
      <c r="AH26" s="3" t="s">
        <v>261</v>
      </c>
      <c r="AI26" s="3" t="s">
        <v>132</v>
      </c>
      <c r="AJ26" s="3" t="s">
        <v>75</v>
      </c>
      <c r="AK26" s="3" t="s">
        <v>75</v>
      </c>
      <c r="AL26" s="3" t="s">
        <v>110</v>
      </c>
    </row>
    <row r="27" spans="1:38" ht="15" x14ac:dyDescent="0.25">
      <c r="A27" s="3" t="b">
        <v>1</v>
      </c>
      <c r="B27" s="3" t="b">
        <v>0</v>
      </c>
      <c r="C27" s="2"/>
      <c r="D27" s="5">
        <v>44487.921592094906</v>
      </c>
      <c r="E27" s="3" t="s">
        <v>67</v>
      </c>
      <c r="F27" s="3" t="s">
        <v>262</v>
      </c>
      <c r="G27" s="3" t="s">
        <v>263</v>
      </c>
      <c r="H27" s="3">
        <v>2020</v>
      </c>
      <c r="I27" s="3" t="s">
        <v>135</v>
      </c>
      <c r="J27" s="2"/>
      <c r="K27" s="3" t="s">
        <v>264</v>
      </c>
      <c r="L27" s="3" t="s">
        <v>228</v>
      </c>
      <c r="M27" s="2"/>
      <c r="N27" s="3" t="s">
        <v>73</v>
      </c>
      <c r="O27" s="3" t="s">
        <v>74</v>
      </c>
      <c r="P27" s="6">
        <v>11970000</v>
      </c>
      <c r="Q27" s="3" t="s">
        <v>74</v>
      </c>
      <c r="R27" s="6">
        <v>2000000</v>
      </c>
      <c r="S27" s="3" t="s">
        <v>75</v>
      </c>
      <c r="T27" s="3" t="s">
        <v>265</v>
      </c>
      <c r="U27" s="3" t="s">
        <v>75</v>
      </c>
      <c r="V27" s="3" t="s">
        <v>266</v>
      </c>
      <c r="W27" s="3" t="s">
        <v>75</v>
      </c>
      <c r="X27" s="3">
        <v>2</v>
      </c>
      <c r="Y27" s="3" t="s">
        <v>267</v>
      </c>
      <c r="Z27" s="3">
        <v>2</v>
      </c>
      <c r="AA27" s="3" t="s">
        <v>268</v>
      </c>
      <c r="AB27" s="3">
        <v>2</v>
      </c>
      <c r="AC27" s="3" t="s">
        <v>269</v>
      </c>
      <c r="AD27" s="3">
        <v>6</v>
      </c>
      <c r="AE27" s="3" t="s">
        <v>81</v>
      </c>
      <c r="AF27" s="2"/>
      <c r="AG27" s="3" t="s">
        <v>75</v>
      </c>
      <c r="AH27" s="3" t="s">
        <v>270</v>
      </c>
      <c r="AI27" s="3" t="s">
        <v>121</v>
      </c>
      <c r="AJ27" s="3" t="s">
        <v>75</v>
      </c>
      <c r="AK27" s="3" t="s">
        <v>75</v>
      </c>
      <c r="AL27" s="3" t="s">
        <v>110</v>
      </c>
    </row>
    <row r="28" spans="1:38" ht="15" x14ac:dyDescent="0.25">
      <c r="A28" s="3" t="b">
        <v>1</v>
      </c>
      <c r="B28" s="3" t="b">
        <v>0</v>
      </c>
      <c r="C28" s="2"/>
      <c r="D28" s="5">
        <v>44487.926475092594</v>
      </c>
      <c r="E28" s="3" t="s">
        <v>67</v>
      </c>
      <c r="F28" s="3" t="s">
        <v>271</v>
      </c>
      <c r="G28" s="3" t="s">
        <v>272</v>
      </c>
      <c r="H28" s="3">
        <v>2020</v>
      </c>
      <c r="I28" s="3" t="s">
        <v>273</v>
      </c>
      <c r="J28" s="2"/>
      <c r="K28" s="3" t="s">
        <v>264</v>
      </c>
      <c r="L28" s="3" t="s">
        <v>228</v>
      </c>
      <c r="M28" s="2"/>
      <c r="N28" s="3" t="s">
        <v>73</v>
      </c>
      <c r="O28" s="3" t="s">
        <v>74</v>
      </c>
      <c r="P28" s="6">
        <v>4325000</v>
      </c>
      <c r="Q28" s="3" t="s">
        <v>74</v>
      </c>
      <c r="R28" s="6">
        <v>1500000</v>
      </c>
      <c r="S28" s="3" t="s">
        <v>75</v>
      </c>
      <c r="T28" s="3" t="s">
        <v>274</v>
      </c>
      <c r="U28" s="3" t="s">
        <v>75</v>
      </c>
      <c r="V28" s="9" t="s">
        <v>275</v>
      </c>
      <c r="W28" s="3" t="s">
        <v>75</v>
      </c>
      <c r="X28" s="3">
        <v>0</v>
      </c>
      <c r="Y28" s="3" t="s">
        <v>78</v>
      </c>
      <c r="Z28" s="3">
        <v>1</v>
      </c>
      <c r="AA28" s="3" t="s">
        <v>276</v>
      </c>
      <c r="AB28" s="3">
        <v>2</v>
      </c>
      <c r="AC28" s="3" t="s">
        <v>277</v>
      </c>
      <c r="AD28" s="3">
        <v>3</v>
      </c>
      <c r="AE28" s="3" t="s">
        <v>75</v>
      </c>
      <c r="AF28" s="3" t="s">
        <v>278</v>
      </c>
      <c r="AG28" s="3" t="s">
        <v>75</v>
      </c>
      <c r="AH28" s="3" t="s">
        <v>279</v>
      </c>
      <c r="AI28" s="3" t="s">
        <v>121</v>
      </c>
      <c r="AJ28" s="3" t="s">
        <v>75</v>
      </c>
      <c r="AK28" s="3" t="s">
        <v>81</v>
      </c>
      <c r="AL28" s="3" t="s">
        <v>110</v>
      </c>
    </row>
    <row r="29" spans="1:38" ht="15" x14ac:dyDescent="0.25">
      <c r="A29" s="3" t="b">
        <v>1</v>
      </c>
      <c r="B29" s="3" t="b">
        <v>0</v>
      </c>
      <c r="C29" s="2"/>
      <c r="D29" s="5">
        <v>44487.93486040509</v>
      </c>
      <c r="E29" s="3" t="s">
        <v>67</v>
      </c>
      <c r="F29" s="3" t="s">
        <v>280</v>
      </c>
      <c r="G29" s="3" t="s">
        <v>281</v>
      </c>
      <c r="H29" s="3">
        <v>2020</v>
      </c>
      <c r="I29" s="3" t="s">
        <v>282</v>
      </c>
      <c r="J29" s="2"/>
      <c r="K29" s="3" t="s">
        <v>264</v>
      </c>
      <c r="L29" s="3" t="s">
        <v>228</v>
      </c>
      <c r="M29" s="2"/>
      <c r="N29" s="3" t="s">
        <v>73</v>
      </c>
      <c r="O29" s="3" t="s">
        <v>74</v>
      </c>
      <c r="P29" s="6">
        <v>5800000</v>
      </c>
      <c r="Q29" s="3" t="s">
        <v>74</v>
      </c>
      <c r="R29" s="6">
        <v>4000000</v>
      </c>
      <c r="S29" s="3" t="s">
        <v>75</v>
      </c>
      <c r="T29" s="3" t="s">
        <v>283</v>
      </c>
      <c r="U29" s="3" t="s">
        <v>81</v>
      </c>
      <c r="V29" s="2"/>
      <c r="W29" s="3" t="s">
        <v>75</v>
      </c>
      <c r="X29" s="3">
        <v>0</v>
      </c>
      <c r="Y29" s="3" t="s">
        <v>78</v>
      </c>
      <c r="Z29" s="3">
        <v>0</v>
      </c>
      <c r="AA29" s="3" t="s">
        <v>78</v>
      </c>
      <c r="AB29" s="3">
        <v>2</v>
      </c>
      <c r="AC29" s="3" t="s">
        <v>284</v>
      </c>
      <c r="AD29" s="3">
        <v>2</v>
      </c>
      <c r="AE29" s="3" t="s">
        <v>81</v>
      </c>
      <c r="AF29" s="2"/>
      <c r="AG29" s="3" t="s">
        <v>75</v>
      </c>
      <c r="AH29" s="3" t="s">
        <v>285</v>
      </c>
      <c r="AI29" s="3" t="s">
        <v>286</v>
      </c>
      <c r="AJ29" s="3" t="s">
        <v>75</v>
      </c>
      <c r="AK29" s="3" t="s">
        <v>81</v>
      </c>
      <c r="AL29" s="3" t="s">
        <v>110</v>
      </c>
    </row>
    <row r="30" spans="1:38" ht="15" x14ac:dyDescent="0.25">
      <c r="A30" s="3" t="b">
        <v>1</v>
      </c>
      <c r="B30" s="3" t="b">
        <v>0</v>
      </c>
      <c r="C30" s="2"/>
      <c r="D30" s="5">
        <v>44487.949159305557</v>
      </c>
      <c r="E30" s="3" t="s">
        <v>67</v>
      </c>
      <c r="F30" s="3" t="s">
        <v>287</v>
      </c>
      <c r="G30" s="3" t="s">
        <v>288</v>
      </c>
      <c r="H30" s="3">
        <v>2020</v>
      </c>
      <c r="I30" s="3" t="s">
        <v>289</v>
      </c>
      <c r="J30" s="2"/>
      <c r="K30" s="3" t="s">
        <v>216</v>
      </c>
      <c r="L30" s="3" t="s">
        <v>101</v>
      </c>
      <c r="M30" s="2"/>
      <c r="N30" s="3" t="s">
        <v>290</v>
      </c>
      <c r="O30" s="3" t="s">
        <v>104</v>
      </c>
      <c r="P30" s="6">
        <v>570210000</v>
      </c>
      <c r="Q30" s="3" t="s">
        <v>104</v>
      </c>
      <c r="R30" s="6">
        <v>100000000</v>
      </c>
      <c r="S30" s="3" t="s">
        <v>75</v>
      </c>
      <c r="T30" s="3" t="s">
        <v>291</v>
      </c>
      <c r="U30" s="3" t="s">
        <v>81</v>
      </c>
      <c r="V30" s="2"/>
      <c r="W30" s="3" t="s">
        <v>75</v>
      </c>
      <c r="X30" s="3">
        <v>0</v>
      </c>
      <c r="Y30" s="3" t="s">
        <v>78</v>
      </c>
      <c r="Z30" s="3">
        <v>1</v>
      </c>
      <c r="AA30" s="3" t="s">
        <v>292</v>
      </c>
      <c r="AB30" s="3">
        <v>2</v>
      </c>
      <c r="AC30" s="3" t="s">
        <v>293</v>
      </c>
      <c r="AD30" s="3">
        <v>3</v>
      </c>
      <c r="AE30" s="3" t="s">
        <v>81</v>
      </c>
      <c r="AF30" s="2"/>
      <c r="AG30" s="3" t="s">
        <v>75</v>
      </c>
      <c r="AH30" s="3" t="s">
        <v>294</v>
      </c>
      <c r="AI30" s="3" t="s">
        <v>132</v>
      </c>
      <c r="AJ30" s="3" t="s">
        <v>75</v>
      </c>
      <c r="AK30" s="3" t="s">
        <v>81</v>
      </c>
      <c r="AL30" s="3" t="s">
        <v>84</v>
      </c>
    </row>
    <row r="31" spans="1:38" ht="15" x14ac:dyDescent="0.25">
      <c r="A31" s="3" t="b">
        <v>1</v>
      </c>
      <c r="B31" s="3" t="b">
        <v>0</v>
      </c>
      <c r="C31" s="2"/>
      <c r="D31" s="5">
        <v>44487.961107407406</v>
      </c>
      <c r="E31" s="3" t="s">
        <v>67</v>
      </c>
      <c r="F31" s="3" t="s">
        <v>295</v>
      </c>
      <c r="G31" s="3" t="s">
        <v>296</v>
      </c>
      <c r="H31" s="3">
        <v>2020</v>
      </c>
      <c r="I31" s="3" t="s">
        <v>297</v>
      </c>
      <c r="J31" s="2"/>
      <c r="K31" s="3" t="s">
        <v>216</v>
      </c>
      <c r="L31" s="3" t="s">
        <v>101</v>
      </c>
      <c r="M31" s="2"/>
      <c r="N31" s="3" t="s">
        <v>73</v>
      </c>
      <c r="O31" s="3" t="s">
        <v>126</v>
      </c>
      <c r="P31" s="6">
        <v>80838472</v>
      </c>
      <c r="Q31" s="3" t="s">
        <v>74</v>
      </c>
      <c r="R31" s="6">
        <v>36000000</v>
      </c>
      <c r="S31" s="3" t="s">
        <v>75</v>
      </c>
      <c r="T31" s="3" t="s">
        <v>298</v>
      </c>
      <c r="U31" s="3" t="s">
        <v>81</v>
      </c>
      <c r="V31" s="2"/>
      <c r="W31" s="3" t="s">
        <v>75</v>
      </c>
      <c r="X31" s="3">
        <v>0</v>
      </c>
      <c r="Y31" s="3" t="s">
        <v>78</v>
      </c>
      <c r="Z31" s="3">
        <v>0</v>
      </c>
      <c r="AA31" s="3" t="s">
        <v>78</v>
      </c>
      <c r="AB31" s="3">
        <v>1</v>
      </c>
      <c r="AC31" s="3" t="s">
        <v>299</v>
      </c>
      <c r="AD31" s="3">
        <v>1</v>
      </c>
      <c r="AE31" s="3" t="s">
        <v>81</v>
      </c>
      <c r="AF31" s="2"/>
      <c r="AG31" s="3" t="s">
        <v>75</v>
      </c>
      <c r="AH31" s="3" t="s">
        <v>300</v>
      </c>
      <c r="AI31" s="3" t="s">
        <v>132</v>
      </c>
      <c r="AJ31" s="3" t="s">
        <v>75</v>
      </c>
      <c r="AK31" s="3" t="s">
        <v>75</v>
      </c>
      <c r="AL31" s="3" t="s">
        <v>84</v>
      </c>
    </row>
    <row r="32" spans="1:38" ht="15.75" customHeight="1" x14ac:dyDescent="0.25">
      <c r="A32" s="3" t="b">
        <v>1</v>
      </c>
      <c r="B32" s="3" t="b">
        <v>0</v>
      </c>
      <c r="C32" s="2"/>
      <c r="D32" s="5">
        <v>44487.966780023147</v>
      </c>
      <c r="E32" s="3" t="s">
        <v>67</v>
      </c>
      <c r="F32" s="3" t="s">
        <v>301</v>
      </c>
      <c r="G32" s="3" t="s">
        <v>302</v>
      </c>
      <c r="H32" s="3">
        <v>2020</v>
      </c>
      <c r="I32" s="3" t="s">
        <v>151</v>
      </c>
      <c r="J32" s="2"/>
      <c r="K32" s="3" t="s">
        <v>114</v>
      </c>
      <c r="L32" s="3" t="s">
        <v>115</v>
      </c>
      <c r="M32" s="2"/>
      <c r="N32" s="3" t="s">
        <v>137</v>
      </c>
      <c r="O32" s="3" t="s">
        <v>126</v>
      </c>
      <c r="P32" s="6">
        <v>2144570000</v>
      </c>
      <c r="Q32" s="3" t="s">
        <v>126</v>
      </c>
      <c r="R32" s="6">
        <v>204000000</v>
      </c>
      <c r="S32" s="3" t="s">
        <v>81</v>
      </c>
      <c r="T32" s="2"/>
      <c r="U32" s="3" t="s">
        <v>81</v>
      </c>
      <c r="V32" s="2"/>
      <c r="W32" s="3" t="s">
        <v>81</v>
      </c>
      <c r="X32" s="2"/>
      <c r="Y32" s="2"/>
      <c r="Z32" s="2"/>
      <c r="AA32" s="2"/>
      <c r="AB32" s="2"/>
      <c r="AC32" s="2"/>
      <c r="AD32" s="2"/>
      <c r="AE32" s="3" t="s">
        <v>81</v>
      </c>
      <c r="AF32" s="2"/>
      <c r="AG32" s="3" t="s">
        <v>81</v>
      </c>
      <c r="AH32" s="2"/>
      <c r="AI32" s="3" t="s">
        <v>121</v>
      </c>
      <c r="AJ32" s="3" t="s">
        <v>75</v>
      </c>
      <c r="AK32" s="3" t="s">
        <v>75</v>
      </c>
      <c r="AL32" s="3" t="s">
        <v>84</v>
      </c>
    </row>
    <row r="33" spans="1:38" ht="15" x14ac:dyDescent="0.25">
      <c r="A33" s="3" t="b">
        <v>1</v>
      </c>
      <c r="B33" s="3" t="b">
        <v>0</v>
      </c>
      <c r="C33" s="2"/>
      <c r="D33" s="5">
        <v>44487.971583171297</v>
      </c>
      <c r="E33" s="3" t="s">
        <v>67</v>
      </c>
      <c r="F33" s="3" t="s">
        <v>303</v>
      </c>
      <c r="G33" s="3" t="s">
        <v>304</v>
      </c>
      <c r="H33" s="3">
        <v>2020</v>
      </c>
      <c r="I33" s="3" t="s">
        <v>305</v>
      </c>
      <c r="J33" s="2"/>
      <c r="K33" s="3" t="s">
        <v>216</v>
      </c>
      <c r="L33" s="3" t="s">
        <v>101</v>
      </c>
      <c r="M33" s="2"/>
      <c r="N33" s="3" t="s">
        <v>90</v>
      </c>
      <c r="O33" s="3" t="s">
        <v>74</v>
      </c>
      <c r="P33" s="6">
        <v>15000000</v>
      </c>
      <c r="Q33" s="3" t="s">
        <v>74</v>
      </c>
      <c r="R33" s="6">
        <v>5000000</v>
      </c>
      <c r="S33" s="3" t="s">
        <v>75</v>
      </c>
      <c r="T33" s="3" t="s">
        <v>306</v>
      </c>
      <c r="U33" s="3" t="s">
        <v>81</v>
      </c>
      <c r="V33" s="3" t="s">
        <v>307</v>
      </c>
      <c r="W33" s="3" t="s">
        <v>75</v>
      </c>
      <c r="X33" s="3">
        <v>0</v>
      </c>
      <c r="Y33" s="3" t="s">
        <v>78</v>
      </c>
      <c r="Z33" s="3">
        <v>1</v>
      </c>
      <c r="AA33" s="3" t="s">
        <v>308</v>
      </c>
      <c r="AB33" s="3">
        <v>2</v>
      </c>
      <c r="AC33" s="3" t="s">
        <v>309</v>
      </c>
      <c r="AD33" s="3">
        <v>3</v>
      </c>
      <c r="AE33" s="3" t="s">
        <v>75</v>
      </c>
      <c r="AF33" s="3" t="s">
        <v>310</v>
      </c>
      <c r="AG33" s="3" t="s">
        <v>75</v>
      </c>
      <c r="AH33" s="3" t="s">
        <v>311</v>
      </c>
      <c r="AI33" s="3" t="s">
        <v>132</v>
      </c>
      <c r="AJ33" s="3" t="s">
        <v>75</v>
      </c>
      <c r="AK33" s="3" t="s">
        <v>75</v>
      </c>
      <c r="AL33" s="3" t="s">
        <v>84</v>
      </c>
    </row>
    <row r="34" spans="1:38" ht="15.75" customHeight="1" x14ac:dyDescent="0.25">
      <c r="A34" s="3" t="b">
        <v>1</v>
      </c>
      <c r="B34" s="3" t="b">
        <v>0</v>
      </c>
      <c r="C34" s="2"/>
      <c r="D34" s="5">
        <v>44487.976110370371</v>
      </c>
      <c r="E34" s="3" t="s">
        <v>67</v>
      </c>
      <c r="F34" s="3" t="s">
        <v>312</v>
      </c>
      <c r="G34" s="3" t="s">
        <v>313</v>
      </c>
      <c r="H34" s="3">
        <v>2020</v>
      </c>
      <c r="I34" s="3" t="s">
        <v>314</v>
      </c>
      <c r="J34" s="2"/>
      <c r="K34" s="3" t="s">
        <v>216</v>
      </c>
      <c r="L34" s="3" t="s">
        <v>101</v>
      </c>
      <c r="M34" s="2"/>
      <c r="N34" s="3" t="s">
        <v>180</v>
      </c>
      <c r="O34" s="3" t="s">
        <v>74</v>
      </c>
      <c r="P34" s="6">
        <v>20000000</v>
      </c>
      <c r="Q34" s="3" t="s">
        <v>74</v>
      </c>
      <c r="R34" s="6">
        <v>20000000</v>
      </c>
      <c r="S34" s="3" t="s">
        <v>81</v>
      </c>
      <c r="T34" s="2"/>
      <c r="U34" s="3" t="s">
        <v>81</v>
      </c>
      <c r="V34" s="2"/>
      <c r="W34" s="3" t="s">
        <v>81</v>
      </c>
      <c r="X34" s="2"/>
      <c r="Y34" s="2"/>
      <c r="Z34" s="2"/>
      <c r="AA34" s="2"/>
      <c r="AB34" s="2"/>
      <c r="AC34" s="2"/>
      <c r="AD34" s="2"/>
      <c r="AE34" s="3" t="s">
        <v>81</v>
      </c>
      <c r="AF34" s="2"/>
      <c r="AG34" s="3" t="s">
        <v>81</v>
      </c>
      <c r="AH34" s="2"/>
      <c r="AI34" s="3" t="s">
        <v>286</v>
      </c>
      <c r="AJ34" s="3" t="s">
        <v>75</v>
      </c>
      <c r="AK34" s="3" t="s">
        <v>75</v>
      </c>
      <c r="AL34" s="3" t="s">
        <v>84</v>
      </c>
    </row>
    <row r="35" spans="1:38" ht="15" x14ac:dyDescent="0.25">
      <c r="A35" s="3" t="b">
        <v>1</v>
      </c>
      <c r="B35" s="3" t="b">
        <v>0</v>
      </c>
      <c r="C35" s="2"/>
      <c r="D35" s="5">
        <v>44487.98599695602</v>
      </c>
      <c r="E35" s="3" t="s">
        <v>67</v>
      </c>
      <c r="F35" s="3" t="s">
        <v>315</v>
      </c>
      <c r="G35" s="3" t="s">
        <v>316</v>
      </c>
      <c r="H35" s="3">
        <v>2020</v>
      </c>
      <c r="I35" s="3" t="s">
        <v>317</v>
      </c>
      <c r="J35" s="2"/>
      <c r="K35" s="3" t="s">
        <v>264</v>
      </c>
      <c r="L35" s="3" t="s">
        <v>228</v>
      </c>
      <c r="M35" s="2"/>
      <c r="N35" s="3" t="s">
        <v>290</v>
      </c>
      <c r="O35" s="3" t="s">
        <v>74</v>
      </c>
      <c r="P35" s="6">
        <v>16390000</v>
      </c>
      <c r="Q35" s="3" t="s">
        <v>74</v>
      </c>
      <c r="R35" s="6">
        <v>9370000</v>
      </c>
      <c r="S35" s="3" t="s">
        <v>75</v>
      </c>
      <c r="T35" s="3" t="s">
        <v>318</v>
      </c>
      <c r="U35" s="3" t="s">
        <v>75</v>
      </c>
      <c r="V35" s="3" t="s">
        <v>319</v>
      </c>
      <c r="W35" s="3" t="s">
        <v>75</v>
      </c>
      <c r="X35" s="3">
        <v>1</v>
      </c>
      <c r="Y35" s="3" t="s">
        <v>320</v>
      </c>
      <c r="Z35" s="3">
        <v>1</v>
      </c>
      <c r="AA35" s="3" t="s">
        <v>321</v>
      </c>
      <c r="AB35" s="3">
        <v>2</v>
      </c>
      <c r="AC35" s="3" t="s">
        <v>322</v>
      </c>
      <c r="AD35" s="3">
        <v>4</v>
      </c>
      <c r="AE35" s="3" t="s">
        <v>81</v>
      </c>
      <c r="AF35" s="2"/>
      <c r="AG35" s="3" t="s">
        <v>75</v>
      </c>
      <c r="AH35" s="3" t="s">
        <v>323</v>
      </c>
      <c r="AI35" s="3" t="s">
        <v>121</v>
      </c>
      <c r="AJ35" s="3" t="s">
        <v>75</v>
      </c>
      <c r="AK35" s="3" t="s">
        <v>75</v>
      </c>
      <c r="AL35" s="3" t="s">
        <v>110</v>
      </c>
    </row>
    <row r="36" spans="1:38" ht="15" x14ac:dyDescent="0.25">
      <c r="A36" s="3" t="b">
        <v>1</v>
      </c>
      <c r="B36" s="3" t="b">
        <v>0</v>
      </c>
      <c r="C36" s="2"/>
      <c r="D36" s="5">
        <v>44487.992398946764</v>
      </c>
      <c r="E36" s="3" t="s">
        <v>67</v>
      </c>
      <c r="F36" s="3" t="s">
        <v>324</v>
      </c>
      <c r="G36" s="3" t="s">
        <v>325</v>
      </c>
      <c r="H36" s="3">
        <v>2020</v>
      </c>
      <c r="I36" s="3" t="s">
        <v>179</v>
      </c>
      <c r="J36" s="2"/>
      <c r="K36" s="3" t="s">
        <v>264</v>
      </c>
      <c r="L36" s="3" t="s">
        <v>228</v>
      </c>
      <c r="M36" s="2"/>
      <c r="N36" s="3" t="s">
        <v>290</v>
      </c>
      <c r="O36" s="3" t="s">
        <v>74</v>
      </c>
      <c r="P36" s="6">
        <v>10790000</v>
      </c>
      <c r="Q36" s="3" t="s">
        <v>74</v>
      </c>
      <c r="R36" s="6">
        <v>5530000</v>
      </c>
      <c r="S36" s="3" t="s">
        <v>75</v>
      </c>
      <c r="T36" s="3" t="s">
        <v>326</v>
      </c>
      <c r="U36" s="3" t="s">
        <v>75</v>
      </c>
      <c r="V36" s="3" t="s">
        <v>327</v>
      </c>
      <c r="W36" s="3" t="s">
        <v>75</v>
      </c>
      <c r="X36" s="3">
        <v>0</v>
      </c>
      <c r="Y36" s="3" t="s">
        <v>78</v>
      </c>
      <c r="Z36" s="3">
        <v>2</v>
      </c>
      <c r="AA36" s="3" t="s">
        <v>328</v>
      </c>
      <c r="AB36" s="3">
        <v>1</v>
      </c>
      <c r="AC36" s="3" t="s">
        <v>329</v>
      </c>
      <c r="AD36" s="3">
        <v>3</v>
      </c>
      <c r="AE36" s="3" t="s">
        <v>75</v>
      </c>
      <c r="AF36" s="3" t="s">
        <v>330</v>
      </c>
      <c r="AG36" s="3" t="s">
        <v>75</v>
      </c>
      <c r="AH36" s="3" t="s">
        <v>331</v>
      </c>
      <c r="AI36" s="3" t="s">
        <v>132</v>
      </c>
      <c r="AJ36" s="3" t="s">
        <v>75</v>
      </c>
      <c r="AK36" s="3" t="s">
        <v>75</v>
      </c>
      <c r="AL36" s="3" t="s">
        <v>110</v>
      </c>
    </row>
    <row r="37" spans="1:38" ht="15" x14ac:dyDescent="0.25">
      <c r="A37" s="3" t="b">
        <v>1</v>
      </c>
      <c r="B37" s="3" t="b">
        <v>0</v>
      </c>
      <c r="C37" s="2"/>
      <c r="D37" s="5">
        <v>44504.438864097217</v>
      </c>
      <c r="E37" s="3" t="s">
        <v>67</v>
      </c>
      <c r="F37" s="3" t="s">
        <v>332</v>
      </c>
      <c r="G37" s="3" t="s">
        <v>333</v>
      </c>
      <c r="H37" s="3">
        <v>2020</v>
      </c>
      <c r="I37" s="3" t="s">
        <v>282</v>
      </c>
      <c r="J37" s="2"/>
      <c r="K37" s="3" t="s">
        <v>114</v>
      </c>
      <c r="L37" s="3" t="s">
        <v>115</v>
      </c>
      <c r="M37" s="2"/>
      <c r="N37" s="3" t="s">
        <v>180</v>
      </c>
      <c r="O37" s="3" t="s">
        <v>74</v>
      </c>
      <c r="P37" s="3">
        <v>4640000</v>
      </c>
      <c r="Q37" s="3" t="s">
        <v>74</v>
      </c>
      <c r="R37" s="3">
        <v>4640000</v>
      </c>
      <c r="S37" s="3" t="s">
        <v>75</v>
      </c>
      <c r="T37" s="3" t="s">
        <v>334</v>
      </c>
      <c r="U37" s="3" t="s">
        <v>81</v>
      </c>
      <c r="V37" s="2"/>
      <c r="W37" s="3" t="s">
        <v>75</v>
      </c>
      <c r="X37" s="3">
        <v>0</v>
      </c>
      <c r="Y37" s="3" t="s">
        <v>78</v>
      </c>
      <c r="Z37" s="3">
        <v>1</v>
      </c>
      <c r="AA37" s="3" t="s">
        <v>335</v>
      </c>
      <c r="AB37" s="3">
        <v>0</v>
      </c>
      <c r="AC37" s="3" t="s">
        <v>78</v>
      </c>
      <c r="AD37" s="3"/>
      <c r="AE37" s="3" t="s">
        <v>75</v>
      </c>
      <c r="AF37" s="3" t="s">
        <v>336</v>
      </c>
      <c r="AG37" s="3" t="s">
        <v>75</v>
      </c>
      <c r="AH37" s="3" t="s">
        <v>337</v>
      </c>
      <c r="AI37" s="3" t="s">
        <v>121</v>
      </c>
      <c r="AJ37" s="3" t="s">
        <v>75</v>
      </c>
      <c r="AK37" s="3" t="s">
        <v>75</v>
      </c>
      <c r="AL37" s="3" t="s">
        <v>84</v>
      </c>
    </row>
    <row r="38" spans="1:38" ht="15" x14ac:dyDescent="0.25">
      <c r="A38" s="3" t="b">
        <v>1</v>
      </c>
      <c r="B38" s="3" t="b">
        <v>0</v>
      </c>
      <c r="C38" s="2"/>
      <c r="D38" s="5">
        <v>44504.443941006946</v>
      </c>
      <c r="E38" s="3" t="s">
        <v>67</v>
      </c>
      <c r="F38" s="3" t="s">
        <v>338</v>
      </c>
      <c r="G38" s="3" t="s">
        <v>339</v>
      </c>
      <c r="H38" s="3">
        <v>2020</v>
      </c>
      <c r="I38" s="3" t="s">
        <v>87</v>
      </c>
      <c r="J38" s="3" t="s">
        <v>340</v>
      </c>
      <c r="K38" s="3" t="s">
        <v>114</v>
      </c>
      <c r="L38" s="3" t="s">
        <v>115</v>
      </c>
      <c r="M38" s="2"/>
      <c r="N38" s="3" t="s">
        <v>90</v>
      </c>
      <c r="O38" s="3" t="s">
        <v>74</v>
      </c>
      <c r="P38" s="3">
        <v>20000000</v>
      </c>
      <c r="Q38" s="3" t="s">
        <v>74</v>
      </c>
      <c r="R38" s="3">
        <v>10000000</v>
      </c>
      <c r="S38" s="3" t="s">
        <v>81</v>
      </c>
      <c r="T38" s="2"/>
      <c r="U38" s="3" t="s">
        <v>81</v>
      </c>
      <c r="V38" s="2"/>
      <c r="W38" s="3" t="s">
        <v>81</v>
      </c>
      <c r="X38" s="2"/>
      <c r="Y38" s="2"/>
      <c r="Z38" s="2"/>
      <c r="AA38" s="2"/>
      <c r="AB38" s="2"/>
      <c r="AC38" s="2"/>
      <c r="AD38" s="3"/>
      <c r="AE38" s="3" t="s">
        <v>81</v>
      </c>
      <c r="AF38" s="2"/>
      <c r="AG38" s="3" t="s">
        <v>81</v>
      </c>
      <c r="AH38" s="2"/>
      <c r="AI38" s="3" t="s">
        <v>121</v>
      </c>
      <c r="AJ38" s="3" t="s">
        <v>75</v>
      </c>
      <c r="AK38" s="3" t="s">
        <v>75</v>
      </c>
      <c r="AL38" s="3" t="s">
        <v>84</v>
      </c>
    </row>
    <row r="39" spans="1:38" ht="15" x14ac:dyDescent="0.25">
      <c r="A39" s="3" t="b">
        <v>1</v>
      </c>
      <c r="B39" s="3" t="b">
        <v>0</v>
      </c>
      <c r="C39" s="2"/>
      <c r="D39" s="5">
        <v>44525.555224594907</v>
      </c>
      <c r="E39" s="3" t="s">
        <v>169</v>
      </c>
      <c r="F39" s="3" t="s">
        <v>341</v>
      </c>
      <c r="G39" s="3" t="s">
        <v>342</v>
      </c>
      <c r="H39" s="3">
        <v>2021</v>
      </c>
      <c r="I39" s="3" t="s">
        <v>343</v>
      </c>
      <c r="J39" s="2"/>
      <c r="K39" s="3" t="s">
        <v>227</v>
      </c>
      <c r="L39" s="3" t="s">
        <v>228</v>
      </c>
      <c r="M39" s="2"/>
      <c r="N39" s="3" t="s">
        <v>73</v>
      </c>
      <c r="O39" s="3" t="s">
        <v>74</v>
      </c>
      <c r="P39" s="3">
        <v>21380000</v>
      </c>
      <c r="Q39" s="3" t="s">
        <v>74</v>
      </c>
      <c r="R39" s="3">
        <v>8000000</v>
      </c>
      <c r="S39" s="3" t="s">
        <v>75</v>
      </c>
      <c r="T39" s="3" t="s">
        <v>344</v>
      </c>
      <c r="U39" s="3" t="s">
        <v>75</v>
      </c>
      <c r="V39" s="3" t="s">
        <v>345</v>
      </c>
      <c r="W39" s="3" t="s">
        <v>75</v>
      </c>
      <c r="X39" s="3">
        <v>2</v>
      </c>
      <c r="Y39" s="3" t="s">
        <v>346</v>
      </c>
      <c r="Z39" s="3">
        <v>2</v>
      </c>
      <c r="AA39" s="3" t="s">
        <v>347</v>
      </c>
      <c r="AB39" s="3">
        <v>2</v>
      </c>
      <c r="AC39" s="3" t="s">
        <v>348</v>
      </c>
      <c r="AD39" s="3"/>
      <c r="AE39" s="3" t="s">
        <v>75</v>
      </c>
      <c r="AF39" s="3" t="s">
        <v>349</v>
      </c>
      <c r="AG39" s="3" t="s">
        <v>75</v>
      </c>
      <c r="AH39" s="3" t="s">
        <v>350</v>
      </c>
      <c r="AI39" s="3" t="s">
        <v>132</v>
      </c>
      <c r="AJ39" s="3" t="s">
        <v>75</v>
      </c>
      <c r="AK39" s="3" t="s">
        <v>75</v>
      </c>
      <c r="AL39" s="3" t="s">
        <v>84</v>
      </c>
    </row>
    <row r="40" spans="1:38" ht="15" x14ac:dyDescent="0.25">
      <c r="A40" s="3" t="b">
        <v>1</v>
      </c>
      <c r="B40" s="3" t="b">
        <v>0</v>
      </c>
      <c r="C40" s="2"/>
      <c r="D40" s="5">
        <v>44525.559809027778</v>
      </c>
      <c r="E40" s="3" t="s">
        <v>67</v>
      </c>
      <c r="F40" s="3" t="s">
        <v>351</v>
      </c>
      <c r="G40" s="3" t="s">
        <v>352</v>
      </c>
      <c r="H40" s="3">
        <v>2021</v>
      </c>
      <c r="I40" s="3" t="s">
        <v>353</v>
      </c>
      <c r="J40" s="2"/>
      <c r="K40" s="3" t="s">
        <v>216</v>
      </c>
      <c r="L40" s="3" t="s">
        <v>101</v>
      </c>
      <c r="M40" s="2"/>
      <c r="N40" s="3" t="s">
        <v>103</v>
      </c>
      <c r="O40" s="3" t="s">
        <v>74</v>
      </c>
      <c r="P40" s="3">
        <v>266412940</v>
      </c>
      <c r="Q40" s="3" t="s">
        <v>74</v>
      </c>
      <c r="R40" s="3">
        <v>7136069</v>
      </c>
      <c r="S40" s="3" t="s">
        <v>81</v>
      </c>
      <c r="T40" s="2"/>
      <c r="U40" s="3" t="s">
        <v>81</v>
      </c>
      <c r="V40" s="2"/>
      <c r="W40" s="3" t="s">
        <v>75</v>
      </c>
      <c r="X40" s="3">
        <v>0</v>
      </c>
      <c r="Y40" s="3" t="s">
        <v>78</v>
      </c>
      <c r="Z40" s="3">
        <v>0</v>
      </c>
      <c r="AA40" s="3" t="s">
        <v>78</v>
      </c>
      <c r="AB40" s="3">
        <v>1</v>
      </c>
      <c r="AC40" s="3" t="s">
        <v>354</v>
      </c>
      <c r="AD40" s="3"/>
      <c r="AE40" s="3" t="s">
        <v>75</v>
      </c>
      <c r="AF40" s="3" t="s">
        <v>355</v>
      </c>
      <c r="AG40" s="3" t="s">
        <v>75</v>
      </c>
      <c r="AH40" s="3" t="s">
        <v>356</v>
      </c>
      <c r="AI40" s="3" t="s">
        <v>121</v>
      </c>
      <c r="AJ40" s="3" t="s">
        <v>75</v>
      </c>
      <c r="AK40" s="3" t="s">
        <v>75</v>
      </c>
      <c r="AL40" s="3" t="s">
        <v>84</v>
      </c>
    </row>
    <row r="41" spans="1:38" ht="15" x14ac:dyDescent="0.25">
      <c r="A41" s="3" t="b">
        <v>1</v>
      </c>
      <c r="B41" s="3" t="b">
        <v>0</v>
      </c>
      <c r="C41" s="2"/>
      <c r="D41" s="5">
        <v>44525.56794252315</v>
      </c>
      <c r="E41" s="3" t="s">
        <v>67</v>
      </c>
      <c r="F41" s="3" t="s">
        <v>357</v>
      </c>
      <c r="G41" s="3" t="s">
        <v>358</v>
      </c>
      <c r="H41" s="3">
        <v>2021</v>
      </c>
      <c r="I41" s="3" t="s">
        <v>195</v>
      </c>
      <c r="J41" s="2"/>
      <c r="K41" s="3" t="s">
        <v>359</v>
      </c>
      <c r="L41" s="3" t="s">
        <v>115</v>
      </c>
      <c r="M41" s="2"/>
      <c r="N41" s="3" t="s">
        <v>73</v>
      </c>
      <c r="O41" s="3" t="s">
        <v>74</v>
      </c>
      <c r="P41" s="3">
        <v>34170000</v>
      </c>
      <c r="Q41" s="3" t="s">
        <v>74</v>
      </c>
      <c r="R41" s="3">
        <v>22000000</v>
      </c>
      <c r="S41" s="3" t="s">
        <v>75</v>
      </c>
      <c r="T41" s="3" t="s">
        <v>360</v>
      </c>
      <c r="U41" s="3" t="s">
        <v>75</v>
      </c>
      <c r="V41" s="3" t="s">
        <v>361</v>
      </c>
      <c r="W41" s="3" t="s">
        <v>75</v>
      </c>
      <c r="X41" s="3">
        <v>1</v>
      </c>
      <c r="Y41" s="3" t="s">
        <v>362</v>
      </c>
      <c r="Z41" s="3">
        <v>4</v>
      </c>
      <c r="AA41" s="3" t="s">
        <v>363</v>
      </c>
      <c r="AB41" s="3">
        <v>6</v>
      </c>
      <c r="AC41" s="3" t="s">
        <v>364</v>
      </c>
      <c r="AD41" s="3"/>
      <c r="AE41" s="3" t="s">
        <v>81</v>
      </c>
      <c r="AF41" s="2"/>
      <c r="AG41" s="3" t="s">
        <v>75</v>
      </c>
      <c r="AH41" s="3" t="s">
        <v>365</v>
      </c>
      <c r="AI41" s="3" t="s">
        <v>121</v>
      </c>
      <c r="AJ41" s="3" t="s">
        <v>75</v>
      </c>
      <c r="AK41" s="3" t="s">
        <v>75</v>
      </c>
      <c r="AL41" s="3" t="s">
        <v>110</v>
      </c>
    </row>
    <row r="42" spans="1:38" ht="15" x14ac:dyDescent="0.25">
      <c r="A42" s="3" t="b">
        <v>1</v>
      </c>
      <c r="B42" s="3" t="b">
        <v>0</v>
      </c>
      <c r="C42" s="2"/>
      <c r="D42" s="5">
        <v>44525.571087048607</v>
      </c>
      <c r="E42" s="3" t="s">
        <v>67</v>
      </c>
      <c r="F42" s="3" t="s">
        <v>366</v>
      </c>
      <c r="G42" s="3" t="s">
        <v>367</v>
      </c>
      <c r="H42" s="3">
        <v>2021</v>
      </c>
      <c r="I42" s="3" t="s">
        <v>273</v>
      </c>
      <c r="J42" s="2"/>
      <c r="K42" s="3" t="s">
        <v>368</v>
      </c>
      <c r="L42" s="3" t="s">
        <v>101</v>
      </c>
      <c r="M42" s="2"/>
      <c r="N42" s="3" t="s">
        <v>73</v>
      </c>
      <c r="O42" s="3" t="s">
        <v>74</v>
      </c>
      <c r="P42" s="3">
        <v>3300000</v>
      </c>
      <c r="Q42" s="3" t="s">
        <v>74</v>
      </c>
      <c r="R42" s="3">
        <v>3000000</v>
      </c>
      <c r="S42" s="3" t="s">
        <v>81</v>
      </c>
      <c r="T42" s="2"/>
      <c r="U42" s="3" t="s">
        <v>81</v>
      </c>
      <c r="V42" s="2"/>
      <c r="W42" s="3" t="s">
        <v>81</v>
      </c>
      <c r="X42" s="2"/>
      <c r="Y42" s="2"/>
      <c r="Z42" s="2"/>
      <c r="AA42" s="2"/>
      <c r="AB42" s="2"/>
      <c r="AC42" s="2"/>
      <c r="AD42" s="3"/>
      <c r="AE42" s="3" t="s">
        <v>81</v>
      </c>
      <c r="AF42" s="2"/>
      <c r="AG42" s="3" t="s">
        <v>81</v>
      </c>
      <c r="AH42" s="2"/>
      <c r="AI42" s="3" t="s">
        <v>121</v>
      </c>
      <c r="AJ42" s="3" t="s">
        <v>75</v>
      </c>
      <c r="AK42" s="3" t="s">
        <v>75</v>
      </c>
      <c r="AL42" s="3" t="s">
        <v>84</v>
      </c>
    </row>
    <row r="43" spans="1:38" ht="15" x14ac:dyDescent="0.25">
      <c r="A43" s="3" t="b">
        <v>1</v>
      </c>
      <c r="B43" s="3" t="b">
        <v>0</v>
      </c>
      <c r="C43" s="2"/>
      <c r="D43" s="5">
        <v>44525.57478087963</v>
      </c>
      <c r="E43" s="3" t="s">
        <v>67</v>
      </c>
      <c r="F43" s="3" t="s">
        <v>369</v>
      </c>
      <c r="G43" s="3" t="s">
        <v>370</v>
      </c>
      <c r="H43" s="3">
        <v>2021</v>
      </c>
      <c r="I43" s="3" t="s">
        <v>371</v>
      </c>
      <c r="J43" s="2"/>
      <c r="K43" s="3" t="s">
        <v>114</v>
      </c>
      <c r="L43" s="3" t="s">
        <v>115</v>
      </c>
      <c r="M43" s="2"/>
      <c r="N43" s="3" t="s">
        <v>73</v>
      </c>
      <c r="O43" s="3" t="s">
        <v>74</v>
      </c>
      <c r="P43" s="3">
        <v>5120000</v>
      </c>
      <c r="Q43" s="3" t="s">
        <v>74</v>
      </c>
      <c r="R43" s="3">
        <v>5000000</v>
      </c>
      <c r="S43" s="3" t="s">
        <v>75</v>
      </c>
      <c r="T43" s="3" t="s">
        <v>372</v>
      </c>
      <c r="U43" s="3" t="s">
        <v>81</v>
      </c>
      <c r="V43" s="2"/>
      <c r="W43" s="3" t="s">
        <v>75</v>
      </c>
      <c r="X43" s="3">
        <v>0</v>
      </c>
      <c r="Y43" s="3" t="s">
        <v>78</v>
      </c>
      <c r="Z43" s="3">
        <v>0</v>
      </c>
      <c r="AA43" s="3" t="s">
        <v>78</v>
      </c>
      <c r="AB43" s="3">
        <v>2</v>
      </c>
      <c r="AC43" s="3" t="s">
        <v>373</v>
      </c>
      <c r="AD43" s="3"/>
      <c r="AE43" s="3" t="s">
        <v>81</v>
      </c>
      <c r="AF43" s="2"/>
      <c r="AG43" s="3" t="s">
        <v>75</v>
      </c>
      <c r="AH43" s="3" t="s">
        <v>374</v>
      </c>
      <c r="AI43" s="3" t="s">
        <v>121</v>
      </c>
      <c r="AJ43" s="3" t="s">
        <v>75</v>
      </c>
      <c r="AK43" s="3" t="s">
        <v>75</v>
      </c>
      <c r="AL43" s="3" t="s">
        <v>84</v>
      </c>
    </row>
    <row r="44" spans="1:38" ht="15" x14ac:dyDescent="0.25">
      <c r="A44" s="3" t="b">
        <v>1</v>
      </c>
      <c r="B44" s="3" t="b">
        <v>0</v>
      </c>
      <c r="C44" s="2"/>
      <c r="D44" s="5">
        <v>44525.581362199075</v>
      </c>
      <c r="E44" s="3" t="s">
        <v>67</v>
      </c>
      <c r="F44" s="3" t="s">
        <v>375</v>
      </c>
      <c r="G44" s="3" t="s">
        <v>376</v>
      </c>
      <c r="H44" s="3">
        <v>2021</v>
      </c>
      <c r="I44" s="3" t="s">
        <v>377</v>
      </c>
      <c r="J44" s="2"/>
      <c r="K44" s="3" t="s">
        <v>227</v>
      </c>
      <c r="L44" s="3" t="s">
        <v>228</v>
      </c>
      <c r="M44" s="2"/>
      <c r="N44" s="3" t="s">
        <v>73</v>
      </c>
      <c r="O44" s="3" t="s">
        <v>126</v>
      </c>
      <c r="P44" s="3">
        <v>9080000</v>
      </c>
      <c r="Q44" s="3" t="s">
        <v>126</v>
      </c>
      <c r="R44" s="3">
        <v>430000</v>
      </c>
      <c r="S44" s="3" t="s">
        <v>75</v>
      </c>
      <c r="T44" s="3" t="s">
        <v>378</v>
      </c>
      <c r="U44" s="3" t="s">
        <v>75</v>
      </c>
      <c r="V44" s="3" t="s">
        <v>379</v>
      </c>
      <c r="W44" s="3" t="s">
        <v>75</v>
      </c>
      <c r="X44" s="3">
        <v>1</v>
      </c>
      <c r="Y44" s="3" t="s">
        <v>380</v>
      </c>
      <c r="Z44" s="3">
        <v>0</v>
      </c>
      <c r="AA44" s="3"/>
      <c r="AB44" s="3">
        <v>3</v>
      </c>
      <c r="AC44" s="3" t="s">
        <v>381</v>
      </c>
      <c r="AD44" s="3"/>
      <c r="AE44" s="3" t="s">
        <v>75</v>
      </c>
      <c r="AF44" s="3" t="s">
        <v>382</v>
      </c>
      <c r="AG44" s="3" t="s">
        <v>75</v>
      </c>
      <c r="AH44" s="3" t="s">
        <v>383</v>
      </c>
      <c r="AI44" s="3" t="s">
        <v>132</v>
      </c>
      <c r="AJ44" s="3" t="s">
        <v>75</v>
      </c>
      <c r="AK44" s="3" t="s">
        <v>75</v>
      </c>
      <c r="AL44" s="3" t="s">
        <v>110</v>
      </c>
    </row>
    <row r="45" spans="1:38" ht="15" x14ac:dyDescent="0.25">
      <c r="A45" s="3" t="b">
        <v>1</v>
      </c>
      <c r="B45" s="3" t="b">
        <v>0</v>
      </c>
      <c r="C45" s="2"/>
      <c r="D45" s="5">
        <v>44525.584519594908</v>
      </c>
      <c r="E45" s="3" t="s">
        <v>67</v>
      </c>
      <c r="F45" s="3" t="s">
        <v>384</v>
      </c>
      <c r="G45" s="3" t="s">
        <v>385</v>
      </c>
      <c r="H45" s="3">
        <v>2021</v>
      </c>
      <c r="I45" s="3" t="s">
        <v>273</v>
      </c>
      <c r="J45" s="2"/>
      <c r="K45" s="3" t="s">
        <v>114</v>
      </c>
      <c r="L45" s="3" t="s">
        <v>115</v>
      </c>
      <c r="M45" s="2"/>
      <c r="N45" s="3" t="s">
        <v>73</v>
      </c>
      <c r="O45" s="3" t="s">
        <v>74</v>
      </c>
      <c r="P45" s="3">
        <v>3302092</v>
      </c>
      <c r="Q45" s="3" t="s">
        <v>74</v>
      </c>
      <c r="R45" s="3">
        <v>3000000</v>
      </c>
      <c r="S45" s="3" t="s">
        <v>81</v>
      </c>
      <c r="T45" s="2"/>
      <c r="U45" s="3" t="s">
        <v>81</v>
      </c>
      <c r="V45" s="2"/>
      <c r="W45" s="3" t="s">
        <v>81</v>
      </c>
      <c r="X45" s="2"/>
      <c r="Y45" s="2"/>
      <c r="Z45" s="2"/>
      <c r="AA45" s="2"/>
      <c r="AB45" s="2"/>
      <c r="AC45" s="2"/>
      <c r="AD45" s="3"/>
      <c r="AE45" s="3" t="s">
        <v>81</v>
      </c>
      <c r="AF45" s="2"/>
      <c r="AG45" s="3" t="s">
        <v>81</v>
      </c>
      <c r="AH45" s="2"/>
      <c r="AI45" s="3" t="s">
        <v>121</v>
      </c>
      <c r="AJ45" s="3" t="s">
        <v>75</v>
      </c>
      <c r="AK45" s="3" t="s">
        <v>75</v>
      </c>
      <c r="AL45" s="3" t="s">
        <v>84</v>
      </c>
    </row>
    <row r="46" spans="1:38" ht="15" x14ac:dyDescent="0.25">
      <c r="A46" s="3" t="b">
        <v>1</v>
      </c>
      <c r="B46" s="3" t="b">
        <v>0</v>
      </c>
      <c r="C46" s="2"/>
      <c r="D46" s="5">
        <v>44525.587074490744</v>
      </c>
      <c r="E46" s="3" t="s">
        <v>67</v>
      </c>
      <c r="F46" s="3" t="s">
        <v>386</v>
      </c>
      <c r="G46" s="3" t="s">
        <v>387</v>
      </c>
      <c r="H46" s="3">
        <v>2021</v>
      </c>
      <c r="I46" s="3" t="s">
        <v>145</v>
      </c>
      <c r="J46" s="2"/>
      <c r="K46" s="3" t="s">
        <v>216</v>
      </c>
      <c r="L46" s="3" t="s">
        <v>101</v>
      </c>
      <c r="M46" s="2"/>
      <c r="N46" s="3" t="s">
        <v>103</v>
      </c>
      <c r="O46" s="3" t="s">
        <v>126</v>
      </c>
      <c r="P46" s="3">
        <v>1582900000</v>
      </c>
      <c r="Q46" s="3" t="s">
        <v>104</v>
      </c>
      <c r="R46" s="3">
        <v>90000000</v>
      </c>
      <c r="S46" s="3" t="s">
        <v>81</v>
      </c>
      <c r="T46" s="2"/>
      <c r="U46" s="3" t="s">
        <v>81</v>
      </c>
      <c r="V46" s="2"/>
      <c r="W46" s="3" t="s">
        <v>81</v>
      </c>
      <c r="X46" s="2"/>
      <c r="Y46" s="2"/>
      <c r="Z46" s="2"/>
      <c r="AA46" s="2"/>
      <c r="AB46" s="2"/>
      <c r="AC46" s="2"/>
      <c r="AD46" s="3"/>
      <c r="AE46" s="3" t="s">
        <v>81</v>
      </c>
      <c r="AF46" s="2"/>
      <c r="AG46" s="3" t="s">
        <v>81</v>
      </c>
      <c r="AH46" s="2"/>
      <c r="AI46" s="3" t="s">
        <v>121</v>
      </c>
      <c r="AJ46" s="3" t="s">
        <v>75</v>
      </c>
      <c r="AK46" s="3" t="s">
        <v>75</v>
      </c>
      <c r="AL46" s="3" t="s">
        <v>84</v>
      </c>
    </row>
    <row r="47" spans="1:38" ht="15" x14ac:dyDescent="0.25">
      <c r="A47" s="3" t="b">
        <v>1</v>
      </c>
      <c r="B47" s="3" t="b">
        <v>0</v>
      </c>
      <c r="C47" s="2"/>
      <c r="D47" s="5">
        <v>44525.591228495367</v>
      </c>
      <c r="E47" s="3" t="s">
        <v>67</v>
      </c>
      <c r="F47" s="3" t="s">
        <v>388</v>
      </c>
      <c r="G47" s="3" t="s">
        <v>389</v>
      </c>
      <c r="H47" s="3">
        <v>2021</v>
      </c>
      <c r="I47" s="3" t="s">
        <v>155</v>
      </c>
      <c r="J47" s="2"/>
      <c r="K47" s="3" t="s">
        <v>390</v>
      </c>
      <c r="L47" s="3" t="s">
        <v>101</v>
      </c>
      <c r="M47" s="2"/>
      <c r="N47" s="3" t="s">
        <v>103</v>
      </c>
      <c r="O47" s="3" t="s">
        <v>104</v>
      </c>
      <c r="P47" s="3">
        <v>0</v>
      </c>
      <c r="Q47" s="3" t="s">
        <v>104</v>
      </c>
      <c r="R47" s="3">
        <v>65000000</v>
      </c>
      <c r="S47" s="3" t="s">
        <v>75</v>
      </c>
      <c r="T47" s="3" t="s">
        <v>391</v>
      </c>
      <c r="U47" s="3" t="s">
        <v>81</v>
      </c>
      <c r="V47" s="2"/>
      <c r="W47" s="3" t="s">
        <v>75</v>
      </c>
      <c r="X47" s="3">
        <v>0</v>
      </c>
      <c r="Y47" s="3" t="s">
        <v>78</v>
      </c>
      <c r="Z47" s="3">
        <v>0</v>
      </c>
      <c r="AA47" s="3" t="s">
        <v>78</v>
      </c>
      <c r="AB47" s="3">
        <v>1</v>
      </c>
      <c r="AC47" s="9" t="s">
        <v>392</v>
      </c>
      <c r="AD47" s="3"/>
      <c r="AE47" s="3" t="s">
        <v>81</v>
      </c>
      <c r="AF47" s="2"/>
      <c r="AG47" s="3" t="s">
        <v>75</v>
      </c>
      <c r="AH47" s="3" t="s">
        <v>393</v>
      </c>
      <c r="AI47" s="3" t="s">
        <v>132</v>
      </c>
      <c r="AJ47" s="3" t="s">
        <v>75</v>
      </c>
      <c r="AK47" s="3" t="s">
        <v>81</v>
      </c>
      <c r="AL47" s="3" t="s">
        <v>84</v>
      </c>
    </row>
    <row r="48" spans="1:38" ht="15" x14ac:dyDescent="0.25">
      <c r="A48" s="3" t="b">
        <v>1</v>
      </c>
      <c r="B48" s="3" t="b">
        <v>0</v>
      </c>
      <c r="C48" s="2"/>
      <c r="D48" s="5">
        <v>44525.593562766204</v>
      </c>
      <c r="E48" s="3" t="s">
        <v>67</v>
      </c>
      <c r="F48" s="3" t="s">
        <v>394</v>
      </c>
      <c r="G48" s="3" t="s">
        <v>395</v>
      </c>
      <c r="H48" s="3">
        <v>2021</v>
      </c>
      <c r="I48" s="3" t="s">
        <v>396</v>
      </c>
      <c r="J48" s="2"/>
      <c r="K48" s="3" t="s">
        <v>368</v>
      </c>
      <c r="L48" s="3" t="s">
        <v>101</v>
      </c>
      <c r="M48" s="2"/>
      <c r="N48" s="3" t="s">
        <v>73</v>
      </c>
      <c r="O48" s="3" t="s">
        <v>74</v>
      </c>
      <c r="P48" s="3">
        <v>3530000</v>
      </c>
      <c r="Q48" s="3" t="s">
        <v>74</v>
      </c>
      <c r="R48" s="3">
        <v>3000000</v>
      </c>
      <c r="S48" s="3" t="s">
        <v>81</v>
      </c>
      <c r="T48" s="2"/>
      <c r="U48" s="3" t="s">
        <v>81</v>
      </c>
      <c r="V48" s="2"/>
      <c r="W48" s="3" t="s">
        <v>81</v>
      </c>
      <c r="X48" s="2"/>
      <c r="Y48" s="2"/>
      <c r="Z48" s="2"/>
      <c r="AA48" s="2"/>
      <c r="AB48" s="2"/>
      <c r="AC48" s="2"/>
      <c r="AD48" s="3"/>
      <c r="AE48" s="3" t="s">
        <v>81</v>
      </c>
      <c r="AF48" s="2"/>
      <c r="AG48" s="3" t="s">
        <v>81</v>
      </c>
      <c r="AH48" s="2"/>
      <c r="AI48" s="3" t="s">
        <v>397</v>
      </c>
      <c r="AJ48" s="3" t="s">
        <v>75</v>
      </c>
      <c r="AK48" s="3" t="s">
        <v>81</v>
      </c>
      <c r="AL48" s="3" t="s">
        <v>84</v>
      </c>
    </row>
    <row r="49" spans="1:38" ht="15" x14ac:dyDescent="0.25">
      <c r="A49" s="3" t="b">
        <v>1</v>
      </c>
      <c r="B49" s="3" t="b">
        <v>0</v>
      </c>
      <c r="C49" s="2"/>
      <c r="D49" s="5">
        <v>44525.596798553241</v>
      </c>
      <c r="E49" s="3" t="s">
        <v>67</v>
      </c>
      <c r="F49" s="3" t="s">
        <v>398</v>
      </c>
      <c r="G49" s="3" t="s">
        <v>399</v>
      </c>
      <c r="H49" s="3">
        <v>2021</v>
      </c>
      <c r="I49" s="3" t="s">
        <v>314</v>
      </c>
      <c r="J49" s="2"/>
      <c r="K49" s="3" t="s">
        <v>227</v>
      </c>
      <c r="L49" s="3" t="s">
        <v>228</v>
      </c>
      <c r="M49" s="2"/>
      <c r="N49" s="3" t="s">
        <v>290</v>
      </c>
      <c r="O49" s="3" t="s">
        <v>74</v>
      </c>
      <c r="P49" s="3">
        <v>9130000</v>
      </c>
      <c r="Q49" s="3" t="s">
        <v>74</v>
      </c>
      <c r="R49" s="3">
        <v>3660000</v>
      </c>
      <c r="S49" s="3" t="s">
        <v>75</v>
      </c>
      <c r="T49" s="3" t="s">
        <v>400</v>
      </c>
      <c r="U49" s="3" t="s">
        <v>81</v>
      </c>
      <c r="V49" s="2"/>
      <c r="W49" s="3" t="s">
        <v>75</v>
      </c>
      <c r="X49" s="3">
        <v>0</v>
      </c>
      <c r="Y49" s="3" t="s">
        <v>78</v>
      </c>
      <c r="Z49" s="3">
        <v>0</v>
      </c>
      <c r="AA49" s="3" t="s">
        <v>78</v>
      </c>
      <c r="AB49" s="3">
        <v>1</v>
      </c>
      <c r="AC49" s="3" t="s">
        <v>401</v>
      </c>
      <c r="AD49" s="3"/>
      <c r="AE49" s="3" t="s">
        <v>75</v>
      </c>
      <c r="AF49" s="3" t="s">
        <v>402</v>
      </c>
      <c r="AG49" s="3" t="s">
        <v>75</v>
      </c>
      <c r="AH49" s="3" t="s">
        <v>403</v>
      </c>
      <c r="AI49" s="3" t="s">
        <v>121</v>
      </c>
      <c r="AJ49" s="3" t="s">
        <v>75</v>
      </c>
      <c r="AK49" s="3" t="s">
        <v>75</v>
      </c>
      <c r="AL49" s="3" t="s">
        <v>84</v>
      </c>
    </row>
    <row r="50" spans="1:38" ht="15" x14ac:dyDescent="0.25">
      <c r="A50" s="3" t="b">
        <v>1</v>
      </c>
      <c r="B50" s="3" t="b">
        <v>0</v>
      </c>
      <c r="C50" s="2"/>
      <c r="D50" s="5">
        <v>44525.598820995372</v>
      </c>
      <c r="E50" s="3" t="s">
        <v>67</v>
      </c>
      <c r="F50" s="3" t="s">
        <v>404</v>
      </c>
      <c r="G50" s="3" t="s">
        <v>405</v>
      </c>
      <c r="H50" s="3">
        <v>2021</v>
      </c>
      <c r="I50" s="3" t="s">
        <v>163</v>
      </c>
      <c r="J50" s="2"/>
      <c r="K50" s="3" t="s">
        <v>216</v>
      </c>
      <c r="L50" s="3" t="s">
        <v>101</v>
      </c>
      <c r="M50" s="2"/>
      <c r="N50" s="3" t="s">
        <v>103</v>
      </c>
      <c r="O50" s="3" t="s">
        <v>126</v>
      </c>
      <c r="P50" s="3">
        <v>175000000</v>
      </c>
      <c r="Q50" s="3" t="s">
        <v>126</v>
      </c>
      <c r="R50" s="3">
        <v>20000000</v>
      </c>
      <c r="S50" s="3" t="s">
        <v>81</v>
      </c>
      <c r="T50" s="2"/>
      <c r="U50" s="3" t="s">
        <v>81</v>
      </c>
      <c r="V50" s="2"/>
      <c r="W50" s="3" t="s">
        <v>81</v>
      </c>
      <c r="X50" s="2"/>
      <c r="Y50" s="2"/>
      <c r="Z50" s="2"/>
      <c r="AA50" s="2"/>
      <c r="AB50" s="2"/>
      <c r="AC50" s="2"/>
      <c r="AD50" s="3"/>
      <c r="AE50" s="3" t="s">
        <v>81</v>
      </c>
      <c r="AF50" s="2"/>
      <c r="AG50" s="3" t="s">
        <v>81</v>
      </c>
      <c r="AH50" s="2"/>
      <c r="AI50" s="3" t="s">
        <v>121</v>
      </c>
      <c r="AJ50" s="3" t="s">
        <v>75</v>
      </c>
      <c r="AK50" s="3" t="s">
        <v>81</v>
      </c>
      <c r="AL50" s="3" t="s">
        <v>84</v>
      </c>
    </row>
    <row r="51" spans="1:38" ht="15" x14ac:dyDescent="0.25">
      <c r="A51" s="3" t="b">
        <v>1</v>
      </c>
      <c r="B51" s="3" t="b">
        <v>0</v>
      </c>
      <c r="C51" s="2"/>
      <c r="D51" s="5">
        <v>44525.602744409727</v>
      </c>
      <c r="E51" s="3" t="s">
        <v>67</v>
      </c>
      <c r="F51" s="3" t="s">
        <v>406</v>
      </c>
      <c r="G51" s="3" t="s">
        <v>407</v>
      </c>
      <c r="H51" s="3">
        <v>2021</v>
      </c>
      <c r="I51" s="3" t="s">
        <v>195</v>
      </c>
      <c r="J51" s="2"/>
      <c r="K51" s="3" t="s">
        <v>227</v>
      </c>
      <c r="L51" s="3" t="s">
        <v>228</v>
      </c>
      <c r="M51" s="2"/>
      <c r="N51" s="3" t="s">
        <v>73</v>
      </c>
      <c r="O51" s="3" t="s">
        <v>74</v>
      </c>
      <c r="P51" s="3">
        <v>72260000</v>
      </c>
      <c r="Q51" s="3" t="s">
        <v>74</v>
      </c>
      <c r="R51" s="3">
        <v>33250000</v>
      </c>
      <c r="S51" s="3" t="s">
        <v>75</v>
      </c>
      <c r="T51" s="3" t="s">
        <v>408</v>
      </c>
      <c r="U51" s="3" t="s">
        <v>81</v>
      </c>
      <c r="V51" s="2"/>
      <c r="W51" s="3" t="s">
        <v>75</v>
      </c>
      <c r="X51" s="3">
        <v>0</v>
      </c>
      <c r="Y51" s="3" t="s">
        <v>78</v>
      </c>
      <c r="Z51" s="3">
        <v>0</v>
      </c>
      <c r="AA51" s="3" t="s">
        <v>78</v>
      </c>
      <c r="AB51" s="3">
        <v>3</v>
      </c>
      <c r="AC51" s="3" t="s">
        <v>409</v>
      </c>
      <c r="AD51" s="3"/>
      <c r="AE51" s="3" t="s">
        <v>81</v>
      </c>
      <c r="AF51" s="2"/>
      <c r="AG51" s="3" t="s">
        <v>75</v>
      </c>
      <c r="AH51" s="3" t="s">
        <v>410</v>
      </c>
      <c r="AI51" s="3" t="s">
        <v>121</v>
      </c>
      <c r="AJ51" s="3" t="s">
        <v>75</v>
      </c>
      <c r="AK51" s="3" t="s">
        <v>75</v>
      </c>
      <c r="AL51" s="3" t="s">
        <v>110</v>
      </c>
    </row>
    <row r="52" spans="1:38" ht="15" x14ac:dyDescent="0.25">
      <c r="A52" s="3" t="b">
        <v>1</v>
      </c>
      <c r="B52" s="3" t="b">
        <v>0</v>
      </c>
      <c r="C52" s="2"/>
      <c r="D52" s="5">
        <v>44525.60457570602</v>
      </c>
      <c r="E52" s="3" t="s">
        <v>67</v>
      </c>
      <c r="F52" s="3" t="s">
        <v>411</v>
      </c>
      <c r="G52" s="3" t="s">
        <v>412</v>
      </c>
      <c r="H52" s="3">
        <v>2021</v>
      </c>
      <c r="I52" s="3" t="s">
        <v>113</v>
      </c>
      <c r="J52" s="2"/>
      <c r="K52" s="3" t="s">
        <v>216</v>
      </c>
      <c r="L52" s="3" t="s">
        <v>101</v>
      </c>
      <c r="M52" s="2"/>
      <c r="N52" s="3" t="s">
        <v>103</v>
      </c>
      <c r="O52" s="3" t="s">
        <v>104</v>
      </c>
      <c r="P52" s="3">
        <v>0</v>
      </c>
      <c r="Q52" s="3" t="s">
        <v>104</v>
      </c>
      <c r="R52" s="3">
        <v>60000000</v>
      </c>
      <c r="S52" s="3" t="s">
        <v>81</v>
      </c>
      <c r="T52" s="2"/>
      <c r="U52" s="3" t="s">
        <v>81</v>
      </c>
      <c r="V52" s="2"/>
      <c r="W52" s="3" t="s">
        <v>81</v>
      </c>
      <c r="X52" s="2"/>
      <c r="Y52" s="2"/>
      <c r="Z52" s="2"/>
      <c r="AA52" s="2"/>
      <c r="AB52" s="2"/>
      <c r="AC52" s="2"/>
      <c r="AD52" s="3"/>
      <c r="AE52" s="3" t="s">
        <v>81</v>
      </c>
      <c r="AF52" s="2"/>
      <c r="AG52" s="3" t="s">
        <v>81</v>
      </c>
      <c r="AH52" s="2"/>
      <c r="AI52" s="3" t="s">
        <v>121</v>
      </c>
      <c r="AJ52" s="3" t="s">
        <v>75</v>
      </c>
      <c r="AK52" s="3" t="s">
        <v>75</v>
      </c>
      <c r="AL52" s="3" t="s">
        <v>84</v>
      </c>
    </row>
    <row r="53" spans="1:38" ht="15" x14ac:dyDescent="0.25">
      <c r="A53" s="3" t="b">
        <v>1</v>
      </c>
      <c r="B53" s="3" t="b">
        <v>0</v>
      </c>
      <c r="C53" s="2"/>
      <c r="D53" s="5">
        <v>44531.351280856485</v>
      </c>
      <c r="E53" s="3" t="s">
        <v>67</v>
      </c>
      <c r="F53" s="3" t="s">
        <v>413</v>
      </c>
      <c r="G53" s="3" t="s">
        <v>414</v>
      </c>
      <c r="H53" s="3">
        <v>2021</v>
      </c>
      <c r="I53" s="3" t="s">
        <v>87</v>
      </c>
      <c r="J53" s="3" t="s">
        <v>415</v>
      </c>
      <c r="K53" s="3" t="s">
        <v>216</v>
      </c>
      <c r="L53" s="3" t="s">
        <v>101</v>
      </c>
      <c r="M53" s="2"/>
      <c r="N53" s="3" t="s">
        <v>73</v>
      </c>
      <c r="O53" s="3" t="s">
        <v>74</v>
      </c>
      <c r="P53" s="3">
        <v>19528197</v>
      </c>
      <c r="Q53" s="3" t="s">
        <v>74</v>
      </c>
      <c r="R53" s="3">
        <v>10000000</v>
      </c>
      <c r="S53" s="3" t="s">
        <v>81</v>
      </c>
      <c r="T53" s="2"/>
      <c r="U53" s="3" t="s">
        <v>81</v>
      </c>
      <c r="V53" s="2"/>
      <c r="W53" s="3" t="s">
        <v>75</v>
      </c>
      <c r="X53" s="3">
        <v>0</v>
      </c>
      <c r="Y53" s="3" t="s">
        <v>78</v>
      </c>
      <c r="Z53" s="3">
        <v>0</v>
      </c>
      <c r="AA53" s="3" t="s">
        <v>78</v>
      </c>
      <c r="AB53" s="3">
        <v>1</v>
      </c>
      <c r="AC53" s="3" t="s">
        <v>416</v>
      </c>
      <c r="AD53" s="3"/>
      <c r="AE53" s="3" t="s">
        <v>81</v>
      </c>
      <c r="AF53" s="2"/>
      <c r="AG53" s="3" t="s">
        <v>81</v>
      </c>
      <c r="AH53" s="2"/>
      <c r="AI53" s="3" t="s">
        <v>121</v>
      </c>
      <c r="AJ53" s="3" t="s">
        <v>75</v>
      </c>
      <c r="AK53" s="3" t="s">
        <v>75</v>
      </c>
      <c r="AL53" s="3" t="s">
        <v>84</v>
      </c>
    </row>
    <row r="54" spans="1:38" ht="15" x14ac:dyDescent="0.25">
      <c r="A54" s="3" t="b">
        <v>1</v>
      </c>
      <c r="B54" s="3" t="b">
        <v>0</v>
      </c>
      <c r="C54" s="2"/>
      <c r="D54" s="5">
        <v>44613.080635914353</v>
      </c>
      <c r="E54" s="3" t="s">
        <v>67</v>
      </c>
      <c r="F54" s="3" t="s">
        <v>417</v>
      </c>
      <c r="G54" s="3" t="s">
        <v>418</v>
      </c>
      <c r="H54" s="3">
        <v>2021</v>
      </c>
      <c r="I54" s="3" t="s">
        <v>419</v>
      </c>
      <c r="J54" s="2"/>
      <c r="K54" s="3" t="s">
        <v>264</v>
      </c>
      <c r="L54" s="3" t="s">
        <v>228</v>
      </c>
      <c r="M54" s="2"/>
      <c r="N54" s="3" t="s">
        <v>116</v>
      </c>
      <c r="O54" s="3" t="s">
        <v>74</v>
      </c>
      <c r="P54" s="3">
        <v>230000000</v>
      </c>
      <c r="Q54" s="3" t="s">
        <v>74</v>
      </c>
      <c r="R54" s="3">
        <v>210000000</v>
      </c>
      <c r="S54" s="3" t="s">
        <v>75</v>
      </c>
      <c r="T54" s="3" t="s">
        <v>420</v>
      </c>
      <c r="U54" s="3" t="s">
        <v>81</v>
      </c>
      <c r="V54" s="2"/>
      <c r="W54" s="3" t="s">
        <v>75</v>
      </c>
      <c r="X54" s="3">
        <v>0</v>
      </c>
      <c r="Y54" s="3" t="s">
        <v>78</v>
      </c>
      <c r="Z54" s="3">
        <v>0</v>
      </c>
      <c r="AA54" s="3" t="s">
        <v>78</v>
      </c>
      <c r="AB54" s="3">
        <v>2</v>
      </c>
      <c r="AC54" s="3" t="s">
        <v>421</v>
      </c>
      <c r="AD54" s="3"/>
      <c r="AE54" s="3" t="s">
        <v>81</v>
      </c>
      <c r="AF54" s="2"/>
      <c r="AG54" s="3" t="s">
        <v>75</v>
      </c>
      <c r="AH54" s="3" t="s">
        <v>422</v>
      </c>
      <c r="AI54" s="3" t="s">
        <v>423</v>
      </c>
      <c r="AJ54" s="3" t="s">
        <v>75</v>
      </c>
      <c r="AK54" s="3" t="s">
        <v>75</v>
      </c>
      <c r="AL54" s="3" t="s">
        <v>110</v>
      </c>
    </row>
    <row r="55" spans="1:38" ht="15" x14ac:dyDescent="0.25">
      <c r="A55" s="3" t="b">
        <v>1</v>
      </c>
      <c r="B55" s="3" t="b">
        <v>0</v>
      </c>
      <c r="C55" s="2"/>
      <c r="D55" s="5">
        <v>44613.109134976854</v>
      </c>
      <c r="E55" s="3" t="s">
        <v>67</v>
      </c>
      <c r="F55" s="3" t="s">
        <v>424</v>
      </c>
      <c r="G55" s="3" t="s">
        <v>425</v>
      </c>
      <c r="H55" s="3">
        <v>2021</v>
      </c>
      <c r="I55" s="3" t="s">
        <v>151</v>
      </c>
      <c r="J55" s="2"/>
      <c r="K55" s="3" t="s">
        <v>255</v>
      </c>
      <c r="L55" s="3" t="s">
        <v>256</v>
      </c>
      <c r="M55" s="2"/>
      <c r="N55" s="3" t="s">
        <v>116</v>
      </c>
      <c r="O55" s="3" t="s">
        <v>74</v>
      </c>
      <c r="P55" s="3">
        <v>120800000</v>
      </c>
      <c r="Q55" s="3" t="s">
        <v>74</v>
      </c>
      <c r="R55" s="3">
        <v>59100000</v>
      </c>
      <c r="S55" s="3" t="s">
        <v>75</v>
      </c>
      <c r="T55" s="3" t="s">
        <v>426</v>
      </c>
      <c r="U55" s="3" t="s">
        <v>75</v>
      </c>
      <c r="V55" s="3" t="s">
        <v>427</v>
      </c>
      <c r="W55" s="3" t="s">
        <v>75</v>
      </c>
      <c r="X55" s="3">
        <v>0</v>
      </c>
      <c r="Y55" s="3" t="s">
        <v>78</v>
      </c>
      <c r="Z55" s="3">
        <v>1</v>
      </c>
      <c r="AA55" s="3" t="s">
        <v>428</v>
      </c>
      <c r="AB55" s="3">
        <v>1</v>
      </c>
      <c r="AC55" s="3" t="s">
        <v>429</v>
      </c>
      <c r="AD55" s="3"/>
      <c r="AE55" s="3" t="s">
        <v>81</v>
      </c>
      <c r="AF55" s="2"/>
      <c r="AG55" s="3" t="s">
        <v>75</v>
      </c>
      <c r="AH55" s="3" t="s">
        <v>430</v>
      </c>
      <c r="AI55" s="3" t="s">
        <v>132</v>
      </c>
      <c r="AJ55" s="3" t="s">
        <v>75</v>
      </c>
      <c r="AK55" s="3" t="s">
        <v>75</v>
      </c>
      <c r="AL55" s="3" t="s">
        <v>110</v>
      </c>
    </row>
    <row r="56" spans="1:38" ht="15" x14ac:dyDescent="0.25">
      <c r="A56" s="3" t="b">
        <v>1</v>
      </c>
      <c r="B56" s="3" t="b">
        <v>0</v>
      </c>
      <c r="C56" s="2"/>
      <c r="D56" s="5">
        <v>44613.117379780088</v>
      </c>
      <c r="E56" s="3" t="s">
        <v>67</v>
      </c>
      <c r="F56" s="3" t="s">
        <v>431</v>
      </c>
      <c r="G56" s="3" t="s">
        <v>432</v>
      </c>
      <c r="H56" s="3">
        <v>2021</v>
      </c>
      <c r="I56" s="3" t="s">
        <v>433</v>
      </c>
      <c r="J56" s="2"/>
      <c r="K56" s="3" t="s">
        <v>368</v>
      </c>
      <c r="L56" s="3" t="s">
        <v>101</v>
      </c>
      <c r="M56" s="2"/>
      <c r="N56" s="3" t="s">
        <v>73</v>
      </c>
      <c r="O56" s="3" t="s">
        <v>74</v>
      </c>
      <c r="P56" s="3">
        <v>11660000</v>
      </c>
      <c r="Q56" s="3" t="s">
        <v>74</v>
      </c>
      <c r="R56" s="3">
        <v>10500000</v>
      </c>
      <c r="S56" s="3" t="s">
        <v>81</v>
      </c>
      <c r="T56" s="2"/>
      <c r="U56" s="3" t="s">
        <v>81</v>
      </c>
      <c r="V56" s="2"/>
      <c r="W56" s="3" t="s">
        <v>75</v>
      </c>
      <c r="X56" s="3">
        <v>1</v>
      </c>
      <c r="Y56" s="3" t="s">
        <v>434</v>
      </c>
      <c r="Z56" s="3">
        <v>0</v>
      </c>
      <c r="AA56" s="3" t="s">
        <v>78</v>
      </c>
      <c r="AB56" s="3">
        <v>1</v>
      </c>
      <c r="AC56" s="3" t="s">
        <v>435</v>
      </c>
      <c r="AD56" s="3"/>
      <c r="AE56" s="3" t="s">
        <v>81</v>
      </c>
      <c r="AF56" s="2"/>
      <c r="AG56" s="3" t="s">
        <v>81</v>
      </c>
      <c r="AH56" s="2"/>
      <c r="AI56" s="3" t="s">
        <v>121</v>
      </c>
      <c r="AJ56" s="3" t="s">
        <v>75</v>
      </c>
      <c r="AK56" s="3" t="s">
        <v>75</v>
      </c>
      <c r="AL56" s="3" t="s">
        <v>84</v>
      </c>
    </row>
    <row r="57" spans="1:38" ht="15" x14ac:dyDescent="0.25">
      <c r="A57" s="3" t="b">
        <v>1</v>
      </c>
      <c r="B57" s="3" t="b">
        <v>0</v>
      </c>
      <c r="C57" s="2"/>
      <c r="D57" s="5">
        <v>44613.119705648147</v>
      </c>
      <c r="E57" s="3" t="s">
        <v>67</v>
      </c>
      <c r="F57" s="3" t="s">
        <v>436</v>
      </c>
      <c r="G57" s="3" t="s">
        <v>437</v>
      </c>
      <c r="H57" s="3">
        <v>2022</v>
      </c>
      <c r="I57" s="3" t="s">
        <v>135</v>
      </c>
      <c r="J57" s="2"/>
      <c r="K57" s="3" t="s">
        <v>368</v>
      </c>
      <c r="L57" s="3" t="s">
        <v>101</v>
      </c>
      <c r="M57" s="2"/>
      <c r="N57" s="3" t="s">
        <v>103</v>
      </c>
      <c r="O57" s="3" t="s">
        <v>74</v>
      </c>
      <c r="P57" s="3">
        <v>11900000</v>
      </c>
      <c r="Q57" s="3" t="s">
        <v>74</v>
      </c>
      <c r="R57" s="3">
        <v>10000000</v>
      </c>
      <c r="S57" s="3" t="s">
        <v>81</v>
      </c>
      <c r="T57" s="2"/>
      <c r="U57" s="3" t="s">
        <v>81</v>
      </c>
      <c r="V57" s="2"/>
      <c r="W57" s="3" t="s">
        <v>81</v>
      </c>
      <c r="X57" s="2"/>
      <c r="Y57" s="2"/>
      <c r="Z57" s="2"/>
      <c r="AA57" s="2"/>
      <c r="AB57" s="2"/>
      <c r="AC57" s="2"/>
      <c r="AD57" s="3"/>
      <c r="AE57" s="3" t="s">
        <v>81</v>
      </c>
      <c r="AF57" s="2"/>
      <c r="AG57" s="3" t="s">
        <v>81</v>
      </c>
      <c r="AH57" s="2"/>
      <c r="AI57" s="3" t="s">
        <v>121</v>
      </c>
      <c r="AJ57" s="3" t="s">
        <v>75</v>
      </c>
      <c r="AK57" s="3" t="s">
        <v>81</v>
      </c>
      <c r="AL57" s="3" t="s">
        <v>84</v>
      </c>
    </row>
    <row r="58" spans="1:38" ht="15" x14ac:dyDescent="0.25">
      <c r="A58" s="3" t="b">
        <v>1</v>
      </c>
      <c r="B58" s="3" t="b">
        <v>0</v>
      </c>
      <c r="C58" s="2"/>
      <c r="D58" s="5">
        <v>44613.124109097218</v>
      </c>
      <c r="E58" s="3" t="s">
        <v>67</v>
      </c>
      <c r="F58" s="3" t="s">
        <v>438</v>
      </c>
      <c r="G58" s="3" t="s">
        <v>439</v>
      </c>
      <c r="H58" s="3">
        <v>2022</v>
      </c>
      <c r="I58" s="3" t="s">
        <v>87</v>
      </c>
      <c r="J58" s="3" t="s">
        <v>440</v>
      </c>
      <c r="K58" s="3" t="s">
        <v>216</v>
      </c>
      <c r="L58" s="3" t="s">
        <v>101</v>
      </c>
      <c r="M58" s="2"/>
      <c r="N58" s="3" t="s">
        <v>73</v>
      </c>
      <c r="O58" s="3" t="s">
        <v>74</v>
      </c>
      <c r="P58" s="3">
        <v>2570000</v>
      </c>
      <c r="Q58" s="3" t="s">
        <v>74</v>
      </c>
      <c r="R58" s="3">
        <v>2000000</v>
      </c>
      <c r="S58" s="3" t="s">
        <v>81</v>
      </c>
      <c r="T58" s="2"/>
      <c r="U58" s="3" t="s">
        <v>81</v>
      </c>
      <c r="V58" s="2"/>
      <c r="W58" s="3" t="s">
        <v>75</v>
      </c>
      <c r="X58" s="3">
        <v>0</v>
      </c>
      <c r="Y58" s="3" t="s">
        <v>78</v>
      </c>
      <c r="Z58" s="3">
        <v>0</v>
      </c>
      <c r="AA58" s="3" t="s">
        <v>78</v>
      </c>
      <c r="AB58" s="3">
        <v>1</v>
      </c>
      <c r="AC58" s="3" t="s">
        <v>441</v>
      </c>
      <c r="AD58" s="3"/>
      <c r="AE58" s="3" t="s">
        <v>75</v>
      </c>
      <c r="AF58" s="3" t="s">
        <v>442</v>
      </c>
      <c r="AG58" s="3" t="s">
        <v>81</v>
      </c>
      <c r="AH58" s="2"/>
      <c r="AI58" s="3" t="s">
        <v>121</v>
      </c>
      <c r="AJ58" s="3" t="s">
        <v>75</v>
      </c>
      <c r="AK58" s="3" t="s">
        <v>81</v>
      </c>
      <c r="AL58" s="3" t="s">
        <v>84</v>
      </c>
    </row>
    <row r="59" spans="1:38" ht="15" x14ac:dyDescent="0.25">
      <c r="A59" s="3" t="b">
        <v>1</v>
      </c>
      <c r="B59" s="3" t="b">
        <v>0</v>
      </c>
      <c r="C59" s="2"/>
      <c r="D59" s="5">
        <v>44613.129175254631</v>
      </c>
      <c r="E59" s="3" t="s">
        <v>67</v>
      </c>
      <c r="F59" s="3" t="s">
        <v>443</v>
      </c>
      <c r="G59" s="3" t="s">
        <v>444</v>
      </c>
      <c r="H59" s="3">
        <v>2021</v>
      </c>
      <c r="I59" s="3" t="s">
        <v>445</v>
      </c>
      <c r="J59" s="2"/>
      <c r="K59" s="3" t="s">
        <v>227</v>
      </c>
      <c r="L59" s="3" t="s">
        <v>228</v>
      </c>
      <c r="M59" s="2"/>
      <c r="N59" s="3" t="s">
        <v>73</v>
      </c>
      <c r="O59" s="3" t="s">
        <v>74</v>
      </c>
      <c r="P59" s="3">
        <v>32790000</v>
      </c>
      <c r="Q59" s="3" t="s">
        <v>74</v>
      </c>
      <c r="R59" s="3">
        <v>15000000</v>
      </c>
      <c r="S59" s="3" t="s">
        <v>75</v>
      </c>
      <c r="T59" s="3" t="s">
        <v>446</v>
      </c>
      <c r="U59" s="3" t="s">
        <v>81</v>
      </c>
      <c r="V59" s="2"/>
      <c r="W59" s="3" t="s">
        <v>75</v>
      </c>
      <c r="X59" s="3">
        <v>0</v>
      </c>
      <c r="Y59" s="3" t="s">
        <v>78</v>
      </c>
      <c r="Z59" s="3">
        <v>0</v>
      </c>
      <c r="AA59" s="3" t="s">
        <v>78</v>
      </c>
      <c r="AB59" s="3">
        <v>2</v>
      </c>
      <c r="AC59" s="3" t="s">
        <v>447</v>
      </c>
      <c r="AD59" s="3"/>
      <c r="AE59" s="3" t="s">
        <v>75</v>
      </c>
      <c r="AF59" s="3" t="s">
        <v>448</v>
      </c>
      <c r="AG59" s="3" t="s">
        <v>75</v>
      </c>
      <c r="AH59" s="3" t="s">
        <v>449</v>
      </c>
      <c r="AI59" s="3" t="s">
        <v>132</v>
      </c>
      <c r="AJ59" s="3" t="s">
        <v>75</v>
      </c>
      <c r="AK59" s="3" t="s">
        <v>75</v>
      </c>
      <c r="AL59" s="3" t="s">
        <v>110</v>
      </c>
    </row>
    <row r="60" spans="1:38" ht="15" x14ac:dyDescent="0.25">
      <c r="A60" s="3" t="b">
        <v>1</v>
      </c>
      <c r="B60" s="3" t="b">
        <v>0</v>
      </c>
      <c r="C60" s="2"/>
      <c r="D60" s="5">
        <v>44613.136899062505</v>
      </c>
      <c r="E60" s="3" t="s">
        <v>67</v>
      </c>
      <c r="F60" s="3" t="s">
        <v>450</v>
      </c>
      <c r="G60" s="3" t="s">
        <v>451</v>
      </c>
      <c r="H60" s="3">
        <v>2021</v>
      </c>
      <c r="I60" s="3" t="s">
        <v>87</v>
      </c>
      <c r="J60" s="3" t="s">
        <v>452</v>
      </c>
      <c r="K60" s="3" t="s">
        <v>216</v>
      </c>
      <c r="L60" s="3" t="s">
        <v>101</v>
      </c>
      <c r="M60" s="2"/>
      <c r="N60" s="3" t="s">
        <v>73</v>
      </c>
      <c r="O60" s="3" t="s">
        <v>74</v>
      </c>
      <c r="P60" s="3">
        <v>5500000</v>
      </c>
      <c r="Q60" s="3" t="s">
        <v>74</v>
      </c>
      <c r="R60" s="3">
        <v>5000000</v>
      </c>
      <c r="S60" s="3" t="s">
        <v>81</v>
      </c>
      <c r="T60" s="2"/>
      <c r="U60" s="3" t="s">
        <v>81</v>
      </c>
      <c r="V60" s="2"/>
      <c r="W60" s="3" t="s">
        <v>81</v>
      </c>
      <c r="X60" s="2"/>
      <c r="Y60" s="2"/>
      <c r="Z60" s="2"/>
      <c r="AA60" s="2"/>
      <c r="AB60" s="2"/>
      <c r="AC60" s="2"/>
      <c r="AD60" s="3"/>
      <c r="AE60" s="3" t="s">
        <v>81</v>
      </c>
      <c r="AF60" s="2"/>
      <c r="AG60" s="3" t="s">
        <v>81</v>
      </c>
      <c r="AH60" s="2"/>
      <c r="AI60" s="3" t="s">
        <v>121</v>
      </c>
      <c r="AJ60" s="3" t="s">
        <v>75</v>
      </c>
      <c r="AK60" s="3" t="s">
        <v>81</v>
      </c>
      <c r="AL60" s="3" t="s">
        <v>84</v>
      </c>
    </row>
    <row r="61" spans="1:38" ht="15" x14ac:dyDescent="0.25">
      <c r="A61" s="3" t="b">
        <v>1</v>
      </c>
      <c r="B61" s="3" t="b">
        <v>0</v>
      </c>
      <c r="C61" s="2"/>
      <c r="D61" s="5">
        <v>44613.143314606481</v>
      </c>
      <c r="E61" s="3" t="s">
        <v>67</v>
      </c>
      <c r="F61" s="3" t="s">
        <v>453</v>
      </c>
      <c r="G61" s="3" t="s">
        <v>454</v>
      </c>
      <c r="H61" s="3">
        <v>2021</v>
      </c>
      <c r="I61" s="3" t="s">
        <v>289</v>
      </c>
      <c r="J61" s="2"/>
      <c r="K61" s="3" t="s">
        <v>368</v>
      </c>
      <c r="L61" s="3" t="s">
        <v>101</v>
      </c>
      <c r="M61" s="2"/>
      <c r="N61" s="3" t="s">
        <v>73</v>
      </c>
      <c r="O61" s="3" t="s">
        <v>74</v>
      </c>
      <c r="P61" s="3">
        <v>22000000</v>
      </c>
      <c r="Q61" s="3" t="s">
        <v>74</v>
      </c>
      <c r="R61" s="3">
        <v>20000000</v>
      </c>
      <c r="S61" s="3" t="s">
        <v>75</v>
      </c>
      <c r="T61" s="3" t="s">
        <v>455</v>
      </c>
      <c r="U61" s="3" t="s">
        <v>81</v>
      </c>
      <c r="V61" s="2"/>
      <c r="W61" s="3" t="s">
        <v>75</v>
      </c>
      <c r="X61" s="3">
        <v>0</v>
      </c>
      <c r="Y61" s="3" t="s">
        <v>78</v>
      </c>
      <c r="Z61" s="3">
        <v>0</v>
      </c>
      <c r="AA61" s="3" t="s">
        <v>78</v>
      </c>
      <c r="AB61" s="3">
        <v>2</v>
      </c>
      <c r="AC61" s="3" t="s">
        <v>456</v>
      </c>
      <c r="AD61" s="3"/>
      <c r="AE61" s="3" t="s">
        <v>81</v>
      </c>
      <c r="AF61" s="2"/>
      <c r="AG61" s="3" t="s">
        <v>75</v>
      </c>
      <c r="AH61" s="3" t="s">
        <v>457</v>
      </c>
      <c r="AI61" s="3" t="s">
        <v>121</v>
      </c>
      <c r="AJ61" s="3" t="s">
        <v>75</v>
      </c>
      <c r="AK61" s="3" t="s">
        <v>75</v>
      </c>
      <c r="AL61" s="3" t="s">
        <v>84</v>
      </c>
    </row>
  </sheetData>
  <autoFilter ref="A1:AL61" xr:uid="{D5B4CED3-3168-436C-A40A-A370E5999A70}"/>
  <conditionalFormatting sqref="B1:B61">
    <cfRule type="expression" dxfId="35" priority="1">
      <formula>B$1="Counter"</formula>
    </cfRule>
  </conditionalFormatting>
  <conditionalFormatting sqref="B2:B61 AD37:AD61">
    <cfRule type="expression" dxfId="34" priority="3">
      <formula>$A2=TRUE</formula>
    </cfRule>
  </conditionalFormatting>
  <conditionalFormatting sqref="B2:B61">
    <cfRule type="expression" dxfId="33" priority="2">
      <formula>$B2=TRUE</formula>
    </cfRule>
  </conditionalFormatting>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25919-59D7-40A9-B2A4-FBB0DAE2B086}">
  <sheetPr>
    <tabColor rgb="FFFF0000"/>
  </sheetPr>
  <dimension ref="A1:C35"/>
  <sheetViews>
    <sheetView topLeftCell="A13" workbookViewId="0">
      <selection activeCell="A15" sqref="A15:XFD15"/>
    </sheetView>
  </sheetViews>
  <sheetFormatPr defaultColWidth="8.77734375" defaultRowHeight="13.8" x14ac:dyDescent="0.3"/>
  <cols>
    <col min="1" max="1" width="46.44140625" style="1" bestFit="1" customWidth="1"/>
    <col min="2" max="2" width="58" style="1" customWidth="1"/>
    <col min="3" max="3" width="30.44140625" style="16" customWidth="1"/>
    <col min="4" max="16384" width="8.77734375" style="1"/>
  </cols>
  <sheetData>
    <row r="1" spans="1:3" ht="19.95" customHeight="1" x14ac:dyDescent="0.25">
      <c r="A1" s="44" t="s">
        <v>459</v>
      </c>
      <c r="B1" s="44" t="s">
        <v>660</v>
      </c>
      <c r="C1" s="44" t="s">
        <v>604</v>
      </c>
    </row>
    <row r="2" spans="1:3" ht="19.95" customHeight="1" x14ac:dyDescent="0.3">
      <c r="A2" s="45" t="s">
        <v>4</v>
      </c>
      <c r="B2" s="46" t="s">
        <v>4</v>
      </c>
      <c r="C2" s="100" t="s">
        <v>602</v>
      </c>
    </row>
    <row r="3" spans="1:3" ht="19.95" customHeight="1" x14ac:dyDescent="0.3">
      <c r="A3" s="45" t="s">
        <v>5</v>
      </c>
      <c r="B3" s="46" t="s">
        <v>38</v>
      </c>
      <c r="C3" s="47" t="s">
        <v>603</v>
      </c>
    </row>
    <row r="4" spans="1:3" ht="19.95" customHeight="1" x14ac:dyDescent="0.3">
      <c r="A4" s="45" t="s">
        <v>6</v>
      </c>
      <c r="B4" s="46" t="s">
        <v>39</v>
      </c>
      <c r="C4" s="47" t="s">
        <v>603</v>
      </c>
    </row>
    <row r="5" spans="1:3" ht="19.95" customHeight="1" x14ac:dyDescent="0.3">
      <c r="A5" s="48" t="s">
        <v>7</v>
      </c>
      <c r="B5" s="46" t="s">
        <v>40</v>
      </c>
      <c r="C5" s="47" t="s">
        <v>603</v>
      </c>
    </row>
    <row r="6" spans="1:3" ht="19.95" customHeight="1" x14ac:dyDescent="0.3">
      <c r="A6" s="45" t="s">
        <v>8</v>
      </c>
      <c r="B6" s="46" t="s">
        <v>41</v>
      </c>
      <c r="C6" s="47" t="s">
        <v>603</v>
      </c>
    </row>
    <row r="7" spans="1:3" ht="19.95" customHeight="1" x14ac:dyDescent="0.3">
      <c r="A7" s="48" t="s">
        <v>9</v>
      </c>
      <c r="B7" s="46" t="s">
        <v>42</v>
      </c>
      <c r="C7" s="100" t="s">
        <v>602</v>
      </c>
    </row>
    <row r="8" spans="1:3" ht="19.95" customHeight="1" x14ac:dyDescent="0.3">
      <c r="A8" s="45" t="s">
        <v>10</v>
      </c>
      <c r="B8" s="46" t="s">
        <v>43</v>
      </c>
      <c r="C8" s="47" t="s">
        <v>603</v>
      </c>
    </row>
    <row r="9" spans="1:3" ht="19.95" customHeight="1" x14ac:dyDescent="0.3">
      <c r="A9" s="45" t="s">
        <v>11</v>
      </c>
      <c r="B9" s="46" t="s">
        <v>44</v>
      </c>
      <c r="C9" s="47" t="s">
        <v>603</v>
      </c>
    </row>
    <row r="10" spans="1:3" ht="19.95" customHeight="1" x14ac:dyDescent="0.3">
      <c r="A10" s="49" t="s">
        <v>12</v>
      </c>
      <c r="B10" s="50" t="s">
        <v>44</v>
      </c>
      <c r="C10" s="47" t="s">
        <v>603</v>
      </c>
    </row>
    <row r="11" spans="1:3" ht="19.95" customHeight="1" x14ac:dyDescent="0.3">
      <c r="A11" s="48" t="s">
        <v>13</v>
      </c>
      <c r="B11" s="46" t="s">
        <v>13</v>
      </c>
      <c r="C11" s="47" t="s">
        <v>603</v>
      </c>
    </row>
    <row r="12" spans="1:3" ht="19.95" customHeight="1" x14ac:dyDescent="0.3">
      <c r="A12" s="48" t="s">
        <v>14</v>
      </c>
      <c r="B12" s="46" t="s">
        <v>45</v>
      </c>
      <c r="C12" s="47" t="s">
        <v>603</v>
      </c>
    </row>
    <row r="13" spans="1:3" ht="19.95" customHeight="1" x14ac:dyDescent="0.3">
      <c r="A13" s="48" t="s">
        <v>15</v>
      </c>
      <c r="B13" s="46" t="s">
        <v>46</v>
      </c>
      <c r="C13" s="47" t="s">
        <v>603</v>
      </c>
    </row>
    <row r="14" spans="1:3" ht="19.95" customHeight="1" x14ac:dyDescent="0.3">
      <c r="A14" s="45" t="s">
        <v>16</v>
      </c>
      <c r="B14" s="46" t="s">
        <v>47</v>
      </c>
      <c r="C14" s="51" t="s">
        <v>603</v>
      </c>
    </row>
    <row r="15" spans="1:3" ht="19.95" customHeight="1" x14ac:dyDescent="0.3">
      <c r="A15" s="45" t="s">
        <v>17</v>
      </c>
      <c r="B15" s="46" t="s">
        <v>48</v>
      </c>
      <c r="C15" s="47" t="s">
        <v>603</v>
      </c>
    </row>
    <row r="16" spans="1:3" ht="19.95" customHeight="1" x14ac:dyDescent="0.3">
      <c r="A16" s="48" t="s">
        <v>18</v>
      </c>
      <c r="B16" s="46" t="s">
        <v>49</v>
      </c>
      <c r="C16" s="100" t="s">
        <v>602</v>
      </c>
    </row>
    <row r="17" spans="1:3" ht="19.95" customHeight="1" x14ac:dyDescent="0.3">
      <c r="A17" s="48" t="s">
        <v>19</v>
      </c>
      <c r="B17" s="46" t="s">
        <v>50</v>
      </c>
      <c r="C17" s="100" t="s">
        <v>602</v>
      </c>
    </row>
    <row r="18" spans="1:3" ht="19.95" customHeight="1" x14ac:dyDescent="0.3">
      <c r="A18" s="48" t="s">
        <v>20</v>
      </c>
      <c r="B18" s="46" t="s">
        <v>51</v>
      </c>
      <c r="C18" s="100" t="s">
        <v>602</v>
      </c>
    </row>
    <row r="19" spans="1:3" ht="19.95" customHeight="1" x14ac:dyDescent="0.3">
      <c r="A19" s="45" t="s">
        <v>21</v>
      </c>
      <c r="B19" s="46" t="s">
        <v>52</v>
      </c>
      <c r="C19" s="100" t="s">
        <v>602</v>
      </c>
    </row>
    <row r="20" spans="1:3" ht="19.95" customHeight="1" x14ac:dyDescent="0.3">
      <c r="A20" s="45" t="s">
        <v>22</v>
      </c>
      <c r="B20" s="46" t="s">
        <v>53</v>
      </c>
      <c r="C20" s="100" t="s">
        <v>602</v>
      </c>
    </row>
    <row r="21" spans="1:3" ht="19.95" customHeight="1" x14ac:dyDescent="0.3">
      <c r="A21" s="48" t="s">
        <v>23</v>
      </c>
      <c r="B21" s="46" t="s">
        <v>54</v>
      </c>
      <c r="C21" s="100" t="s">
        <v>602</v>
      </c>
    </row>
    <row r="22" spans="1:3" ht="19.95" customHeight="1" x14ac:dyDescent="0.3">
      <c r="A22" s="48" t="s">
        <v>24</v>
      </c>
      <c r="B22" s="46" t="s">
        <v>55</v>
      </c>
      <c r="C22" s="100" t="s">
        <v>602</v>
      </c>
    </row>
    <row r="23" spans="1:3" ht="19.95" customHeight="1" x14ac:dyDescent="0.3">
      <c r="A23" s="48" t="s">
        <v>25</v>
      </c>
      <c r="B23" s="46" t="s">
        <v>56</v>
      </c>
      <c r="C23" s="100" t="s">
        <v>602</v>
      </c>
    </row>
    <row r="24" spans="1:3" ht="19.95" customHeight="1" x14ac:dyDescent="0.3">
      <c r="A24" s="48" t="s">
        <v>26</v>
      </c>
      <c r="B24" s="46" t="s">
        <v>57</v>
      </c>
      <c r="C24" s="100" t="s">
        <v>602</v>
      </c>
    </row>
    <row r="25" spans="1:3" ht="19.95" customHeight="1" x14ac:dyDescent="0.3">
      <c r="A25" s="48" t="s">
        <v>27</v>
      </c>
      <c r="B25" s="46" t="s">
        <v>58</v>
      </c>
      <c r="C25" s="100" t="s">
        <v>602</v>
      </c>
    </row>
    <row r="26" spans="1:3" ht="19.95" customHeight="1" x14ac:dyDescent="0.3">
      <c r="A26" s="48" t="s">
        <v>28</v>
      </c>
      <c r="B26" s="46" t="s">
        <v>59</v>
      </c>
      <c r="C26" s="100" t="s">
        <v>602</v>
      </c>
    </row>
    <row r="27" spans="1:3" ht="19.95" customHeight="1" x14ac:dyDescent="0.3">
      <c r="A27" s="52" t="s">
        <v>29</v>
      </c>
      <c r="B27" s="53"/>
      <c r="C27" s="100" t="s">
        <v>602</v>
      </c>
    </row>
    <row r="28" spans="1:3" ht="19.95" customHeight="1" x14ac:dyDescent="0.3">
      <c r="A28" s="45" t="s">
        <v>30</v>
      </c>
      <c r="B28" s="46" t="s">
        <v>60</v>
      </c>
      <c r="C28" s="100" t="s">
        <v>602</v>
      </c>
    </row>
    <row r="29" spans="1:3" ht="19.95" customHeight="1" x14ac:dyDescent="0.3">
      <c r="A29" s="45" t="s">
        <v>31</v>
      </c>
      <c r="B29" s="46" t="s">
        <v>61</v>
      </c>
      <c r="C29" s="100" t="s">
        <v>602</v>
      </c>
    </row>
    <row r="30" spans="1:3" ht="19.95" customHeight="1" x14ac:dyDescent="0.3">
      <c r="A30" s="45" t="s">
        <v>32</v>
      </c>
      <c r="B30" s="46" t="s">
        <v>62</v>
      </c>
      <c r="C30" s="100" t="s">
        <v>602</v>
      </c>
    </row>
    <row r="31" spans="1:3" ht="19.95" customHeight="1" x14ac:dyDescent="0.3">
      <c r="A31" s="45" t="s">
        <v>33</v>
      </c>
      <c r="B31" s="46" t="s">
        <v>63</v>
      </c>
      <c r="C31" s="100" t="s">
        <v>602</v>
      </c>
    </row>
    <row r="32" spans="1:3" ht="19.95" customHeight="1" x14ac:dyDescent="0.3">
      <c r="A32" s="48" t="s">
        <v>34</v>
      </c>
      <c r="B32" s="46" t="s">
        <v>64</v>
      </c>
      <c r="C32" s="100" t="s">
        <v>602</v>
      </c>
    </row>
    <row r="33" spans="1:3" ht="19.95" customHeight="1" x14ac:dyDescent="0.3">
      <c r="A33" s="48" t="s">
        <v>35</v>
      </c>
      <c r="B33" s="46" t="s">
        <v>65</v>
      </c>
      <c r="C33" s="100" t="s">
        <v>602</v>
      </c>
    </row>
    <row r="34" spans="1:3" ht="19.95" customHeight="1" x14ac:dyDescent="0.3">
      <c r="A34" s="48" t="s">
        <v>36</v>
      </c>
      <c r="B34" s="46" t="s">
        <v>66</v>
      </c>
      <c r="C34" s="100" t="s">
        <v>602</v>
      </c>
    </row>
    <row r="35" spans="1:3" ht="19.95" customHeight="1" x14ac:dyDescent="0.3">
      <c r="A35" s="45" t="s">
        <v>37</v>
      </c>
      <c r="B35" s="46" t="s">
        <v>37</v>
      </c>
      <c r="C35" s="100" t="s">
        <v>602</v>
      </c>
    </row>
  </sheetData>
  <conditionalFormatting sqref="C3">
    <cfRule type="expression" dxfId="32" priority="1">
      <formula>C$1="Counter"</formula>
    </cfRule>
    <cfRule type="expression" dxfId="31" priority="2">
      <formula>$B3=TRUE</formula>
    </cfRule>
    <cfRule type="expression" dxfId="30" priority="3">
      <formula>$A3=TRUE</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27E85-9529-441B-AF0C-EC3B7448B9BD}">
  <dimension ref="A1:AR363"/>
  <sheetViews>
    <sheetView workbookViewId="0">
      <pane xSplit="1" ySplit="1" topLeftCell="AG182" activePane="bottomRight" state="frozen"/>
      <selection pane="topRight" activeCell="B1" sqref="B1"/>
      <selection pane="bottomLeft" activeCell="A2" sqref="A2"/>
      <selection pane="bottomRight" activeCell="A189" sqref="A189"/>
    </sheetView>
  </sheetViews>
  <sheetFormatPr defaultColWidth="8.88671875" defaultRowHeight="14.4" x14ac:dyDescent="0.3"/>
  <cols>
    <col min="1" max="1" width="47.6640625" style="101" customWidth="1"/>
    <col min="2" max="2" width="16.5546875" style="101" bestFit="1" customWidth="1"/>
    <col min="3" max="3" width="8.88671875" style="101"/>
    <col min="4" max="4" width="19.6640625" style="101" customWidth="1"/>
    <col min="5" max="5" width="12.44140625" style="101" customWidth="1"/>
    <col min="6" max="6" width="8.88671875" style="101"/>
    <col min="7" max="7" width="13.5546875" style="101" customWidth="1"/>
    <col min="8" max="8" width="14.88671875" style="101" customWidth="1"/>
    <col min="9" max="10" width="16.5546875" style="101" customWidth="1"/>
    <col min="11" max="11" width="20.33203125" style="101" customWidth="1"/>
    <col min="12" max="12" width="8.88671875" style="101"/>
    <col min="13" max="13" width="14.77734375" style="101" customWidth="1"/>
    <col min="14" max="15" width="12.33203125" style="101" bestFit="1" customWidth="1"/>
    <col min="16" max="44" width="17.21875" style="101" customWidth="1"/>
    <col min="45" max="16384" width="8.88671875" style="101"/>
  </cols>
  <sheetData>
    <row r="1" spans="1:44" s="89" customFormat="1" ht="31.2" customHeight="1" x14ac:dyDescent="0.25">
      <c r="A1" s="138" t="s">
        <v>5</v>
      </c>
      <c r="B1" s="138" t="s">
        <v>6</v>
      </c>
      <c r="C1" s="114" t="s">
        <v>7</v>
      </c>
      <c r="D1" s="115" t="s">
        <v>8</v>
      </c>
      <c r="E1" s="138" t="s">
        <v>9</v>
      </c>
      <c r="F1" s="138" t="s">
        <v>661</v>
      </c>
      <c r="G1" s="114" t="s">
        <v>517</v>
      </c>
      <c r="H1" s="114" t="s">
        <v>10</v>
      </c>
      <c r="I1" s="138" t="s">
        <v>11</v>
      </c>
      <c r="J1" s="138" t="s">
        <v>13</v>
      </c>
      <c r="K1" s="138" t="s">
        <v>662</v>
      </c>
      <c r="L1" s="113" t="s">
        <v>14</v>
      </c>
      <c r="M1" s="113" t="s">
        <v>15</v>
      </c>
      <c r="N1" s="113" t="s">
        <v>663</v>
      </c>
      <c r="O1" s="113" t="s">
        <v>664</v>
      </c>
      <c r="P1" s="113" t="s">
        <v>665</v>
      </c>
      <c r="Q1" s="113" t="s">
        <v>666</v>
      </c>
      <c r="R1" s="113" t="s">
        <v>667</v>
      </c>
      <c r="S1" s="113" t="s">
        <v>17</v>
      </c>
      <c r="T1" s="118" t="s">
        <v>668</v>
      </c>
      <c r="U1" s="138" t="s">
        <v>669</v>
      </c>
      <c r="V1" s="138" t="s">
        <v>18</v>
      </c>
      <c r="W1" s="138" t="s">
        <v>19</v>
      </c>
      <c r="X1" s="138" t="s">
        <v>20</v>
      </c>
      <c r="Y1" s="138" t="s">
        <v>21</v>
      </c>
      <c r="Z1" s="138" t="s">
        <v>22</v>
      </c>
      <c r="AA1" s="138" t="s">
        <v>23</v>
      </c>
      <c r="AB1" s="138" t="s">
        <v>24</v>
      </c>
      <c r="AC1" s="138" t="s">
        <v>25</v>
      </c>
      <c r="AD1" s="138" t="s">
        <v>26</v>
      </c>
      <c r="AE1" s="138" t="s">
        <v>27</v>
      </c>
      <c r="AF1" s="138" t="s">
        <v>28</v>
      </c>
      <c r="AG1" s="138" t="s">
        <v>29</v>
      </c>
      <c r="AH1" s="138" t="s">
        <v>30</v>
      </c>
      <c r="AI1" s="138" t="s">
        <v>31</v>
      </c>
      <c r="AJ1" s="138" t="s">
        <v>32</v>
      </c>
      <c r="AK1" s="138" t="s">
        <v>33</v>
      </c>
      <c r="AL1" s="138" t="s">
        <v>34</v>
      </c>
      <c r="AM1" s="138" t="s">
        <v>35</v>
      </c>
      <c r="AN1" s="138" t="s">
        <v>36</v>
      </c>
      <c r="AO1" s="138" t="s">
        <v>37</v>
      </c>
      <c r="AP1" s="138" t="s">
        <v>671</v>
      </c>
      <c r="AQ1" s="138" t="s">
        <v>672</v>
      </c>
      <c r="AR1" s="118" t="s">
        <v>16</v>
      </c>
    </row>
    <row r="2" spans="1:44" s="143" customFormat="1" ht="25.05" customHeight="1" x14ac:dyDescent="0.3">
      <c r="A2" s="126" t="s">
        <v>122</v>
      </c>
      <c r="B2" s="126" t="s">
        <v>123</v>
      </c>
      <c r="C2" s="139">
        <v>2020</v>
      </c>
      <c r="D2" s="139" t="s">
        <v>124</v>
      </c>
      <c r="E2" s="139">
        <v>0</v>
      </c>
      <c r="F2" s="139" t="s">
        <v>550</v>
      </c>
      <c r="G2" s="139" t="s">
        <v>519</v>
      </c>
      <c r="H2" s="139" t="s">
        <v>125</v>
      </c>
      <c r="I2" s="126" t="s">
        <v>72</v>
      </c>
      <c r="J2" s="126" t="s">
        <v>116</v>
      </c>
      <c r="K2" s="126" t="s">
        <v>81</v>
      </c>
      <c r="L2" s="126" t="s">
        <v>126</v>
      </c>
      <c r="M2" s="126">
        <v>205000000</v>
      </c>
      <c r="N2" s="126">
        <v>148246711.45404714</v>
      </c>
      <c r="O2" s="126">
        <v>205000000</v>
      </c>
      <c r="P2" s="126"/>
      <c r="Q2" s="126"/>
      <c r="R2" s="126" t="s">
        <v>659</v>
      </c>
      <c r="S2" s="126">
        <v>205000000</v>
      </c>
      <c r="T2" s="126">
        <v>148246711.45404714</v>
      </c>
      <c r="U2" s="127">
        <v>205000000</v>
      </c>
      <c r="V2" s="126" t="s">
        <v>75</v>
      </c>
      <c r="W2" s="126" t="s">
        <v>127</v>
      </c>
      <c r="X2" s="126" t="s">
        <v>75</v>
      </c>
      <c r="Y2" s="126" t="s">
        <v>128</v>
      </c>
      <c r="Z2" s="126" t="s">
        <v>75</v>
      </c>
      <c r="AA2" s="126">
        <v>0</v>
      </c>
      <c r="AB2" s="141" t="s">
        <v>78</v>
      </c>
      <c r="AC2" s="126">
        <v>1</v>
      </c>
      <c r="AD2" s="139" t="s">
        <v>129</v>
      </c>
      <c r="AE2" s="126">
        <v>2</v>
      </c>
      <c r="AF2" s="126" t="s">
        <v>130</v>
      </c>
      <c r="AG2" s="126">
        <v>3</v>
      </c>
      <c r="AH2" s="142" t="s">
        <v>81</v>
      </c>
      <c r="AI2" s="142">
        <v>0</v>
      </c>
      <c r="AJ2" s="142" t="s">
        <v>75</v>
      </c>
      <c r="AK2" s="142" t="s">
        <v>131</v>
      </c>
      <c r="AL2" s="142" t="s">
        <v>132</v>
      </c>
      <c r="AM2" s="142" t="s">
        <v>75</v>
      </c>
      <c r="AN2" s="142" t="s">
        <v>81</v>
      </c>
      <c r="AO2" s="142" t="s">
        <v>84</v>
      </c>
      <c r="AP2" s="142" t="s">
        <v>75</v>
      </c>
      <c r="AQ2" s="142">
        <v>1</v>
      </c>
      <c r="AR2" s="142" t="s">
        <v>126</v>
      </c>
    </row>
    <row r="3" spans="1:44" s="143" customFormat="1" ht="25.05" customHeight="1" x14ac:dyDescent="0.3">
      <c r="A3" s="126" t="s">
        <v>218</v>
      </c>
      <c r="B3" s="126" t="s">
        <v>219</v>
      </c>
      <c r="C3" s="139">
        <v>2020</v>
      </c>
      <c r="D3" s="139" t="s">
        <v>87</v>
      </c>
      <c r="E3" s="139" t="s">
        <v>220</v>
      </c>
      <c r="F3" s="139" t="s">
        <v>1848</v>
      </c>
      <c r="G3" s="139" t="s">
        <v>87</v>
      </c>
      <c r="H3" s="139" t="s">
        <v>89</v>
      </c>
      <c r="I3" s="126" t="s">
        <v>72</v>
      </c>
      <c r="J3" s="126" t="s">
        <v>221</v>
      </c>
      <c r="K3" s="126" t="s">
        <v>75</v>
      </c>
      <c r="L3" s="126" t="s">
        <v>126</v>
      </c>
      <c r="M3" s="126">
        <v>2000000</v>
      </c>
      <c r="N3" s="126">
        <v>1446309.3800394842</v>
      </c>
      <c r="O3" s="126">
        <v>2000000</v>
      </c>
      <c r="P3" s="126" t="s">
        <v>659</v>
      </c>
      <c r="Q3" s="126" t="s">
        <v>659</v>
      </c>
      <c r="R3" s="126" t="s">
        <v>659</v>
      </c>
      <c r="S3" s="126">
        <v>2000000</v>
      </c>
      <c r="T3" s="126">
        <v>1446309.3800394842</v>
      </c>
      <c r="U3" s="127">
        <v>2000000</v>
      </c>
      <c r="V3" s="126" t="s">
        <v>81</v>
      </c>
      <c r="W3" s="126">
        <v>0</v>
      </c>
      <c r="X3" s="126" t="s">
        <v>81</v>
      </c>
      <c r="Y3" s="126">
        <v>0</v>
      </c>
      <c r="Z3" s="126" t="s">
        <v>81</v>
      </c>
      <c r="AA3" s="126">
        <v>0</v>
      </c>
      <c r="AB3" s="141">
        <v>0</v>
      </c>
      <c r="AC3" s="126">
        <v>0</v>
      </c>
      <c r="AD3" s="139">
        <v>0</v>
      </c>
      <c r="AE3" s="126">
        <v>0</v>
      </c>
      <c r="AF3" s="126">
        <v>0</v>
      </c>
      <c r="AG3" s="126">
        <v>0</v>
      </c>
      <c r="AH3" s="142" t="s">
        <v>81</v>
      </c>
      <c r="AI3" s="142">
        <v>0</v>
      </c>
      <c r="AJ3" s="142" t="s">
        <v>81</v>
      </c>
      <c r="AK3" s="142">
        <v>0</v>
      </c>
      <c r="AL3" s="142" t="s">
        <v>217</v>
      </c>
      <c r="AM3" s="142" t="s">
        <v>81</v>
      </c>
      <c r="AN3" s="142" t="s">
        <v>81</v>
      </c>
      <c r="AO3" s="142" t="s">
        <v>222</v>
      </c>
      <c r="AP3" s="142" t="s">
        <v>81</v>
      </c>
      <c r="AQ3" s="142">
        <v>1</v>
      </c>
      <c r="AR3" s="142" t="s">
        <v>126</v>
      </c>
    </row>
    <row r="4" spans="1:44" s="143" customFormat="1" ht="25.05" customHeight="1" x14ac:dyDescent="0.3">
      <c r="A4" s="126" t="s">
        <v>961</v>
      </c>
      <c r="B4" s="125" t="s">
        <v>962</v>
      </c>
      <c r="C4" s="139">
        <v>2017</v>
      </c>
      <c r="D4" s="139" t="s">
        <v>501</v>
      </c>
      <c r="E4" s="139" t="s">
        <v>78</v>
      </c>
      <c r="F4" s="139" t="s">
        <v>551</v>
      </c>
      <c r="G4" s="139" t="s">
        <v>519</v>
      </c>
      <c r="H4" s="139" t="s">
        <v>596</v>
      </c>
      <c r="I4" s="126" t="s">
        <v>101</v>
      </c>
      <c r="J4" s="126" t="s">
        <v>676</v>
      </c>
      <c r="K4" s="126" t="s">
        <v>81</v>
      </c>
      <c r="L4" s="140" t="s">
        <v>74</v>
      </c>
      <c r="M4" s="140">
        <v>760000</v>
      </c>
      <c r="N4" s="126">
        <v>760000</v>
      </c>
      <c r="O4" s="126">
        <v>1021690.8</v>
      </c>
      <c r="P4" s="126">
        <v>760000</v>
      </c>
      <c r="Q4" s="126">
        <v>760000</v>
      </c>
      <c r="R4" s="126">
        <v>1021690.8</v>
      </c>
      <c r="S4" s="126">
        <v>760000</v>
      </c>
      <c r="T4" s="126">
        <v>760000</v>
      </c>
      <c r="U4" s="127">
        <v>1021690.8</v>
      </c>
      <c r="V4" s="140" t="s">
        <v>81</v>
      </c>
      <c r="W4" s="126" t="s">
        <v>78</v>
      </c>
      <c r="X4" s="126" t="s">
        <v>81</v>
      </c>
      <c r="Y4" s="126" t="s">
        <v>78</v>
      </c>
      <c r="Z4" s="126" t="s">
        <v>81</v>
      </c>
      <c r="AA4" s="126">
        <v>0</v>
      </c>
      <c r="AB4" s="141" t="s">
        <v>78</v>
      </c>
      <c r="AC4" s="126">
        <v>0</v>
      </c>
      <c r="AD4" s="139" t="s">
        <v>78</v>
      </c>
      <c r="AE4" s="126">
        <v>0</v>
      </c>
      <c r="AF4" s="126" t="s">
        <v>78</v>
      </c>
      <c r="AG4" s="126">
        <v>0</v>
      </c>
      <c r="AH4" s="142" t="s">
        <v>81</v>
      </c>
      <c r="AI4" s="142" t="s">
        <v>78</v>
      </c>
      <c r="AJ4" s="142" t="s">
        <v>81</v>
      </c>
      <c r="AK4" s="142" t="s">
        <v>78</v>
      </c>
      <c r="AL4" s="142" t="s">
        <v>78</v>
      </c>
      <c r="AM4" s="142" t="s">
        <v>81</v>
      </c>
      <c r="AN4" s="142" t="s">
        <v>81</v>
      </c>
      <c r="AO4" s="142" t="s">
        <v>78</v>
      </c>
      <c r="AP4" s="142" t="s">
        <v>81</v>
      </c>
      <c r="AQ4" s="142">
        <v>1</v>
      </c>
      <c r="AR4" s="142" t="s">
        <v>74</v>
      </c>
    </row>
    <row r="5" spans="1:44" s="143" customFormat="1" ht="25.05" customHeight="1" x14ac:dyDescent="0.3">
      <c r="A5" s="126" t="s">
        <v>1447</v>
      </c>
      <c r="B5" s="126" t="s">
        <v>1448</v>
      </c>
      <c r="C5" s="139">
        <v>2019</v>
      </c>
      <c r="D5" s="139" t="s">
        <v>501</v>
      </c>
      <c r="E5" s="139" t="s">
        <v>78</v>
      </c>
      <c r="F5" s="139" t="s">
        <v>551</v>
      </c>
      <c r="G5" s="139" t="s">
        <v>519</v>
      </c>
      <c r="H5" s="139" t="s">
        <v>587</v>
      </c>
      <c r="I5" s="126" t="s">
        <v>256</v>
      </c>
      <c r="J5" s="126" t="s">
        <v>679</v>
      </c>
      <c r="K5" s="126" t="s">
        <v>75</v>
      </c>
      <c r="L5" s="126" t="s">
        <v>74</v>
      </c>
      <c r="M5" s="126">
        <v>27490000</v>
      </c>
      <c r="N5" s="126">
        <v>27490000</v>
      </c>
      <c r="O5" s="126">
        <v>38232817.100000001</v>
      </c>
      <c r="P5" s="126">
        <v>1928759.57</v>
      </c>
      <c r="Q5" s="126">
        <v>1928759.57</v>
      </c>
      <c r="R5" s="126">
        <v>2682499.5223603002</v>
      </c>
      <c r="S5" s="126">
        <v>0</v>
      </c>
      <c r="T5" s="126">
        <v>0</v>
      </c>
      <c r="U5" s="127">
        <v>0</v>
      </c>
      <c r="V5" s="126" t="s">
        <v>75</v>
      </c>
      <c r="W5" s="126" t="s">
        <v>1449</v>
      </c>
      <c r="X5" s="126" t="s">
        <v>75</v>
      </c>
      <c r="Y5" s="126" t="s">
        <v>1450</v>
      </c>
      <c r="Z5" s="126" t="s">
        <v>75</v>
      </c>
      <c r="AA5" s="126">
        <v>999</v>
      </c>
      <c r="AB5" s="141" t="s">
        <v>1451</v>
      </c>
      <c r="AC5" s="126">
        <v>999</v>
      </c>
      <c r="AD5" s="139" t="s">
        <v>1452</v>
      </c>
      <c r="AE5" s="126">
        <v>999</v>
      </c>
      <c r="AF5" s="126" t="s">
        <v>1453</v>
      </c>
      <c r="AG5" s="126">
        <v>4</v>
      </c>
      <c r="AH5" s="142" t="s">
        <v>81</v>
      </c>
      <c r="AI5" s="142" t="s">
        <v>78</v>
      </c>
      <c r="AJ5" s="142" t="s">
        <v>75</v>
      </c>
      <c r="AK5" s="142" t="s">
        <v>1454</v>
      </c>
      <c r="AL5" s="142" t="s">
        <v>121</v>
      </c>
      <c r="AM5" s="142" t="s">
        <v>75</v>
      </c>
      <c r="AN5" s="142" t="s">
        <v>75</v>
      </c>
      <c r="AO5" s="142" t="s">
        <v>78</v>
      </c>
      <c r="AP5" s="142" t="s">
        <v>75</v>
      </c>
      <c r="AQ5" s="142">
        <v>1</v>
      </c>
      <c r="AR5" s="142" t="s">
        <v>74</v>
      </c>
    </row>
    <row r="6" spans="1:44" s="143" customFormat="1" ht="25.05" customHeight="1" x14ac:dyDescent="0.3">
      <c r="A6" s="126" t="s">
        <v>987</v>
      </c>
      <c r="B6" s="125" t="s">
        <v>988</v>
      </c>
      <c r="C6" s="139">
        <v>2017</v>
      </c>
      <c r="D6" s="139" t="s">
        <v>195</v>
      </c>
      <c r="E6" s="139" t="s">
        <v>78</v>
      </c>
      <c r="F6" s="139" t="s">
        <v>536</v>
      </c>
      <c r="G6" s="139" t="s">
        <v>522</v>
      </c>
      <c r="H6" s="139" t="s">
        <v>587</v>
      </c>
      <c r="I6" s="126" t="s">
        <v>256</v>
      </c>
      <c r="J6" s="126" t="s">
        <v>676</v>
      </c>
      <c r="K6" s="126" t="s">
        <v>81</v>
      </c>
      <c r="L6" s="140" t="s">
        <v>74</v>
      </c>
      <c r="M6" s="140">
        <v>4120000</v>
      </c>
      <c r="N6" s="126">
        <v>4120000</v>
      </c>
      <c r="O6" s="126">
        <v>5538639.6000000006</v>
      </c>
      <c r="P6" s="126">
        <v>4120000</v>
      </c>
      <c r="Q6" s="126">
        <v>4120000</v>
      </c>
      <c r="R6" s="126">
        <v>5538639.6000000006</v>
      </c>
      <c r="S6" s="126">
        <v>4120000</v>
      </c>
      <c r="T6" s="126">
        <v>4120000</v>
      </c>
      <c r="U6" s="127">
        <v>5538639.6000000006</v>
      </c>
      <c r="V6" s="140" t="s">
        <v>75</v>
      </c>
      <c r="W6" s="126" t="s">
        <v>989</v>
      </c>
      <c r="X6" s="126" t="s">
        <v>81</v>
      </c>
      <c r="Y6" s="126" t="s">
        <v>78</v>
      </c>
      <c r="Z6" s="126" t="s">
        <v>75</v>
      </c>
      <c r="AA6" s="126">
        <v>999</v>
      </c>
      <c r="AB6" s="141" t="s">
        <v>990</v>
      </c>
      <c r="AC6" s="126">
        <v>999</v>
      </c>
      <c r="AD6" s="139" t="s">
        <v>991</v>
      </c>
      <c r="AE6" s="126">
        <v>0</v>
      </c>
      <c r="AF6" s="126" t="s">
        <v>78</v>
      </c>
      <c r="AG6" s="126">
        <v>2</v>
      </c>
      <c r="AH6" s="142" t="s">
        <v>75</v>
      </c>
      <c r="AI6" s="142" t="s">
        <v>992</v>
      </c>
      <c r="AJ6" s="142" t="s">
        <v>75</v>
      </c>
      <c r="AK6" s="142" t="s">
        <v>466</v>
      </c>
      <c r="AL6" s="142" t="s">
        <v>796</v>
      </c>
      <c r="AM6" s="142" t="s">
        <v>81</v>
      </c>
      <c r="AN6" s="142" t="s">
        <v>81</v>
      </c>
      <c r="AO6" s="142" t="s">
        <v>78</v>
      </c>
      <c r="AP6" s="142" t="s">
        <v>81</v>
      </c>
      <c r="AQ6" s="142">
        <v>1</v>
      </c>
      <c r="AR6" s="142" t="s">
        <v>74</v>
      </c>
    </row>
    <row r="7" spans="1:44" s="143" customFormat="1" ht="25.05" customHeight="1" x14ac:dyDescent="0.3">
      <c r="A7" s="126" t="s">
        <v>1327</v>
      </c>
      <c r="B7" s="125" t="s">
        <v>1328</v>
      </c>
      <c r="C7" s="139">
        <v>2015</v>
      </c>
      <c r="D7" s="145" t="s">
        <v>70</v>
      </c>
      <c r="E7" s="139" t="s">
        <v>78</v>
      </c>
      <c r="F7" s="139" t="s">
        <v>570</v>
      </c>
      <c r="G7" s="139" t="s">
        <v>519</v>
      </c>
      <c r="H7" s="139" t="s">
        <v>587</v>
      </c>
      <c r="I7" s="126" t="s">
        <v>256</v>
      </c>
      <c r="J7" s="126" t="s">
        <v>679</v>
      </c>
      <c r="K7" s="126" t="s">
        <v>75</v>
      </c>
      <c r="L7" s="140" t="s">
        <v>126</v>
      </c>
      <c r="M7" s="140">
        <v>16150000</v>
      </c>
      <c r="N7" s="126">
        <v>11147079.327171955</v>
      </c>
      <c r="O7" s="126">
        <v>16150000</v>
      </c>
      <c r="P7" s="126">
        <v>11680130.76</v>
      </c>
      <c r="Q7" s="126">
        <v>11680130.76</v>
      </c>
      <c r="R7" s="126">
        <v>16922290.246395599</v>
      </c>
      <c r="S7" s="126">
        <v>0</v>
      </c>
      <c r="T7" s="126">
        <v>0</v>
      </c>
      <c r="U7" s="127">
        <v>0</v>
      </c>
      <c r="V7" s="140" t="s">
        <v>75</v>
      </c>
      <c r="W7" s="126" t="s">
        <v>1329</v>
      </c>
      <c r="X7" s="126" t="s">
        <v>81</v>
      </c>
      <c r="Y7" s="126" t="s">
        <v>78</v>
      </c>
      <c r="Z7" s="126" t="s">
        <v>75</v>
      </c>
      <c r="AA7" s="126">
        <v>999</v>
      </c>
      <c r="AB7" s="141" t="s">
        <v>1330</v>
      </c>
      <c r="AC7" s="126">
        <v>999</v>
      </c>
      <c r="AD7" s="139" t="s">
        <v>1331</v>
      </c>
      <c r="AE7" s="126">
        <v>0</v>
      </c>
      <c r="AF7" s="126" t="s">
        <v>78</v>
      </c>
      <c r="AG7" s="126">
        <v>2</v>
      </c>
      <c r="AH7" s="142" t="s">
        <v>81</v>
      </c>
      <c r="AI7" s="142" t="s">
        <v>78</v>
      </c>
      <c r="AJ7" s="142" t="s">
        <v>75</v>
      </c>
      <c r="AK7" s="142" t="s">
        <v>256</v>
      </c>
      <c r="AL7" s="142" t="s">
        <v>704</v>
      </c>
      <c r="AM7" s="142" t="s">
        <v>81</v>
      </c>
      <c r="AN7" s="142" t="s">
        <v>81</v>
      </c>
      <c r="AO7" s="142" t="s">
        <v>78</v>
      </c>
      <c r="AP7" s="142" t="s">
        <v>81</v>
      </c>
      <c r="AQ7" s="142">
        <v>1</v>
      </c>
      <c r="AR7" s="142" t="s">
        <v>126</v>
      </c>
    </row>
    <row r="8" spans="1:44" s="143" customFormat="1" ht="25.05" customHeight="1" x14ac:dyDescent="0.3">
      <c r="A8" s="126" t="s">
        <v>1361</v>
      </c>
      <c r="B8" s="125" t="s">
        <v>1362</v>
      </c>
      <c r="C8" s="139">
        <v>2015</v>
      </c>
      <c r="D8" s="145" t="s">
        <v>514</v>
      </c>
      <c r="E8" s="139" t="s">
        <v>78</v>
      </c>
      <c r="F8" s="139" t="s">
        <v>567</v>
      </c>
      <c r="G8" s="139" t="s">
        <v>522</v>
      </c>
      <c r="H8" s="139" t="s">
        <v>587</v>
      </c>
      <c r="I8" s="126" t="s">
        <v>256</v>
      </c>
      <c r="J8" s="126" t="s">
        <v>679</v>
      </c>
      <c r="K8" s="126" t="s">
        <v>75</v>
      </c>
      <c r="L8" s="140" t="s">
        <v>126</v>
      </c>
      <c r="M8" s="140">
        <v>8370000</v>
      </c>
      <c r="N8" s="126">
        <v>5777155.0444847839</v>
      </c>
      <c r="O8" s="126">
        <v>8369999.9999999991</v>
      </c>
      <c r="P8" s="126">
        <v>6053417.6100000003</v>
      </c>
      <c r="Q8" s="126">
        <v>6053417.6100000003</v>
      </c>
      <c r="R8" s="126">
        <v>8770251.9675440993</v>
      </c>
      <c r="S8" s="126">
        <v>0</v>
      </c>
      <c r="T8" s="126">
        <v>0</v>
      </c>
      <c r="U8" s="127">
        <v>0</v>
      </c>
      <c r="V8" s="140" t="s">
        <v>81</v>
      </c>
      <c r="W8" s="126" t="s">
        <v>78</v>
      </c>
      <c r="X8" s="126" t="s">
        <v>81</v>
      </c>
      <c r="Y8" s="126" t="s">
        <v>78</v>
      </c>
      <c r="Z8" s="126" t="s">
        <v>81</v>
      </c>
      <c r="AA8" s="126">
        <v>0</v>
      </c>
      <c r="AB8" s="141" t="s">
        <v>78</v>
      </c>
      <c r="AC8" s="126">
        <v>0</v>
      </c>
      <c r="AD8" s="139" t="s">
        <v>78</v>
      </c>
      <c r="AE8" s="126">
        <v>0</v>
      </c>
      <c r="AF8" s="126" t="s">
        <v>78</v>
      </c>
      <c r="AG8" s="126">
        <v>0</v>
      </c>
      <c r="AH8" s="142" t="s">
        <v>81</v>
      </c>
      <c r="AI8" s="142" t="s">
        <v>78</v>
      </c>
      <c r="AJ8" s="142" t="s">
        <v>81</v>
      </c>
      <c r="AK8" s="142" t="s">
        <v>78</v>
      </c>
      <c r="AL8" s="142" t="s">
        <v>78</v>
      </c>
      <c r="AM8" s="142" t="s">
        <v>81</v>
      </c>
      <c r="AN8" s="142" t="s">
        <v>81</v>
      </c>
      <c r="AO8" s="142" t="s">
        <v>78</v>
      </c>
      <c r="AP8" s="142" t="s">
        <v>81</v>
      </c>
      <c r="AQ8" s="142">
        <v>1</v>
      </c>
      <c r="AR8" s="142" t="s">
        <v>126</v>
      </c>
    </row>
    <row r="9" spans="1:44" s="143" customFormat="1" ht="25.05" customHeight="1" x14ac:dyDescent="0.3">
      <c r="A9" s="126" t="s">
        <v>893</v>
      </c>
      <c r="B9" s="125" t="s">
        <v>894</v>
      </c>
      <c r="C9" s="139">
        <v>2018</v>
      </c>
      <c r="D9" s="139" t="s">
        <v>184</v>
      </c>
      <c r="E9" s="139" t="s">
        <v>78</v>
      </c>
      <c r="F9" s="139" t="s">
        <v>554</v>
      </c>
      <c r="G9" s="139" t="s">
        <v>520</v>
      </c>
      <c r="H9" s="139" t="s">
        <v>466</v>
      </c>
      <c r="I9" s="126" t="s">
        <v>466</v>
      </c>
      <c r="J9" s="126" t="s">
        <v>676</v>
      </c>
      <c r="K9" s="126" t="s">
        <v>81</v>
      </c>
      <c r="L9" s="140" t="s">
        <v>74</v>
      </c>
      <c r="M9" s="140">
        <v>10000000</v>
      </c>
      <c r="N9" s="126">
        <v>10000000</v>
      </c>
      <c r="O9" s="126">
        <v>14241299.999999998</v>
      </c>
      <c r="P9" s="126">
        <v>3990000</v>
      </c>
      <c r="Q9" s="126">
        <v>3990000</v>
      </c>
      <c r="R9" s="126">
        <v>5682278.6999999993</v>
      </c>
      <c r="S9" s="126">
        <v>3990000</v>
      </c>
      <c r="T9" s="126">
        <v>3990000</v>
      </c>
      <c r="U9" s="127">
        <v>5682278.6999999993</v>
      </c>
      <c r="V9" s="140" t="s">
        <v>75</v>
      </c>
      <c r="W9" s="126" t="s">
        <v>847</v>
      </c>
      <c r="X9" s="126" t="s">
        <v>81</v>
      </c>
      <c r="Y9" s="126" t="s">
        <v>78</v>
      </c>
      <c r="Z9" s="126" t="s">
        <v>75</v>
      </c>
      <c r="AA9" s="126">
        <v>999</v>
      </c>
      <c r="AB9" s="141" t="s">
        <v>895</v>
      </c>
      <c r="AC9" s="126">
        <v>999</v>
      </c>
      <c r="AD9" s="139" t="s">
        <v>896</v>
      </c>
      <c r="AE9" s="126">
        <v>999</v>
      </c>
      <c r="AF9" s="126" t="s">
        <v>897</v>
      </c>
      <c r="AG9" s="126">
        <v>4</v>
      </c>
      <c r="AH9" s="142" t="s">
        <v>81</v>
      </c>
      <c r="AI9" s="142" t="s">
        <v>78</v>
      </c>
      <c r="AJ9" s="142" t="s">
        <v>75</v>
      </c>
      <c r="AK9" s="142" t="s">
        <v>256</v>
      </c>
      <c r="AL9" s="142" t="s">
        <v>78</v>
      </c>
      <c r="AM9" s="142" t="s">
        <v>81</v>
      </c>
      <c r="AN9" s="142" t="s">
        <v>81</v>
      </c>
      <c r="AO9" s="142" t="s">
        <v>78</v>
      </c>
      <c r="AP9" s="142" t="s">
        <v>81</v>
      </c>
      <c r="AQ9" s="142">
        <v>1</v>
      </c>
      <c r="AR9" s="142" t="s">
        <v>74</v>
      </c>
    </row>
    <row r="10" spans="1:44" s="143" customFormat="1" ht="25.05" customHeight="1" x14ac:dyDescent="0.3">
      <c r="A10" s="126" t="s">
        <v>1156</v>
      </c>
      <c r="B10" s="125" t="s">
        <v>1157</v>
      </c>
      <c r="C10" s="139">
        <v>2016</v>
      </c>
      <c r="D10" s="139" t="s">
        <v>184</v>
      </c>
      <c r="E10" s="139" t="s">
        <v>78</v>
      </c>
      <c r="F10" s="139" t="s">
        <v>554</v>
      </c>
      <c r="G10" s="139" t="s">
        <v>520</v>
      </c>
      <c r="H10" s="139" t="s">
        <v>571</v>
      </c>
      <c r="I10" s="126" t="s">
        <v>466</v>
      </c>
      <c r="J10" s="126" t="s">
        <v>689</v>
      </c>
      <c r="K10" s="126" t="s">
        <v>81</v>
      </c>
      <c r="L10" s="140" t="s">
        <v>126</v>
      </c>
      <c r="M10" s="140">
        <v>97000000</v>
      </c>
      <c r="N10" s="126">
        <v>69999206.194568932</v>
      </c>
      <c r="O10" s="126">
        <v>97000000</v>
      </c>
      <c r="P10" s="126">
        <v>29396924.780000001</v>
      </c>
      <c r="Q10" s="126">
        <v>29396924.780000001</v>
      </c>
      <c r="R10" s="126">
        <v>40736200.5753894</v>
      </c>
      <c r="S10" s="126">
        <v>29396924.780000001</v>
      </c>
      <c r="T10" s="126">
        <v>29396924.780000001</v>
      </c>
      <c r="U10" s="127">
        <v>40736200.5753894</v>
      </c>
      <c r="V10" s="140" t="s">
        <v>81</v>
      </c>
      <c r="W10" s="126" t="s">
        <v>78</v>
      </c>
      <c r="X10" s="126" t="s">
        <v>81</v>
      </c>
      <c r="Y10" s="126" t="s">
        <v>78</v>
      </c>
      <c r="Z10" s="126" t="s">
        <v>81</v>
      </c>
      <c r="AA10" s="126">
        <v>0</v>
      </c>
      <c r="AB10" s="141" t="s">
        <v>78</v>
      </c>
      <c r="AC10" s="126">
        <v>0</v>
      </c>
      <c r="AD10" s="139" t="s">
        <v>78</v>
      </c>
      <c r="AE10" s="126">
        <v>0</v>
      </c>
      <c r="AF10" s="126" t="s">
        <v>78</v>
      </c>
      <c r="AG10" s="126">
        <v>0</v>
      </c>
      <c r="AH10" s="142" t="s">
        <v>81</v>
      </c>
      <c r="AI10" s="142" t="s">
        <v>78</v>
      </c>
      <c r="AJ10" s="142" t="s">
        <v>81</v>
      </c>
      <c r="AK10" s="142" t="s">
        <v>78</v>
      </c>
      <c r="AL10" s="142" t="s">
        <v>78</v>
      </c>
      <c r="AM10" s="142" t="s">
        <v>81</v>
      </c>
      <c r="AN10" s="142" t="s">
        <v>81</v>
      </c>
      <c r="AO10" s="142" t="s">
        <v>78</v>
      </c>
      <c r="AP10" s="142" t="s">
        <v>81</v>
      </c>
      <c r="AQ10" s="142">
        <v>1</v>
      </c>
      <c r="AR10" s="142" t="s">
        <v>126</v>
      </c>
    </row>
    <row r="11" spans="1:44" s="143" customFormat="1" ht="25.05" customHeight="1" x14ac:dyDescent="0.3">
      <c r="A11" s="126" t="s">
        <v>338</v>
      </c>
      <c r="B11" s="126" t="s">
        <v>339</v>
      </c>
      <c r="C11" s="139">
        <v>2020</v>
      </c>
      <c r="D11" s="139" t="s">
        <v>87</v>
      </c>
      <c r="E11" s="139" t="s">
        <v>340</v>
      </c>
      <c r="F11" s="139" t="s">
        <v>1848</v>
      </c>
      <c r="G11" s="139" t="s">
        <v>87</v>
      </c>
      <c r="H11" s="139" t="s">
        <v>114</v>
      </c>
      <c r="I11" s="126" t="s">
        <v>115</v>
      </c>
      <c r="J11" s="126" t="s">
        <v>90</v>
      </c>
      <c r="K11" s="126" t="s">
        <v>81</v>
      </c>
      <c r="L11" s="126" t="s">
        <v>74</v>
      </c>
      <c r="M11" s="126">
        <v>20000000</v>
      </c>
      <c r="N11" s="126">
        <v>20000000</v>
      </c>
      <c r="O11" s="126">
        <v>27656600</v>
      </c>
      <c r="P11" s="126" t="s">
        <v>659</v>
      </c>
      <c r="Q11" s="126" t="s">
        <v>659</v>
      </c>
      <c r="R11" s="126" t="s">
        <v>659</v>
      </c>
      <c r="S11" s="126">
        <v>10000000</v>
      </c>
      <c r="T11" s="126">
        <v>10000000</v>
      </c>
      <c r="U11" s="127">
        <v>13828300</v>
      </c>
      <c r="V11" s="126" t="s">
        <v>81</v>
      </c>
      <c r="W11" s="126">
        <v>0</v>
      </c>
      <c r="X11" s="126" t="s">
        <v>81</v>
      </c>
      <c r="Y11" s="126">
        <v>0</v>
      </c>
      <c r="Z11" s="126" t="s">
        <v>81</v>
      </c>
      <c r="AA11" s="126">
        <v>0</v>
      </c>
      <c r="AB11" s="141">
        <v>0</v>
      </c>
      <c r="AC11" s="126">
        <v>0</v>
      </c>
      <c r="AD11" s="139">
        <v>0</v>
      </c>
      <c r="AE11" s="126">
        <v>0</v>
      </c>
      <c r="AF11" s="126">
        <v>0</v>
      </c>
      <c r="AG11" s="126">
        <v>0</v>
      </c>
      <c r="AH11" s="142" t="s">
        <v>81</v>
      </c>
      <c r="AI11" s="142">
        <v>0</v>
      </c>
      <c r="AJ11" s="142" t="s">
        <v>81</v>
      </c>
      <c r="AK11" s="142">
        <v>0</v>
      </c>
      <c r="AL11" s="142" t="s">
        <v>121</v>
      </c>
      <c r="AM11" s="142" t="s">
        <v>75</v>
      </c>
      <c r="AN11" s="142" t="s">
        <v>75</v>
      </c>
      <c r="AO11" s="142" t="s">
        <v>84</v>
      </c>
      <c r="AP11" s="142" t="s">
        <v>81</v>
      </c>
      <c r="AQ11" s="142">
        <v>1</v>
      </c>
      <c r="AR11" s="142" t="s">
        <v>74</v>
      </c>
    </row>
    <row r="12" spans="1:44" s="143" customFormat="1" ht="25.05" customHeight="1" x14ac:dyDescent="0.3">
      <c r="A12" s="126" t="s">
        <v>398</v>
      </c>
      <c r="B12" s="126" t="s">
        <v>399</v>
      </c>
      <c r="C12" s="139">
        <v>2021</v>
      </c>
      <c r="D12" s="139" t="s">
        <v>314</v>
      </c>
      <c r="E12" s="139">
        <v>0</v>
      </c>
      <c r="F12" s="139" t="s">
        <v>557</v>
      </c>
      <c r="G12" s="139" t="s">
        <v>522</v>
      </c>
      <c r="H12" s="139" t="s">
        <v>227</v>
      </c>
      <c r="I12" s="126" t="s">
        <v>228</v>
      </c>
      <c r="J12" s="126" t="s">
        <v>290</v>
      </c>
      <c r="K12" s="126" t="s">
        <v>81</v>
      </c>
      <c r="L12" s="126" t="s">
        <v>74</v>
      </c>
      <c r="M12" s="126">
        <v>9130000</v>
      </c>
      <c r="N12" s="126">
        <v>9130000</v>
      </c>
      <c r="O12" s="126">
        <v>13149665.1</v>
      </c>
      <c r="P12" s="126" t="s">
        <v>659</v>
      </c>
      <c r="Q12" s="126" t="s">
        <v>659</v>
      </c>
      <c r="R12" s="126" t="s">
        <v>659</v>
      </c>
      <c r="S12" s="126">
        <v>3660000</v>
      </c>
      <c r="T12" s="126">
        <v>3660000</v>
      </c>
      <c r="U12" s="127">
        <v>5271388.2</v>
      </c>
      <c r="V12" s="126" t="s">
        <v>75</v>
      </c>
      <c r="W12" s="126" t="s">
        <v>400</v>
      </c>
      <c r="X12" s="126" t="s">
        <v>81</v>
      </c>
      <c r="Y12" s="126">
        <v>0</v>
      </c>
      <c r="Z12" s="126" t="s">
        <v>75</v>
      </c>
      <c r="AA12" s="126">
        <v>0</v>
      </c>
      <c r="AB12" s="141" t="s">
        <v>78</v>
      </c>
      <c r="AC12" s="126">
        <v>0</v>
      </c>
      <c r="AD12" s="139" t="s">
        <v>78</v>
      </c>
      <c r="AE12" s="126">
        <v>1</v>
      </c>
      <c r="AF12" s="126" t="s">
        <v>401</v>
      </c>
      <c r="AG12" s="126">
        <v>1</v>
      </c>
      <c r="AH12" s="142" t="s">
        <v>75</v>
      </c>
      <c r="AI12" s="142" t="s">
        <v>402</v>
      </c>
      <c r="AJ12" s="142" t="s">
        <v>75</v>
      </c>
      <c r="AK12" s="142" t="s">
        <v>403</v>
      </c>
      <c r="AL12" s="142" t="s">
        <v>121</v>
      </c>
      <c r="AM12" s="142" t="s">
        <v>75</v>
      </c>
      <c r="AN12" s="142" t="s">
        <v>75</v>
      </c>
      <c r="AO12" s="142" t="s">
        <v>84</v>
      </c>
      <c r="AP12" s="142" t="s">
        <v>81</v>
      </c>
      <c r="AQ12" s="142">
        <v>1</v>
      </c>
      <c r="AR12" s="142" t="s">
        <v>74</v>
      </c>
    </row>
    <row r="13" spans="1:44" s="143" customFormat="1" ht="25.05" customHeight="1" x14ac:dyDescent="0.3">
      <c r="A13" s="126" t="s">
        <v>271</v>
      </c>
      <c r="B13" s="126" t="s">
        <v>272</v>
      </c>
      <c r="C13" s="139">
        <v>2020</v>
      </c>
      <c r="D13" s="139" t="s">
        <v>273</v>
      </c>
      <c r="E13" s="139">
        <v>0</v>
      </c>
      <c r="F13" s="139" t="s">
        <v>549</v>
      </c>
      <c r="G13" s="139" t="s">
        <v>518</v>
      </c>
      <c r="H13" s="139" t="s">
        <v>264</v>
      </c>
      <c r="I13" s="126" t="s">
        <v>228</v>
      </c>
      <c r="J13" s="126" t="s">
        <v>73</v>
      </c>
      <c r="K13" s="126" t="s">
        <v>81</v>
      </c>
      <c r="L13" s="126" t="s">
        <v>74</v>
      </c>
      <c r="M13" s="126">
        <v>4325000</v>
      </c>
      <c r="N13" s="126">
        <v>4325000</v>
      </c>
      <c r="O13" s="126">
        <v>5980739.75</v>
      </c>
      <c r="P13" s="126" t="s">
        <v>659</v>
      </c>
      <c r="Q13" s="126" t="s">
        <v>659</v>
      </c>
      <c r="R13" s="126" t="s">
        <v>659</v>
      </c>
      <c r="S13" s="126">
        <v>1500000</v>
      </c>
      <c r="T13" s="126">
        <v>1500000</v>
      </c>
      <c r="U13" s="127">
        <v>2074245</v>
      </c>
      <c r="V13" s="126" t="s">
        <v>75</v>
      </c>
      <c r="W13" s="126" t="s">
        <v>274</v>
      </c>
      <c r="X13" s="126" t="s">
        <v>75</v>
      </c>
      <c r="Y13" s="126" t="s">
        <v>275</v>
      </c>
      <c r="Z13" s="126" t="s">
        <v>75</v>
      </c>
      <c r="AA13" s="126">
        <v>0</v>
      </c>
      <c r="AB13" s="141" t="s">
        <v>78</v>
      </c>
      <c r="AC13" s="126">
        <v>1</v>
      </c>
      <c r="AD13" s="139" t="s">
        <v>276</v>
      </c>
      <c r="AE13" s="126">
        <v>2</v>
      </c>
      <c r="AF13" s="126" t="s">
        <v>277</v>
      </c>
      <c r="AG13" s="126">
        <v>3</v>
      </c>
      <c r="AH13" s="142" t="s">
        <v>75</v>
      </c>
      <c r="AI13" s="142" t="s">
        <v>278</v>
      </c>
      <c r="AJ13" s="142" t="s">
        <v>75</v>
      </c>
      <c r="AK13" s="142" t="s">
        <v>279</v>
      </c>
      <c r="AL13" s="142" t="s">
        <v>121</v>
      </c>
      <c r="AM13" s="142" t="s">
        <v>75</v>
      </c>
      <c r="AN13" s="142" t="s">
        <v>81</v>
      </c>
      <c r="AO13" s="142" t="s">
        <v>110</v>
      </c>
      <c r="AP13" s="142" t="s">
        <v>75</v>
      </c>
      <c r="AQ13" s="142">
        <v>1</v>
      </c>
      <c r="AR13" s="142" t="s">
        <v>74</v>
      </c>
    </row>
    <row r="14" spans="1:44" s="143" customFormat="1" ht="25.05" customHeight="1" x14ac:dyDescent="0.3">
      <c r="A14" s="126" t="s">
        <v>1407</v>
      </c>
      <c r="B14" s="126" t="s">
        <v>1408</v>
      </c>
      <c r="C14" s="139">
        <v>2019</v>
      </c>
      <c r="D14" s="139" t="s">
        <v>513</v>
      </c>
      <c r="E14" s="139" t="s">
        <v>78</v>
      </c>
      <c r="F14" s="139" t="s">
        <v>539</v>
      </c>
      <c r="G14" s="139" t="s">
        <v>520</v>
      </c>
      <c r="H14" s="139" t="s">
        <v>595</v>
      </c>
      <c r="I14" s="126" t="s">
        <v>101</v>
      </c>
      <c r="J14" s="126" t="s">
        <v>679</v>
      </c>
      <c r="K14" s="126" t="s">
        <v>75</v>
      </c>
      <c r="L14" s="126" t="s">
        <v>74</v>
      </c>
      <c r="M14" s="126">
        <v>2680000</v>
      </c>
      <c r="N14" s="126">
        <v>2680000</v>
      </c>
      <c r="O14" s="126">
        <v>3727317.1999999997</v>
      </c>
      <c r="P14" s="126">
        <v>0</v>
      </c>
      <c r="Q14" s="126">
        <v>0</v>
      </c>
      <c r="R14" s="126">
        <v>0</v>
      </c>
      <c r="S14" s="126">
        <v>0</v>
      </c>
      <c r="T14" s="126">
        <v>0</v>
      </c>
      <c r="U14" s="127">
        <v>0</v>
      </c>
      <c r="V14" s="126" t="s">
        <v>81</v>
      </c>
      <c r="W14" s="126" t="s">
        <v>78</v>
      </c>
      <c r="X14" s="126" t="s">
        <v>81</v>
      </c>
      <c r="Y14" s="126" t="s">
        <v>1409</v>
      </c>
      <c r="Z14" s="126" t="s">
        <v>81</v>
      </c>
      <c r="AA14" s="126">
        <v>0</v>
      </c>
      <c r="AB14" s="141" t="s">
        <v>78</v>
      </c>
      <c r="AC14" s="126">
        <v>0</v>
      </c>
      <c r="AD14" s="139" t="s">
        <v>78</v>
      </c>
      <c r="AE14" s="126">
        <v>0</v>
      </c>
      <c r="AF14" s="126" t="s">
        <v>78</v>
      </c>
      <c r="AG14" s="126">
        <v>0</v>
      </c>
      <c r="AH14" s="142" t="s">
        <v>81</v>
      </c>
      <c r="AI14" s="142" t="s">
        <v>78</v>
      </c>
      <c r="AJ14" s="142" t="s">
        <v>81</v>
      </c>
      <c r="AK14" s="142" t="s">
        <v>1410</v>
      </c>
      <c r="AL14" s="142" t="s">
        <v>286</v>
      </c>
      <c r="AM14" s="142" t="s">
        <v>75</v>
      </c>
      <c r="AN14" s="142" t="s">
        <v>81</v>
      </c>
      <c r="AO14" s="142" t="s">
        <v>78</v>
      </c>
      <c r="AP14" s="142" t="s">
        <v>81</v>
      </c>
      <c r="AQ14" s="142">
        <v>1</v>
      </c>
      <c r="AR14" s="142" t="s">
        <v>74</v>
      </c>
    </row>
    <row r="15" spans="1:44" s="143" customFormat="1" ht="25.05" customHeight="1" x14ac:dyDescent="0.3">
      <c r="A15" s="126" t="s">
        <v>1483</v>
      </c>
      <c r="B15" s="126" t="s">
        <v>1484</v>
      </c>
      <c r="C15" s="139">
        <v>2019</v>
      </c>
      <c r="D15" s="139" t="s">
        <v>500</v>
      </c>
      <c r="E15" s="139" t="s">
        <v>78</v>
      </c>
      <c r="F15" s="139" t="s">
        <v>547</v>
      </c>
      <c r="G15" s="139" t="s">
        <v>519</v>
      </c>
      <c r="H15" s="139" t="s">
        <v>595</v>
      </c>
      <c r="I15" s="126" t="s">
        <v>101</v>
      </c>
      <c r="J15" s="126" t="s">
        <v>679</v>
      </c>
      <c r="K15" s="126" t="s">
        <v>75</v>
      </c>
      <c r="L15" s="126" t="s">
        <v>74</v>
      </c>
      <c r="M15" s="126">
        <v>3290000</v>
      </c>
      <c r="N15" s="126">
        <v>3290000</v>
      </c>
      <c r="O15" s="126">
        <v>4575699.0999999996</v>
      </c>
      <c r="P15" s="126">
        <v>0</v>
      </c>
      <c r="Q15" s="126">
        <v>0</v>
      </c>
      <c r="R15" s="126">
        <v>0</v>
      </c>
      <c r="S15" s="126">
        <v>0</v>
      </c>
      <c r="T15" s="126">
        <v>0</v>
      </c>
      <c r="U15" s="127">
        <v>0</v>
      </c>
      <c r="V15" s="126" t="s">
        <v>81</v>
      </c>
      <c r="W15" s="126" t="s">
        <v>78</v>
      </c>
      <c r="X15" s="126" t="s">
        <v>81</v>
      </c>
      <c r="Y15" s="126" t="s">
        <v>1409</v>
      </c>
      <c r="Z15" s="126" t="s">
        <v>81</v>
      </c>
      <c r="AA15" s="126">
        <v>0</v>
      </c>
      <c r="AB15" s="141" t="s">
        <v>78</v>
      </c>
      <c r="AC15" s="126">
        <v>0</v>
      </c>
      <c r="AD15" s="139" t="s">
        <v>78</v>
      </c>
      <c r="AE15" s="126">
        <v>0</v>
      </c>
      <c r="AF15" s="126" t="s">
        <v>78</v>
      </c>
      <c r="AG15" s="126">
        <v>0</v>
      </c>
      <c r="AH15" s="142" t="s">
        <v>81</v>
      </c>
      <c r="AI15" s="142" t="s">
        <v>78</v>
      </c>
      <c r="AJ15" s="142" t="s">
        <v>81</v>
      </c>
      <c r="AK15" s="142" t="s">
        <v>1423</v>
      </c>
      <c r="AL15" s="142" t="s">
        <v>286</v>
      </c>
      <c r="AM15" s="142" t="s">
        <v>75</v>
      </c>
      <c r="AN15" s="142" t="s">
        <v>81</v>
      </c>
      <c r="AO15" s="142" t="s">
        <v>78</v>
      </c>
      <c r="AP15" s="142" t="s">
        <v>81</v>
      </c>
      <c r="AQ15" s="142">
        <v>1</v>
      </c>
      <c r="AR15" s="142" t="s">
        <v>74</v>
      </c>
    </row>
    <row r="16" spans="1:44" s="143" customFormat="1" ht="25.05" customHeight="1" x14ac:dyDescent="0.3">
      <c r="A16" s="126" t="s">
        <v>280</v>
      </c>
      <c r="B16" s="126" t="s">
        <v>281</v>
      </c>
      <c r="C16" s="139">
        <v>2020</v>
      </c>
      <c r="D16" s="139" t="s">
        <v>282</v>
      </c>
      <c r="E16" s="139">
        <v>0</v>
      </c>
      <c r="F16" s="139" t="s">
        <v>553</v>
      </c>
      <c r="G16" s="139" t="s">
        <v>520</v>
      </c>
      <c r="H16" s="139" t="s">
        <v>264</v>
      </c>
      <c r="I16" s="126" t="s">
        <v>228</v>
      </c>
      <c r="J16" s="126" t="s">
        <v>73</v>
      </c>
      <c r="K16" s="126" t="s">
        <v>81</v>
      </c>
      <c r="L16" s="126" t="s">
        <v>74</v>
      </c>
      <c r="M16" s="126">
        <v>5800000</v>
      </c>
      <c r="N16" s="126">
        <v>5800000</v>
      </c>
      <c r="O16" s="126">
        <v>8020414</v>
      </c>
      <c r="P16" s="126" t="s">
        <v>659</v>
      </c>
      <c r="Q16" s="126" t="s">
        <v>659</v>
      </c>
      <c r="R16" s="126" t="s">
        <v>659</v>
      </c>
      <c r="S16" s="126">
        <v>4000000</v>
      </c>
      <c r="T16" s="126">
        <v>4000000</v>
      </c>
      <c r="U16" s="127">
        <v>5531320</v>
      </c>
      <c r="V16" s="126" t="s">
        <v>75</v>
      </c>
      <c r="W16" s="126" t="s">
        <v>283</v>
      </c>
      <c r="X16" s="126" t="s">
        <v>81</v>
      </c>
      <c r="Y16" s="126">
        <v>0</v>
      </c>
      <c r="Z16" s="126" t="s">
        <v>75</v>
      </c>
      <c r="AA16" s="126">
        <v>0</v>
      </c>
      <c r="AB16" s="141" t="s">
        <v>78</v>
      </c>
      <c r="AC16" s="126">
        <v>0</v>
      </c>
      <c r="AD16" s="139" t="s">
        <v>78</v>
      </c>
      <c r="AE16" s="126">
        <v>2</v>
      </c>
      <c r="AF16" s="126" t="s">
        <v>284</v>
      </c>
      <c r="AG16" s="126">
        <v>2</v>
      </c>
      <c r="AH16" s="142" t="s">
        <v>81</v>
      </c>
      <c r="AI16" s="142">
        <v>0</v>
      </c>
      <c r="AJ16" s="142" t="s">
        <v>75</v>
      </c>
      <c r="AK16" s="142" t="s">
        <v>285</v>
      </c>
      <c r="AL16" s="142" t="s">
        <v>286</v>
      </c>
      <c r="AM16" s="142" t="s">
        <v>75</v>
      </c>
      <c r="AN16" s="142" t="s">
        <v>81</v>
      </c>
      <c r="AO16" s="142" t="s">
        <v>110</v>
      </c>
      <c r="AP16" s="142" t="s">
        <v>81</v>
      </c>
      <c r="AQ16" s="142">
        <v>1</v>
      </c>
      <c r="AR16" s="142" t="s">
        <v>74</v>
      </c>
    </row>
    <row r="17" spans="1:44" s="143" customFormat="1" ht="25.05" customHeight="1" x14ac:dyDescent="0.3">
      <c r="A17" s="126" t="s">
        <v>1555</v>
      </c>
      <c r="B17" s="126" t="s">
        <v>1556</v>
      </c>
      <c r="C17" s="139">
        <v>2019</v>
      </c>
      <c r="D17" s="139" t="s">
        <v>124</v>
      </c>
      <c r="E17" s="139" t="s">
        <v>78</v>
      </c>
      <c r="F17" s="139" t="s">
        <v>550</v>
      </c>
      <c r="G17" s="139" t="s">
        <v>519</v>
      </c>
      <c r="H17" s="139" t="s">
        <v>585</v>
      </c>
      <c r="I17" s="126" t="s">
        <v>228</v>
      </c>
      <c r="J17" s="126" t="s">
        <v>1557</v>
      </c>
      <c r="K17" s="126" t="s">
        <v>81</v>
      </c>
      <c r="L17" s="126" t="s">
        <v>126</v>
      </c>
      <c r="M17" s="126">
        <v>20000000</v>
      </c>
      <c r="N17" s="126">
        <v>14380316.223153748</v>
      </c>
      <c r="O17" s="126">
        <v>20000000</v>
      </c>
      <c r="P17" s="126">
        <v>14616250</v>
      </c>
      <c r="Q17" s="126">
        <v>14616250</v>
      </c>
      <c r="R17" s="126">
        <v>20328134.337499999</v>
      </c>
      <c r="S17" s="126">
        <v>14616250</v>
      </c>
      <c r="T17" s="126">
        <v>14616250</v>
      </c>
      <c r="U17" s="127">
        <v>20328134.337499999</v>
      </c>
      <c r="V17" s="126" t="s">
        <v>81</v>
      </c>
      <c r="W17" s="126" t="s">
        <v>78</v>
      </c>
      <c r="X17" s="126" t="s">
        <v>81</v>
      </c>
      <c r="Y17" s="126" t="s">
        <v>1558</v>
      </c>
      <c r="Z17" s="126" t="s">
        <v>81</v>
      </c>
      <c r="AA17" s="126">
        <v>0</v>
      </c>
      <c r="AB17" s="141" t="s">
        <v>78</v>
      </c>
      <c r="AC17" s="126">
        <v>0</v>
      </c>
      <c r="AD17" s="139" t="s">
        <v>78</v>
      </c>
      <c r="AE17" s="126">
        <v>0</v>
      </c>
      <c r="AF17" s="126" t="s">
        <v>78</v>
      </c>
      <c r="AG17" s="126">
        <v>0</v>
      </c>
      <c r="AH17" s="142" t="s">
        <v>81</v>
      </c>
      <c r="AI17" s="142" t="s">
        <v>78</v>
      </c>
      <c r="AJ17" s="142" t="s">
        <v>81</v>
      </c>
      <c r="AK17" s="142" t="s">
        <v>1423</v>
      </c>
      <c r="AL17" s="142" t="s">
        <v>397</v>
      </c>
      <c r="AM17" s="142" t="s">
        <v>75</v>
      </c>
      <c r="AN17" s="142" t="s">
        <v>81</v>
      </c>
      <c r="AO17" s="142" t="s">
        <v>78</v>
      </c>
      <c r="AP17" s="142" t="s">
        <v>81</v>
      </c>
      <c r="AQ17" s="142">
        <v>1</v>
      </c>
      <c r="AR17" s="142" t="s">
        <v>126</v>
      </c>
    </row>
    <row r="18" spans="1:44" s="143" customFormat="1" ht="25.05" customHeight="1" x14ac:dyDescent="0.3">
      <c r="A18" s="126" t="s">
        <v>1472</v>
      </c>
      <c r="B18" s="126" t="s">
        <v>1473</v>
      </c>
      <c r="C18" s="139">
        <v>2019</v>
      </c>
      <c r="D18" s="139" t="s">
        <v>124</v>
      </c>
      <c r="E18" s="139" t="s">
        <v>78</v>
      </c>
      <c r="F18" s="139" t="s">
        <v>550</v>
      </c>
      <c r="G18" s="139" t="s">
        <v>519</v>
      </c>
      <c r="H18" s="139" t="s">
        <v>585</v>
      </c>
      <c r="I18" s="126" t="s">
        <v>228</v>
      </c>
      <c r="J18" s="126" t="s">
        <v>689</v>
      </c>
      <c r="K18" s="126" t="s">
        <v>81</v>
      </c>
      <c r="L18" s="126" t="s">
        <v>104</v>
      </c>
      <c r="M18" s="126">
        <v>100000000</v>
      </c>
      <c r="N18" s="126">
        <v>82356041.63921465</v>
      </c>
      <c r="O18" s="126">
        <v>114539959.15140334</v>
      </c>
      <c r="P18" s="126">
        <v>80951995</v>
      </c>
      <c r="Q18" s="126">
        <v>80951995</v>
      </c>
      <c r="R18" s="126">
        <v>112587225.12605</v>
      </c>
      <c r="S18" s="126">
        <v>80951995</v>
      </c>
      <c r="T18" s="126">
        <v>80951995</v>
      </c>
      <c r="U18" s="127">
        <v>112587225.12605</v>
      </c>
      <c r="V18" s="126" t="s">
        <v>81</v>
      </c>
      <c r="W18" s="126" t="s">
        <v>78</v>
      </c>
      <c r="X18" s="126" t="s">
        <v>81</v>
      </c>
      <c r="Y18" s="126" t="s">
        <v>1474</v>
      </c>
      <c r="Z18" s="126" t="s">
        <v>81</v>
      </c>
      <c r="AA18" s="126">
        <v>0</v>
      </c>
      <c r="AB18" s="141" t="s">
        <v>78</v>
      </c>
      <c r="AC18" s="126">
        <v>0</v>
      </c>
      <c r="AD18" s="139" t="s">
        <v>78</v>
      </c>
      <c r="AE18" s="126">
        <v>0</v>
      </c>
      <c r="AF18" s="126" t="s">
        <v>78</v>
      </c>
      <c r="AG18" s="126">
        <v>0</v>
      </c>
      <c r="AH18" s="142" t="s">
        <v>81</v>
      </c>
      <c r="AI18" s="142" t="s">
        <v>78</v>
      </c>
      <c r="AJ18" s="142" t="s">
        <v>81</v>
      </c>
      <c r="AK18" s="142" t="s">
        <v>1423</v>
      </c>
      <c r="AL18" s="142" t="s">
        <v>397</v>
      </c>
      <c r="AM18" s="142" t="s">
        <v>75</v>
      </c>
      <c r="AN18" s="142" t="s">
        <v>81</v>
      </c>
      <c r="AO18" s="142" t="s">
        <v>78</v>
      </c>
      <c r="AP18" s="142" t="s">
        <v>81</v>
      </c>
      <c r="AQ18" s="142">
        <v>1</v>
      </c>
      <c r="AR18" s="142" t="s">
        <v>104</v>
      </c>
    </row>
    <row r="19" spans="1:44" s="143" customFormat="1" ht="25.05" customHeight="1" x14ac:dyDescent="0.3">
      <c r="A19" s="126" t="s">
        <v>881</v>
      </c>
      <c r="B19" s="125" t="s">
        <v>882</v>
      </c>
      <c r="C19" s="139">
        <v>2018</v>
      </c>
      <c r="D19" s="139" t="s">
        <v>87</v>
      </c>
      <c r="E19" s="139" t="s">
        <v>883</v>
      </c>
      <c r="F19" s="139" t="s">
        <v>1848</v>
      </c>
      <c r="G19" s="139" t="s">
        <v>87</v>
      </c>
      <c r="H19" s="139" t="s">
        <v>596</v>
      </c>
      <c r="I19" s="126" t="s">
        <v>101</v>
      </c>
      <c r="J19" s="126" t="s">
        <v>676</v>
      </c>
      <c r="K19" s="126" t="s">
        <v>81</v>
      </c>
      <c r="L19" s="140" t="s">
        <v>74</v>
      </c>
      <c r="M19" s="140">
        <v>2000000</v>
      </c>
      <c r="N19" s="126">
        <v>2000000</v>
      </c>
      <c r="O19" s="126">
        <v>2848260</v>
      </c>
      <c r="P19" s="126">
        <v>2000000</v>
      </c>
      <c r="Q19" s="126">
        <v>2000000</v>
      </c>
      <c r="R19" s="126">
        <v>2848260</v>
      </c>
      <c r="S19" s="126">
        <v>2000000</v>
      </c>
      <c r="T19" s="126">
        <v>2000000</v>
      </c>
      <c r="U19" s="127">
        <v>2848260</v>
      </c>
      <c r="V19" s="140" t="s">
        <v>81</v>
      </c>
      <c r="W19" s="126" t="s">
        <v>78</v>
      </c>
      <c r="X19" s="126" t="s">
        <v>81</v>
      </c>
      <c r="Y19" s="126" t="s">
        <v>78</v>
      </c>
      <c r="Z19" s="126" t="s">
        <v>81</v>
      </c>
      <c r="AA19" s="126">
        <v>0</v>
      </c>
      <c r="AB19" s="141" t="s">
        <v>78</v>
      </c>
      <c r="AC19" s="126">
        <v>0</v>
      </c>
      <c r="AD19" s="139" t="s">
        <v>78</v>
      </c>
      <c r="AE19" s="126">
        <v>0</v>
      </c>
      <c r="AF19" s="126" t="s">
        <v>78</v>
      </c>
      <c r="AG19" s="126">
        <v>0</v>
      </c>
      <c r="AH19" s="142" t="s">
        <v>81</v>
      </c>
      <c r="AI19" s="142" t="s">
        <v>78</v>
      </c>
      <c r="AJ19" s="142" t="s">
        <v>81</v>
      </c>
      <c r="AK19" s="142" t="s">
        <v>78</v>
      </c>
      <c r="AL19" s="142" t="s">
        <v>78</v>
      </c>
      <c r="AM19" s="142" t="s">
        <v>81</v>
      </c>
      <c r="AN19" s="142" t="s">
        <v>81</v>
      </c>
      <c r="AO19" s="142" t="s">
        <v>78</v>
      </c>
      <c r="AP19" s="142" t="s">
        <v>81</v>
      </c>
      <c r="AQ19" s="142">
        <v>1</v>
      </c>
      <c r="AR19" s="142" t="s">
        <v>74</v>
      </c>
    </row>
    <row r="20" spans="1:44" s="143" customFormat="1" ht="25.05" customHeight="1" x14ac:dyDescent="0.3">
      <c r="A20" s="126" t="s">
        <v>1526</v>
      </c>
      <c r="B20" s="126" t="s">
        <v>1527</v>
      </c>
      <c r="C20" s="139">
        <v>2019</v>
      </c>
      <c r="D20" s="139" t="s">
        <v>508</v>
      </c>
      <c r="E20" s="139" t="s">
        <v>78</v>
      </c>
      <c r="F20" s="139" t="s">
        <v>558</v>
      </c>
      <c r="G20" s="139" t="s">
        <v>520</v>
      </c>
      <c r="H20" s="139" t="s">
        <v>228</v>
      </c>
      <c r="I20" s="126" t="s">
        <v>228</v>
      </c>
      <c r="J20" s="126" t="s">
        <v>676</v>
      </c>
      <c r="K20" s="126" t="s">
        <v>81</v>
      </c>
      <c r="L20" s="126" t="s">
        <v>74</v>
      </c>
      <c r="M20" s="126">
        <v>8520000</v>
      </c>
      <c r="N20" s="126">
        <v>8520000</v>
      </c>
      <c r="O20" s="126">
        <v>11849530.799999999</v>
      </c>
      <c r="P20" s="126">
        <v>7990000</v>
      </c>
      <c r="Q20" s="126">
        <v>7990000</v>
      </c>
      <c r="R20" s="126">
        <v>11112412.1</v>
      </c>
      <c r="S20" s="126">
        <v>7990000</v>
      </c>
      <c r="T20" s="126">
        <v>7990000</v>
      </c>
      <c r="U20" s="127">
        <v>11112412.1</v>
      </c>
      <c r="V20" s="126" t="s">
        <v>75</v>
      </c>
      <c r="W20" s="126" t="s">
        <v>1528</v>
      </c>
      <c r="X20" s="126" t="s">
        <v>75</v>
      </c>
      <c r="Y20" s="126" t="s">
        <v>1529</v>
      </c>
      <c r="Z20" s="126" t="s">
        <v>81</v>
      </c>
      <c r="AA20" s="126">
        <v>0</v>
      </c>
      <c r="AB20" s="141" t="s">
        <v>78</v>
      </c>
      <c r="AC20" s="126">
        <v>0</v>
      </c>
      <c r="AD20" s="139" t="s">
        <v>78</v>
      </c>
      <c r="AE20" s="126">
        <v>0</v>
      </c>
      <c r="AF20" s="126" t="s">
        <v>78</v>
      </c>
      <c r="AG20" s="126">
        <v>0</v>
      </c>
      <c r="AH20" s="142" t="s">
        <v>75</v>
      </c>
      <c r="AI20" s="142" t="s">
        <v>1530</v>
      </c>
      <c r="AJ20" s="142" t="s">
        <v>75</v>
      </c>
      <c r="AK20" s="142" t="s">
        <v>1531</v>
      </c>
      <c r="AL20" s="142" t="s">
        <v>132</v>
      </c>
      <c r="AM20" s="142" t="s">
        <v>75</v>
      </c>
      <c r="AN20" s="142" t="s">
        <v>75</v>
      </c>
      <c r="AO20" s="142" t="s">
        <v>78</v>
      </c>
      <c r="AP20" s="142" t="s">
        <v>81</v>
      </c>
      <c r="AQ20" s="142">
        <v>1</v>
      </c>
      <c r="AR20" s="142" t="s">
        <v>74</v>
      </c>
    </row>
    <row r="21" spans="1:44" s="143" customFormat="1" ht="25.05" customHeight="1" x14ac:dyDescent="0.3">
      <c r="A21" s="126" t="s">
        <v>1162</v>
      </c>
      <c r="B21" s="125" t="s">
        <v>1163</v>
      </c>
      <c r="C21" s="139">
        <v>2016</v>
      </c>
      <c r="D21" s="139" t="s">
        <v>501</v>
      </c>
      <c r="E21" s="139" t="s">
        <v>78</v>
      </c>
      <c r="F21" s="139" t="s">
        <v>551</v>
      </c>
      <c r="G21" s="139" t="s">
        <v>519</v>
      </c>
      <c r="H21" s="139" t="s">
        <v>585</v>
      </c>
      <c r="I21" s="126" t="s">
        <v>228</v>
      </c>
      <c r="J21" s="126" t="s">
        <v>676</v>
      </c>
      <c r="K21" s="126" t="s">
        <v>81</v>
      </c>
      <c r="L21" s="140" t="s">
        <v>74</v>
      </c>
      <c r="M21" s="140">
        <v>16000000</v>
      </c>
      <c r="N21" s="126">
        <v>16000000</v>
      </c>
      <c r="O21" s="126">
        <v>22171680</v>
      </c>
      <c r="P21" s="126">
        <v>16000000</v>
      </c>
      <c r="Q21" s="126">
        <v>16000000</v>
      </c>
      <c r="R21" s="126">
        <v>22171680</v>
      </c>
      <c r="S21" s="126">
        <v>16000000</v>
      </c>
      <c r="T21" s="126">
        <v>16000000</v>
      </c>
      <c r="U21" s="127">
        <v>22171680</v>
      </c>
      <c r="V21" s="140" t="s">
        <v>81</v>
      </c>
      <c r="W21" s="126" t="s">
        <v>78</v>
      </c>
      <c r="X21" s="126" t="s">
        <v>81</v>
      </c>
      <c r="Y21" s="126" t="s">
        <v>78</v>
      </c>
      <c r="Z21" s="126" t="s">
        <v>81</v>
      </c>
      <c r="AA21" s="126">
        <v>0</v>
      </c>
      <c r="AB21" s="141" t="s">
        <v>78</v>
      </c>
      <c r="AC21" s="126">
        <v>0</v>
      </c>
      <c r="AD21" s="139" t="s">
        <v>78</v>
      </c>
      <c r="AE21" s="126">
        <v>0</v>
      </c>
      <c r="AF21" s="126" t="s">
        <v>78</v>
      </c>
      <c r="AG21" s="126">
        <v>0</v>
      </c>
      <c r="AH21" s="142" t="s">
        <v>81</v>
      </c>
      <c r="AI21" s="142" t="s">
        <v>78</v>
      </c>
      <c r="AJ21" s="142" t="s">
        <v>81</v>
      </c>
      <c r="AK21" s="142" t="s">
        <v>78</v>
      </c>
      <c r="AL21" s="142" t="s">
        <v>78</v>
      </c>
      <c r="AM21" s="142" t="s">
        <v>81</v>
      </c>
      <c r="AN21" s="142" t="s">
        <v>81</v>
      </c>
      <c r="AO21" s="142" t="s">
        <v>78</v>
      </c>
      <c r="AP21" s="142" t="s">
        <v>81</v>
      </c>
      <c r="AQ21" s="142">
        <v>1</v>
      </c>
      <c r="AR21" s="142" t="s">
        <v>74</v>
      </c>
    </row>
    <row r="22" spans="1:44" s="143" customFormat="1" ht="25.05" customHeight="1" x14ac:dyDescent="0.3">
      <c r="A22" s="126" t="s">
        <v>324</v>
      </c>
      <c r="B22" s="126" t="s">
        <v>325</v>
      </c>
      <c r="C22" s="139">
        <v>2020</v>
      </c>
      <c r="D22" s="139" t="s">
        <v>179</v>
      </c>
      <c r="E22" s="139">
        <v>0</v>
      </c>
      <c r="F22" s="139" t="s">
        <v>561</v>
      </c>
      <c r="G22" s="139" t="s">
        <v>522</v>
      </c>
      <c r="H22" s="139" t="s">
        <v>264</v>
      </c>
      <c r="I22" s="126" t="s">
        <v>228</v>
      </c>
      <c r="J22" s="126" t="s">
        <v>290</v>
      </c>
      <c r="K22" s="126" t="s">
        <v>81</v>
      </c>
      <c r="L22" s="126" t="s">
        <v>74</v>
      </c>
      <c r="M22" s="126">
        <v>10790000</v>
      </c>
      <c r="N22" s="126">
        <v>10790000</v>
      </c>
      <c r="O22" s="126">
        <v>14920735.699999999</v>
      </c>
      <c r="P22" s="126" t="s">
        <v>659</v>
      </c>
      <c r="Q22" s="126" t="s">
        <v>659</v>
      </c>
      <c r="R22" s="126" t="s">
        <v>659</v>
      </c>
      <c r="S22" s="126">
        <v>5530000</v>
      </c>
      <c r="T22" s="126">
        <v>5530000</v>
      </c>
      <c r="U22" s="127">
        <v>7647049.9000000004</v>
      </c>
      <c r="V22" s="126" t="s">
        <v>75</v>
      </c>
      <c r="W22" s="126" t="s">
        <v>326</v>
      </c>
      <c r="X22" s="126" t="s">
        <v>75</v>
      </c>
      <c r="Y22" s="126" t="s">
        <v>327</v>
      </c>
      <c r="Z22" s="126" t="s">
        <v>75</v>
      </c>
      <c r="AA22" s="126">
        <v>0</v>
      </c>
      <c r="AB22" s="141" t="s">
        <v>78</v>
      </c>
      <c r="AC22" s="126">
        <v>2</v>
      </c>
      <c r="AD22" s="139" t="s">
        <v>328</v>
      </c>
      <c r="AE22" s="126">
        <v>1</v>
      </c>
      <c r="AF22" s="126" t="s">
        <v>329</v>
      </c>
      <c r="AG22" s="126">
        <v>3</v>
      </c>
      <c r="AH22" s="142" t="s">
        <v>75</v>
      </c>
      <c r="AI22" s="142" t="s">
        <v>330</v>
      </c>
      <c r="AJ22" s="142" t="s">
        <v>75</v>
      </c>
      <c r="AK22" s="142" t="s">
        <v>331</v>
      </c>
      <c r="AL22" s="142" t="s">
        <v>132</v>
      </c>
      <c r="AM22" s="142" t="s">
        <v>75</v>
      </c>
      <c r="AN22" s="142" t="s">
        <v>75</v>
      </c>
      <c r="AO22" s="142" t="s">
        <v>110</v>
      </c>
      <c r="AP22" s="142" t="s">
        <v>75</v>
      </c>
      <c r="AQ22" s="142">
        <v>1</v>
      </c>
      <c r="AR22" s="142" t="s">
        <v>74</v>
      </c>
    </row>
    <row r="23" spans="1:44" s="143" customFormat="1" ht="25.05" customHeight="1" x14ac:dyDescent="0.3">
      <c r="A23" s="126" t="s">
        <v>821</v>
      </c>
      <c r="B23" s="125" t="s">
        <v>822</v>
      </c>
      <c r="C23" s="139">
        <v>2018</v>
      </c>
      <c r="D23" s="139" t="s">
        <v>445</v>
      </c>
      <c r="E23" s="139" t="s">
        <v>78</v>
      </c>
      <c r="F23" s="139" t="s">
        <v>552</v>
      </c>
      <c r="G23" s="139" t="s">
        <v>519</v>
      </c>
      <c r="H23" s="139" t="s">
        <v>228</v>
      </c>
      <c r="I23" s="126" t="s">
        <v>228</v>
      </c>
      <c r="J23" s="126" t="s">
        <v>676</v>
      </c>
      <c r="K23" s="126" t="s">
        <v>81</v>
      </c>
      <c r="L23" s="140" t="s">
        <v>74</v>
      </c>
      <c r="M23" s="140">
        <v>13000000</v>
      </c>
      <c r="N23" s="126">
        <v>13000000</v>
      </c>
      <c r="O23" s="126">
        <v>18513690</v>
      </c>
      <c r="P23" s="126">
        <v>11000000</v>
      </c>
      <c r="Q23" s="126">
        <v>11000000</v>
      </c>
      <c r="R23" s="126">
        <v>15665429.999999998</v>
      </c>
      <c r="S23" s="126">
        <v>11000000</v>
      </c>
      <c r="T23" s="126">
        <v>11000000</v>
      </c>
      <c r="U23" s="127">
        <v>15665429.999999998</v>
      </c>
      <c r="V23" s="140" t="s">
        <v>75</v>
      </c>
      <c r="W23" s="126" t="s">
        <v>823</v>
      </c>
      <c r="X23" s="126" t="s">
        <v>81</v>
      </c>
      <c r="Y23" s="126" t="s">
        <v>78</v>
      </c>
      <c r="Z23" s="126" t="s">
        <v>75</v>
      </c>
      <c r="AA23" s="126">
        <v>999</v>
      </c>
      <c r="AB23" s="141" t="s">
        <v>824</v>
      </c>
      <c r="AC23" s="126">
        <v>999</v>
      </c>
      <c r="AD23" s="139" t="s">
        <v>825</v>
      </c>
      <c r="AE23" s="126">
        <v>0</v>
      </c>
      <c r="AF23" s="126" t="s">
        <v>78</v>
      </c>
      <c r="AG23" s="126">
        <v>2</v>
      </c>
      <c r="AH23" s="142" t="s">
        <v>75</v>
      </c>
      <c r="AI23" s="142" t="s">
        <v>826</v>
      </c>
      <c r="AJ23" s="142" t="s">
        <v>81</v>
      </c>
      <c r="AK23" s="142" t="s">
        <v>78</v>
      </c>
      <c r="AL23" s="142" t="s">
        <v>78</v>
      </c>
      <c r="AM23" s="142" t="s">
        <v>81</v>
      </c>
      <c r="AN23" s="142" t="s">
        <v>81</v>
      </c>
      <c r="AO23" s="142" t="s">
        <v>78</v>
      </c>
      <c r="AP23" s="142" t="s">
        <v>81</v>
      </c>
      <c r="AQ23" s="142">
        <v>1</v>
      </c>
      <c r="AR23" s="142" t="s">
        <v>74</v>
      </c>
    </row>
    <row r="24" spans="1:44" s="143" customFormat="1" ht="25.05" customHeight="1" x14ac:dyDescent="0.3">
      <c r="A24" s="126" t="s">
        <v>922</v>
      </c>
      <c r="B24" s="125" t="s">
        <v>923</v>
      </c>
      <c r="C24" s="139">
        <v>2017</v>
      </c>
      <c r="D24" s="139" t="s">
        <v>514</v>
      </c>
      <c r="E24" s="139" t="s">
        <v>78</v>
      </c>
      <c r="F24" s="139" t="s">
        <v>567</v>
      </c>
      <c r="G24" s="139" t="s">
        <v>522</v>
      </c>
      <c r="H24" s="139" t="s">
        <v>585</v>
      </c>
      <c r="I24" s="126" t="s">
        <v>228</v>
      </c>
      <c r="J24" s="126" t="s">
        <v>676</v>
      </c>
      <c r="K24" s="126" t="s">
        <v>81</v>
      </c>
      <c r="L24" s="140" t="s">
        <v>74</v>
      </c>
      <c r="M24" s="140">
        <v>65300000</v>
      </c>
      <c r="N24" s="126">
        <v>65300000</v>
      </c>
      <c r="O24" s="126">
        <v>87784749</v>
      </c>
      <c r="P24" s="126">
        <v>57000000</v>
      </c>
      <c r="Q24" s="126">
        <v>57000000</v>
      </c>
      <c r="R24" s="126">
        <v>76626810</v>
      </c>
      <c r="S24" s="126">
        <v>57000000</v>
      </c>
      <c r="T24" s="126">
        <v>57000000</v>
      </c>
      <c r="U24" s="127">
        <v>76626810</v>
      </c>
      <c r="V24" s="140" t="s">
        <v>81</v>
      </c>
      <c r="W24" s="126" t="s">
        <v>78</v>
      </c>
      <c r="X24" s="126" t="s">
        <v>81</v>
      </c>
      <c r="Y24" s="126" t="s">
        <v>78</v>
      </c>
      <c r="Z24" s="126" t="s">
        <v>81</v>
      </c>
      <c r="AA24" s="126">
        <v>0</v>
      </c>
      <c r="AB24" s="141" t="s">
        <v>78</v>
      </c>
      <c r="AC24" s="126">
        <v>0</v>
      </c>
      <c r="AD24" s="139" t="s">
        <v>78</v>
      </c>
      <c r="AE24" s="126">
        <v>0</v>
      </c>
      <c r="AF24" s="126" t="s">
        <v>78</v>
      </c>
      <c r="AG24" s="126">
        <v>0</v>
      </c>
      <c r="AH24" s="142" t="s">
        <v>81</v>
      </c>
      <c r="AI24" s="142" t="s">
        <v>78</v>
      </c>
      <c r="AJ24" s="142" t="s">
        <v>81</v>
      </c>
      <c r="AK24" s="142" t="s">
        <v>78</v>
      </c>
      <c r="AL24" s="142" t="s">
        <v>78</v>
      </c>
      <c r="AM24" s="142" t="s">
        <v>81</v>
      </c>
      <c r="AN24" s="142" t="s">
        <v>81</v>
      </c>
      <c r="AO24" s="142" t="s">
        <v>78</v>
      </c>
      <c r="AP24" s="142" t="s">
        <v>81</v>
      </c>
      <c r="AQ24" s="142">
        <v>1</v>
      </c>
      <c r="AR24" s="142" t="s">
        <v>74</v>
      </c>
    </row>
    <row r="25" spans="1:44" s="143" customFormat="1" ht="25.05" customHeight="1" x14ac:dyDescent="0.3">
      <c r="A25" s="126" t="s">
        <v>797</v>
      </c>
      <c r="B25" s="125" t="s">
        <v>798</v>
      </c>
      <c r="C25" s="139">
        <v>2018</v>
      </c>
      <c r="D25" s="139" t="s">
        <v>314</v>
      </c>
      <c r="E25" s="139" t="s">
        <v>78</v>
      </c>
      <c r="F25" s="139" t="s">
        <v>557</v>
      </c>
      <c r="G25" s="139" t="s">
        <v>522</v>
      </c>
      <c r="H25" s="139" t="s">
        <v>585</v>
      </c>
      <c r="I25" s="126" t="s">
        <v>228</v>
      </c>
      <c r="J25" s="126" t="s">
        <v>676</v>
      </c>
      <c r="K25" s="126" t="s">
        <v>81</v>
      </c>
      <c r="L25" s="140" t="s">
        <v>74</v>
      </c>
      <c r="M25" s="140">
        <v>32743103</v>
      </c>
      <c r="N25" s="126">
        <v>32743103</v>
      </c>
      <c r="O25" s="126">
        <v>46630435.275389999</v>
      </c>
      <c r="P25" s="126">
        <v>28950000</v>
      </c>
      <c r="Q25" s="126">
        <v>28950000</v>
      </c>
      <c r="R25" s="126">
        <v>41228563.5</v>
      </c>
      <c r="S25" s="126">
        <v>28950000</v>
      </c>
      <c r="T25" s="126">
        <v>28950000</v>
      </c>
      <c r="U25" s="127">
        <v>41228563.5</v>
      </c>
      <c r="V25" s="140" t="s">
        <v>75</v>
      </c>
      <c r="W25" s="126" t="s">
        <v>799</v>
      </c>
      <c r="X25" s="126" t="s">
        <v>81</v>
      </c>
      <c r="Y25" s="126" t="s">
        <v>78</v>
      </c>
      <c r="Z25" s="126" t="s">
        <v>81</v>
      </c>
      <c r="AA25" s="126">
        <v>0</v>
      </c>
      <c r="AB25" s="141" t="s">
        <v>78</v>
      </c>
      <c r="AC25" s="126">
        <v>0</v>
      </c>
      <c r="AD25" s="139" t="s">
        <v>78</v>
      </c>
      <c r="AE25" s="126">
        <v>0</v>
      </c>
      <c r="AF25" s="126" t="s">
        <v>78</v>
      </c>
      <c r="AG25" s="126">
        <v>0</v>
      </c>
      <c r="AH25" s="142" t="s">
        <v>81</v>
      </c>
      <c r="AI25" s="142" t="s">
        <v>78</v>
      </c>
      <c r="AJ25" s="142" t="s">
        <v>81</v>
      </c>
      <c r="AK25" s="142" t="s">
        <v>78</v>
      </c>
      <c r="AL25" s="142" t="s">
        <v>78</v>
      </c>
      <c r="AM25" s="142" t="s">
        <v>81</v>
      </c>
      <c r="AN25" s="142" t="s">
        <v>81</v>
      </c>
      <c r="AO25" s="142" t="s">
        <v>78</v>
      </c>
      <c r="AP25" s="142" t="s">
        <v>81</v>
      </c>
      <c r="AQ25" s="142">
        <v>1</v>
      </c>
      <c r="AR25" s="142" t="s">
        <v>74</v>
      </c>
    </row>
    <row r="26" spans="1:44" s="143" customFormat="1" ht="25.05" customHeight="1" x14ac:dyDescent="0.3">
      <c r="A26" s="126" t="s">
        <v>315</v>
      </c>
      <c r="B26" s="126" t="s">
        <v>316</v>
      </c>
      <c r="C26" s="139">
        <v>2020</v>
      </c>
      <c r="D26" s="139" t="s">
        <v>317</v>
      </c>
      <c r="E26" s="139">
        <v>0</v>
      </c>
      <c r="F26" s="139" t="s">
        <v>526</v>
      </c>
      <c r="G26" s="139" t="s">
        <v>522</v>
      </c>
      <c r="H26" s="139" t="s">
        <v>264</v>
      </c>
      <c r="I26" s="126" t="s">
        <v>228</v>
      </c>
      <c r="J26" s="126" t="s">
        <v>290</v>
      </c>
      <c r="K26" s="126" t="s">
        <v>81</v>
      </c>
      <c r="L26" s="126" t="s">
        <v>74</v>
      </c>
      <c r="M26" s="126">
        <v>16390000</v>
      </c>
      <c r="N26" s="126">
        <v>16390000</v>
      </c>
      <c r="O26" s="126">
        <v>22664583.699999999</v>
      </c>
      <c r="P26" s="126" t="s">
        <v>659</v>
      </c>
      <c r="Q26" s="126" t="s">
        <v>659</v>
      </c>
      <c r="R26" s="126" t="s">
        <v>659</v>
      </c>
      <c r="S26" s="126">
        <v>9370000</v>
      </c>
      <c r="T26" s="126">
        <v>9370000</v>
      </c>
      <c r="U26" s="127">
        <v>12957117.1</v>
      </c>
      <c r="V26" s="126" t="s">
        <v>75</v>
      </c>
      <c r="W26" s="126" t="s">
        <v>318</v>
      </c>
      <c r="X26" s="126" t="s">
        <v>75</v>
      </c>
      <c r="Y26" s="126" t="s">
        <v>319</v>
      </c>
      <c r="Z26" s="126" t="s">
        <v>75</v>
      </c>
      <c r="AA26" s="126">
        <v>1</v>
      </c>
      <c r="AB26" s="141" t="s">
        <v>320</v>
      </c>
      <c r="AC26" s="126">
        <v>1</v>
      </c>
      <c r="AD26" s="139" t="s">
        <v>321</v>
      </c>
      <c r="AE26" s="126">
        <v>2</v>
      </c>
      <c r="AF26" s="126" t="s">
        <v>322</v>
      </c>
      <c r="AG26" s="126">
        <v>4</v>
      </c>
      <c r="AH26" s="142" t="s">
        <v>81</v>
      </c>
      <c r="AI26" s="142">
        <v>0</v>
      </c>
      <c r="AJ26" s="142" t="s">
        <v>75</v>
      </c>
      <c r="AK26" s="142" t="s">
        <v>323</v>
      </c>
      <c r="AL26" s="142" t="s">
        <v>121</v>
      </c>
      <c r="AM26" s="142" t="s">
        <v>75</v>
      </c>
      <c r="AN26" s="142" t="s">
        <v>75</v>
      </c>
      <c r="AO26" s="142" t="s">
        <v>110</v>
      </c>
      <c r="AP26" s="142" t="s">
        <v>75</v>
      </c>
      <c r="AQ26" s="142">
        <v>1</v>
      </c>
      <c r="AR26" s="142" t="s">
        <v>74</v>
      </c>
    </row>
    <row r="27" spans="1:44" s="143" customFormat="1" ht="25.05" customHeight="1" x14ac:dyDescent="0.3">
      <c r="A27" s="126" t="s">
        <v>1220</v>
      </c>
      <c r="B27" s="125" t="s">
        <v>1221</v>
      </c>
      <c r="C27" s="139">
        <v>2016</v>
      </c>
      <c r="D27" s="139" t="s">
        <v>513</v>
      </c>
      <c r="E27" s="139" t="s">
        <v>78</v>
      </c>
      <c r="F27" s="139" t="s">
        <v>539</v>
      </c>
      <c r="G27" s="139" t="s">
        <v>520</v>
      </c>
      <c r="H27" s="139" t="s">
        <v>228</v>
      </c>
      <c r="I27" s="126" t="s">
        <v>228</v>
      </c>
      <c r="J27" s="126" t="s">
        <v>676</v>
      </c>
      <c r="K27" s="126" t="s">
        <v>81</v>
      </c>
      <c r="L27" s="140" t="s">
        <v>74</v>
      </c>
      <c r="M27" s="140">
        <v>6600000</v>
      </c>
      <c r="N27" s="126">
        <v>6600000</v>
      </c>
      <c r="O27" s="126">
        <v>9145818</v>
      </c>
      <c r="P27" s="126">
        <v>6000000</v>
      </c>
      <c r="Q27" s="126">
        <v>6000000</v>
      </c>
      <c r="R27" s="126">
        <v>8314379.9999999991</v>
      </c>
      <c r="S27" s="126">
        <v>6000000</v>
      </c>
      <c r="T27" s="126">
        <v>6000000</v>
      </c>
      <c r="U27" s="127">
        <v>8314379.9999999991</v>
      </c>
      <c r="V27" s="140" t="s">
        <v>81</v>
      </c>
      <c r="W27" s="126" t="s">
        <v>78</v>
      </c>
      <c r="X27" s="126" t="s">
        <v>81</v>
      </c>
      <c r="Y27" s="126" t="s">
        <v>78</v>
      </c>
      <c r="Z27" s="126" t="s">
        <v>81</v>
      </c>
      <c r="AA27" s="126">
        <v>0</v>
      </c>
      <c r="AB27" s="141" t="s">
        <v>78</v>
      </c>
      <c r="AC27" s="126">
        <v>0</v>
      </c>
      <c r="AD27" s="139" t="s">
        <v>78</v>
      </c>
      <c r="AE27" s="126">
        <v>0</v>
      </c>
      <c r="AF27" s="126" t="s">
        <v>78</v>
      </c>
      <c r="AG27" s="126">
        <v>0</v>
      </c>
      <c r="AH27" s="142" t="s">
        <v>81</v>
      </c>
      <c r="AI27" s="142" t="s">
        <v>78</v>
      </c>
      <c r="AJ27" s="142" t="s">
        <v>81</v>
      </c>
      <c r="AK27" s="142" t="s">
        <v>78</v>
      </c>
      <c r="AL27" s="142" t="s">
        <v>78</v>
      </c>
      <c r="AM27" s="142" t="s">
        <v>81</v>
      </c>
      <c r="AN27" s="142" t="s">
        <v>81</v>
      </c>
      <c r="AO27" s="142" t="s">
        <v>78</v>
      </c>
      <c r="AP27" s="142" t="s">
        <v>81</v>
      </c>
      <c r="AQ27" s="142">
        <v>1</v>
      </c>
      <c r="AR27" s="142" t="s">
        <v>74</v>
      </c>
    </row>
    <row r="28" spans="1:44" s="143" customFormat="1" ht="25.05" customHeight="1" x14ac:dyDescent="0.3">
      <c r="A28" s="126" t="s">
        <v>1432</v>
      </c>
      <c r="B28" s="126" t="s">
        <v>1433</v>
      </c>
      <c r="C28" s="139">
        <v>2019</v>
      </c>
      <c r="D28" s="139" t="s">
        <v>433</v>
      </c>
      <c r="E28" s="139" t="s">
        <v>78</v>
      </c>
      <c r="F28" s="139" t="s">
        <v>564</v>
      </c>
      <c r="G28" s="139" t="s">
        <v>520</v>
      </c>
      <c r="H28" s="139" t="s">
        <v>228</v>
      </c>
      <c r="I28" s="126" t="s">
        <v>228</v>
      </c>
      <c r="J28" s="126" t="s">
        <v>679</v>
      </c>
      <c r="K28" s="126" t="s">
        <v>75</v>
      </c>
      <c r="L28" s="126" t="s">
        <v>74</v>
      </c>
      <c r="M28" s="126">
        <v>49066000</v>
      </c>
      <c r="N28" s="126">
        <v>49066000</v>
      </c>
      <c r="O28" s="126">
        <v>68240502.140000001</v>
      </c>
      <c r="P28" s="126">
        <v>4000000</v>
      </c>
      <c r="Q28" s="126">
        <v>4000000</v>
      </c>
      <c r="R28" s="126">
        <v>5563160</v>
      </c>
      <c r="S28" s="126">
        <v>0</v>
      </c>
      <c r="T28" s="126">
        <v>0</v>
      </c>
      <c r="U28" s="127">
        <v>0</v>
      </c>
      <c r="V28" s="126" t="s">
        <v>75</v>
      </c>
      <c r="W28" s="126" t="s">
        <v>1434</v>
      </c>
      <c r="X28" s="126" t="s">
        <v>75</v>
      </c>
      <c r="Y28" s="126" t="s">
        <v>1435</v>
      </c>
      <c r="Z28" s="126" t="s">
        <v>75</v>
      </c>
      <c r="AA28" s="126">
        <v>999</v>
      </c>
      <c r="AB28" s="141" t="s">
        <v>1436</v>
      </c>
      <c r="AC28" s="126">
        <v>999</v>
      </c>
      <c r="AD28" s="139" t="s">
        <v>1437</v>
      </c>
      <c r="AE28" s="126">
        <v>0</v>
      </c>
      <c r="AF28" s="126" t="s">
        <v>78</v>
      </c>
      <c r="AG28" s="126">
        <v>3</v>
      </c>
      <c r="AH28" s="142" t="s">
        <v>81</v>
      </c>
      <c r="AI28" s="142" t="s">
        <v>78</v>
      </c>
      <c r="AJ28" s="142" t="s">
        <v>75</v>
      </c>
      <c r="AK28" s="142" t="s">
        <v>1438</v>
      </c>
      <c r="AL28" s="142" t="s">
        <v>132</v>
      </c>
      <c r="AM28" s="142" t="s">
        <v>75</v>
      </c>
      <c r="AN28" s="142" t="s">
        <v>75</v>
      </c>
      <c r="AO28" s="142" t="s">
        <v>78</v>
      </c>
      <c r="AP28" s="142" t="s">
        <v>75</v>
      </c>
      <c r="AQ28" s="142">
        <v>1</v>
      </c>
      <c r="AR28" s="142" t="s">
        <v>74</v>
      </c>
    </row>
    <row r="29" spans="1:44" s="143" customFormat="1" ht="25.05" customHeight="1" x14ac:dyDescent="0.3">
      <c r="A29" s="126" t="s">
        <v>727</v>
      </c>
      <c r="B29" s="125" t="s">
        <v>728</v>
      </c>
      <c r="C29" s="139">
        <v>2018</v>
      </c>
      <c r="D29" s="139" t="s">
        <v>371</v>
      </c>
      <c r="E29" s="139" t="s">
        <v>78</v>
      </c>
      <c r="F29" s="139" t="s">
        <v>542</v>
      </c>
      <c r="G29" s="139" t="s">
        <v>520</v>
      </c>
      <c r="H29" s="139" t="s">
        <v>228</v>
      </c>
      <c r="I29" s="126" t="s">
        <v>228</v>
      </c>
      <c r="J29" s="126" t="s">
        <v>689</v>
      </c>
      <c r="K29" s="126" t="s">
        <v>81</v>
      </c>
      <c r="L29" s="140" t="s">
        <v>126</v>
      </c>
      <c r="M29" s="140">
        <v>1000000</v>
      </c>
      <c r="N29" s="126">
        <v>702183.08721816132</v>
      </c>
      <c r="O29" s="126">
        <v>1000000</v>
      </c>
      <c r="P29" s="126">
        <v>723227.91</v>
      </c>
      <c r="Q29" s="126">
        <v>723227.91</v>
      </c>
      <c r="R29" s="126">
        <v>1029970.5634682999</v>
      </c>
      <c r="S29" s="126">
        <v>723227.91</v>
      </c>
      <c r="T29" s="126">
        <v>723227.91</v>
      </c>
      <c r="U29" s="127">
        <v>1029970.5634682999</v>
      </c>
      <c r="V29" s="140" t="s">
        <v>75</v>
      </c>
      <c r="W29" s="126" t="s">
        <v>729</v>
      </c>
      <c r="X29" s="126" t="s">
        <v>81</v>
      </c>
      <c r="Y29" s="126" t="s">
        <v>78</v>
      </c>
      <c r="Z29" s="126" t="s">
        <v>81</v>
      </c>
      <c r="AA29" s="126">
        <v>0</v>
      </c>
      <c r="AB29" s="141" t="s">
        <v>78</v>
      </c>
      <c r="AC29" s="126">
        <v>0</v>
      </c>
      <c r="AD29" s="139" t="s">
        <v>78</v>
      </c>
      <c r="AE29" s="126">
        <v>0</v>
      </c>
      <c r="AF29" s="126" t="s">
        <v>78</v>
      </c>
      <c r="AG29" s="126">
        <v>0</v>
      </c>
      <c r="AH29" s="142" t="s">
        <v>81</v>
      </c>
      <c r="AI29" s="142" t="s">
        <v>78</v>
      </c>
      <c r="AJ29" s="142" t="s">
        <v>81</v>
      </c>
      <c r="AK29" s="142" t="s">
        <v>78</v>
      </c>
      <c r="AL29" s="142" t="s">
        <v>78</v>
      </c>
      <c r="AM29" s="142" t="s">
        <v>81</v>
      </c>
      <c r="AN29" s="142" t="s">
        <v>81</v>
      </c>
      <c r="AO29" s="142" t="s">
        <v>78</v>
      </c>
      <c r="AP29" s="142" t="s">
        <v>81</v>
      </c>
      <c r="AQ29" s="142">
        <v>1</v>
      </c>
      <c r="AR29" s="142" t="s">
        <v>126</v>
      </c>
    </row>
    <row r="30" spans="1:44" s="143" customFormat="1" ht="25.05" customHeight="1" x14ac:dyDescent="0.3">
      <c r="A30" s="126" t="s">
        <v>1403</v>
      </c>
      <c r="B30" s="126" t="s">
        <v>1404</v>
      </c>
      <c r="C30" s="139">
        <v>2019</v>
      </c>
      <c r="D30" s="139" t="s">
        <v>498</v>
      </c>
      <c r="E30" s="139" t="s">
        <v>78</v>
      </c>
      <c r="F30" s="139" t="s">
        <v>540</v>
      </c>
      <c r="G30" s="139" t="s">
        <v>520</v>
      </c>
      <c r="H30" s="139" t="s">
        <v>228</v>
      </c>
      <c r="I30" s="126" t="s">
        <v>228</v>
      </c>
      <c r="J30" s="126" t="s">
        <v>1398</v>
      </c>
      <c r="K30" s="126" t="s">
        <v>75</v>
      </c>
      <c r="L30" s="126" t="s">
        <v>126</v>
      </c>
      <c r="M30" s="126">
        <v>1000000</v>
      </c>
      <c r="N30" s="126">
        <v>719015.81115768733</v>
      </c>
      <c r="O30" s="126">
        <v>1000000</v>
      </c>
      <c r="P30" s="126">
        <v>719016</v>
      </c>
      <c r="Q30" s="126">
        <v>719016</v>
      </c>
      <c r="R30" s="126">
        <v>1000000.26264</v>
      </c>
      <c r="S30" s="126">
        <v>0</v>
      </c>
      <c r="T30" s="126">
        <v>0</v>
      </c>
      <c r="U30" s="127">
        <v>0</v>
      </c>
      <c r="V30" s="126" t="s">
        <v>75</v>
      </c>
      <c r="W30" s="126" t="s">
        <v>1399</v>
      </c>
      <c r="X30" s="126" t="s">
        <v>75</v>
      </c>
      <c r="Y30" s="126" t="s">
        <v>1405</v>
      </c>
      <c r="Z30" s="126" t="s">
        <v>75</v>
      </c>
      <c r="AA30" s="126">
        <v>999</v>
      </c>
      <c r="AB30" s="141" t="s">
        <v>1406</v>
      </c>
      <c r="AC30" s="126">
        <v>0</v>
      </c>
      <c r="AD30" s="139" t="s">
        <v>78</v>
      </c>
      <c r="AE30" s="126">
        <v>0</v>
      </c>
      <c r="AF30" s="126" t="s">
        <v>78</v>
      </c>
      <c r="AG30" s="126">
        <v>1</v>
      </c>
      <c r="AH30" s="142" t="s">
        <v>75</v>
      </c>
      <c r="AI30" s="142" t="s">
        <v>442</v>
      </c>
      <c r="AJ30" s="142" t="s">
        <v>75</v>
      </c>
      <c r="AK30" s="142" t="s">
        <v>1402</v>
      </c>
      <c r="AL30" s="142" t="s">
        <v>286</v>
      </c>
      <c r="AM30" s="142" t="s">
        <v>75</v>
      </c>
      <c r="AN30" s="142" t="s">
        <v>81</v>
      </c>
      <c r="AO30" s="142" t="s">
        <v>78</v>
      </c>
      <c r="AP30" s="142" t="s">
        <v>75</v>
      </c>
      <c r="AQ30" s="142">
        <v>1</v>
      </c>
      <c r="AR30" s="142" t="s">
        <v>126</v>
      </c>
    </row>
    <row r="31" spans="1:44" s="143" customFormat="1" ht="25.05" customHeight="1" x14ac:dyDescent="0.3">
      <c r="A31" s="126" t="s">
        <v>827</v>
      </c>
      <c r="B31" s="125" t="s">
        <v>828</v>
      </c>
      <c r="C31" s="139">
        <v>2018</v>
      </c>
      <c r="D31" s="139" t="s">
        <v>493</v>
      </c>
      <c r="E31" s="139" t="s">
        <v>78</v>
      </c>
      <c r="F31" s="139" t="s">
        <v>533</v>
      </c>
      <c r="G31" s="139" t="s">
        <v>522</v>
      </c>
      <c r="H31" s="139" t="s">
        <v>466</v>
      </c>
      <c r="I31" s="126" t="s">
        <v>466</v>
      </c>
      <c r="J31" s="126" t="s">
        <v>689</v>
      </c>
      <c r="K31" s="126" t="s">
        <v>81</v>
      </c>
      <c r="L31" s="140" t="s">
        <v>126</v>
      </c>
      <c r="M31" s="140">
        <v>1000000</v>
      </c>
      <c r="N31" s="126">
        <v>702183.08721816132</v>
      </c>
      <c r="O31" s="126">
        <v>1000000</v>
      </c>
      <c r="P31" s="126">
        <v>723227.91</v>
      </c>
      <c r="Q31" s="126">
        <v>723227.91</v>
      </c>
      <c r="R31" s="126">
        <v>1029970.5634682999</v>
      </c>
      <c r="S31" s="126">
        <v>723227.91</v>
      </c>
      <c r="T31" s="126">
        <v>723227.91</v>
      </c>
      <c r="U31" s="127">
        <v>1029970.5634682999</v>
      </c>
      <c r="V31" s="140" t="s">
        <v>81</v>
      </c>
      <c r="W31" s="126" t="s">
        <v>78</v>
      </c>
      <c r="X31" s="126" t="s">
        <v>81</v>
      </c>
      <c r="Y31" s="126" t="s">
        <v>78</v>
      </c>
      <c r="Z31" s="126" t="s">
        <v>81</v>
      </c>
      <c r="AA31" s="126">
        <v>0</v>
      </c>
      <c r="AB31" s="141" t="s">
        <v>78</v>
      </c>
      <c r="AC31" s="126">
        <v>0</v>
      </c>
      <c r="AD31" s="139" t="s">
        <v>78</v>
      </c>
      <c r="AE31" s="144">
        <v>0</v>
      </c>
      <c r="AF31" s="126" t="s">
        <v>78</v>
      </c>
      <c r="AG31" s="126">
        <v>0</v>
      </c>
      <c r="AH31" s="142" t="s">
        <v>81</v>
      </c>
      <c r="AI31" s="142" t="s">
        <v>78</v>
      </c>
      <c r="AJ31" s="142" t="s">
        <v>81</v>
      </c>
      <c r="AK31" s="142" t="s">
        <v>78</v>
      </c>
      <c r="AL31" s="142" t="s">
        <v>78</v>
      </c>
      <c r="AM31" s="142" t="s">
        <v>81</v>
      </c>
      <c r="AN31" s="142" t="s">
        <v>81</v>
      </c>
      <c r="AO31" s="142" t="s">
        <v>78</v>
      </c>
      <c r="AP31" s="142" t="s">
        <v>81</v>
      </c>
      <c r="AQ31" s="142">
        <v>1</v>
      </c>
      <c r="AR31" s="142" t="s">
        <v>126</v>
      </c>
    </row>
    <row r="32" spans="1:44" s="143" customFormat="1" ht="25.05" customHeight="1" x14ac:dyDescent="0.3">
      <c r="A32" s="126" t="s">
        <v>1649</v>
      </c>
      <c r="B32" s="126" t="s">
        <v>1650</v>
      </c>
      <c r="C32" s="139">
        <v>2019</v>
      </c>
      <c r="D32" s="139" t="s">
        <v>273</v>
      </c>
      <c r="E32" s="139" t="s">
        <v>78</v>
      </c>
      <c r="F32" s="139" t="s">
        <v>549</v>
      </c>
      <c r="G32" s="139" t="s">
        <v>518</v>
      </c>
      <c r="H32" s="139" t="s">
        <v>585</v>
      </c>
      <c r="I32" s="126" t="s">
        <v>228</v>
      </c>
      <c r="J32" s="126" t="s">
        <v>1398</v>
      </c>
      <c r="K32" s="126" t="s">
        <v>75</v>
      </c>
      <c r="L32" s="126" t="s">
        <v>126</v>
      </c>
      <c r="M32" s="126">
        <v>1000000</v>
      </c>
      <c r="N32" s="126">
        <v>719015.81115768733</v>
      </c>
      <c r="O32" s="126">
        <v>1000000</v>
      </c>
      <c r="P32" s="126">
        <v>670794</v>
      </c>
      <c r="Q32" s="126">
        <v>670794</v>
      </c>
      <c r="R32" s="126">
        <v>932933.58725999994</v>
      </c>
      <c r="S32" s="126">
        <v>0</v>
      </c>
      <c r="T32" s="126">
        <v>0</v>
      </c>
      <c r="U32" s="127">
        <v>0</v>
      </c>
      <c r="V32" s="126" t="s">
        <v>75</v>
      </c>
      <c r="W32" s="126" t="s">
        <v>1651</v>
      </c>
      <c r="X32" s="126" t="s">
        <v>75</v>
      </c>
      <c r="Y32" s="126" t="s">
        <v>1652</v>
      </c>
      <c r="Z32" s="126" t="s">
        <v>75</v>
      </c>
      <c r="AA32" s="126">
        <v>0</v>
      </c>
      <c r="AB32" s="141" t="s">
        <v>78</v>
      </c>
      <c r="AC32" s="126">
        <v>999</v>
      </c>
      <c r="AD32" s="139" t="s">
        <v>1653</v>
      </c>
      <c r="AE32" s="126">
        <v>0</v>
      </c>
      <c r="AF32" s="126" t="s">
        <v>78</v>
      </c>
      <c r="AG32" s="126">
        <v>1</v>
      </c>
      <c r="AH32" s="142" t="s">
        <v>81</v>
      </c>
      <c r="AI32" s="142" t="s">
        <v>78</v>
      </c>
      <c r="AJ32" s="142" t="s">
        <v>75</v>
      </c>
      <c r="AK32" s="142" t="s">
        <v>1654</v>
      </c>
      <c r="AL32" s="142" t="s">
        <v>132</v>
      </c>
      <c r="AM32" s="142" t="s">
        <v>75</v>
      </c>
      <c r="AN32" s="142" t="s">
        <v>75</v>
      </c>
      <c r="AO32" s="142" t="s">
        <v>78</v>
      </c>
      <c r="AP32" s="142" t="s">
        <v>75</v>
      </c>
      <c r="AQ32" s="142">
        <v>1</v>
      </c>
      <c r="AR32" s="142" t="s">
        <v>126</v>
      </c>
    </row>
    <row r="33" spans="1:44" s="143" customFormat="1" ht="25.05" customHeight="1" x14ac:dyDescent="0.3">
      <c r="A33" s="126" t="s">
        <v>1396</v>
      </c>
      <c r="B33" s="126" t="s">
        <v>1397</v>
      </c>
      <c r="C33" s="139">
        <v>2019</v>
      </c>
      <c r="D33" s="139" t="s">
        <v>433</v>
      </c>
      <c r="E33" s="139" t="s">
        <v>78</v>
      </c>
      <c r="F33" s="139" t="s">
        <v>564</v>
      </c>
      <c r="G33" s="139" t="s">
        <v>520</v>
      </c>
      <c r="H33" s="139" t="s">
        <v>228</v>
      </c>
      <c r="I33" s="126" t="s">
        <v>228</v>
      </c>
      <c r="J33" s="126" t="s">
        <v>1398</v>
      </c>
      <c r="K33" s="126" t="s">
        <v>75</v>
      </c>
      <c r="L33" s="126" t="s">
        <v>126</v>
      </c>
      <c r="M33" s="126">
        <v>1000000</v>
      </c>
      <c r="N33" s="126">
        <v>719015.81115768733</v>
      </c>
      <c r="O33" s="126">
        <v>1000000</v>
      </c>
      <c r="P33" s="126">
        <v>719016</v>
      </c>
      <c r="Q33" s="126">
        <v>719016</v>
      </c>
      <c r="R33" s="126">
        <v>1000000.26264</v>
      </c>
      <c r="S33" s="126">
        <v>0</v>
      </c>
      <c r="T33" s="126">
        <v>0</v>
      </c>
      <c r="U33" s="127">
        <v>0</v>
      </c>
      <c r="V33" s="126" t="s">
        <v>75</v>
      </c>
      <c r="W33" s="126" t="s">
        <v>1399</v>
      </c>
      <c r="X33" s="126" t="s">
        <v>75</v>
      </c>
      <c r="Y33" s="126" t="s">
        <v>1400</v>
      </c>
      <c r="Z33" s="126" t="s">
        <v>75</v>
      </c>
      <c r="AA33" s="126">
        <v>0</v>
      </c>
      <c r="AB33" s="141" t="s">
        <v>78</v>
      </c>
      <c r="AC33" s="126">
        <v>999</v>
      </c>
      <c r="AD33" s="139" t="s">
        <v>1401</v>
      </c>
      <c r="AE33" s="126">
        <v>0</v>
      </c>
      <c r="AF33" s="126" t="s">
        <v>78</v>
      </c>
      <c r="AG33" s="126">
        <v>2</v>
      </c>
      <c r="AH33" s="142" t="s">
        <v>75</v>
      </c>
      <c r="AI33" s="142" t="s">
        <v>442</v>
      </c>
      <c r="AJ33" s="142" t="s">
        <v>75</v>
      </c>
      <c r="AK33" s="142" t="s">
        <v>1402</v>
      </c>
      <c r="AL33" s="142" t="s">
        <v>286</v>
      </c>
      <c r="AM33" s="142" t="s">
        <v>75</v>
      </c>
      <c r="AN33" s="142" t="s">
        <v>81</v>
      </c>
      <c r="AO33" s="142" t="s">
        <v>78</v>
      </c>
      <c r="AP33" s="142" t="s">
        <v>75</v>
      </c>
      <c r="AQ33" s="142">
        <v>1</v>
      </c>
      <c r="AR33" s="142" t="s">
        <v>126</v>
      </c>
    </row>
    <row r="34" spans="1:44" s="143" customFormat="1" ht="25.05" customHeight="1" x14ac:dyDescent="0.3">
      <c r="A34" s="126" t="s">
        <v>871</v>
      </c>
      <c r="B34" s="125" t="s">
        <v>872</v>
      </c>
      <c r="C34" s="139">
        <v>2018</v>
      </c>
      <c r="D34" s="139" t="s">
        <v>87</v>
      </c>
      <c r="E34" s="139" t="s">
        <v>873</v>
      </c>
      <c r="F34" s="139" t="s">
        <v>1848</v>
      </c>
      <c r="G34" s="139" t="s">
        <v>87</v>
      </c>
      <c r="H34" s="139" t="s">
        <v>594</v>
      </c>
      <c r="I34" s="126" t="s">
        <v>101</v>
      </c>
      <c r="J34" s="126" t="s">
        <v>676</v>
      </c>
      <c r="K34" s="126" t="s">
        <v>75</v>
      </c>
      <c r="L34" s="140" t="s">
        <v>126</v>
      </c>
      <c r="M34" s="140">
        <v>1500000</v>
      </c>
      <c r="N34" s="126">
        <v>1053274.630827242</v>
      </c>
      <c r="O34" s="126">
        <v>1500000</v>
      </c>
      <c r="P34" s="126">
        <v>1084841.8700000001</v>
      </c>
      <c r="Q34" s="126">
        <v>1084841.8700000001</v>
      </c>
      <c r="R34" s="126">
        <v>1544955.8523231</v>
      </c>
      <c r="S34" s="126">
        <v>0</v>
      </c>
      <c r="T34" s="126">
        <v>0</v>
      </c>
      <c r="U34" s="127">
        <v>0</v>
      </c>
      <c r="V34" s="140" t="s">
        <v>75</v>
      </c>
      <c r="W34" s="126" t="s">
        <v>874</v>
      </c>
      <c r="X34" s="126" t="s">
        <v>81</v>
      </c>
      <c r="Y34" s="126" t="s">
        <v>78</v>
      </c>
      <c r="Z34" s="126" t="s">
        <v>75</v>
      </c>
      <c r="AA34" s="126">
        <v>999</v>
      </c>
      <c r="AB34" s="141" t="s">
        <v>875</v>
      </c>
      <c r="AC34" s="126">
        <v>0</v>
      </c>
      <c r="AD34" s="139" t="s">
        <v>78</v>
      </c>
      <c r="AE34" s="126">
        <v>0</v>
      </c>
      <c r="AF34" s="126" t="s">
        <v>78</v>
      </c>
      <c r="AG34" s="126">
        <v>1</v>
      </c>
      <c r="AH34" s="142" t="s">
        <v>81</v>
      </c>
      <c r="AI34" s="142" t="s">
        <v>78</v>
      </c>
      <c r="AJ34" s="142" t="s">
        <v>75</v>
      </c>
      <c r="AK34" s="142" t="s">
        <v>795</v>
      </c>
      <c r="AL34" s="142" t="s">
        <v>78</v>
      </c>
      <c r="AM34" s="142" t="s">
        <v>81</v>
      </c>
      <c r="AN34" s="142" t="s">
        <v>81</v>
      </c>
      <c r="AO34" s="142" t="s">
        <v>78</v>
      </c>
      <c r="AP34" s="142" t="s">
        <v>81</v>
      </c>
      <c r="AQ34" s="142">
        <v>1</v>
      </c>
      <c r="AR34" s="142" t="s">
        <v>126</v>
      </c>
    </row>
    <row r="35" spans="1:44" s="143" customFormat="1" ht="25.05" customHeight="1" x14ac:dyDescent="0.3">
      <c r="A35" s="126" t="s">
        <v>234</v>
      </c>
      <c r="B35" s="126" t="s">
        <v>235</v>
      </c>
      <c r="C35" s="139">
        <v>2020</v>
      </c>
      <c r="D35" s="139" t="s">
        <v>87</v>
      </c>
      <c r="E35" s="139" t="s">
        <v>236</v>
      </c>
      <c r="F35" s="139" t="s">
        <v>1848</v>
      </c>
      <c r="G35" s="139" t="s">
        <v>87</v>
      </c>
      <c r="H35" s="139" t="s">
        <v>100</v>
      </c>
      <c r="I35" s="126" t="s">
        <v>101</v>
      </c>
      <c r="J35" s="126" t="s">
        <v>73</v>
      </c>
      <c r="K35" s="126" t="s">
        <v>81</v>
      </c>
      <c r="L35" s="126" t="s">
        <v>126</v>
      </c>
      <c r="M35" s="126">
        <v>3400000</v>
      </c>
      <c r="N35" s="126">
        <v>2458725.9460671232</v>
      </c>
      <c r="O35" s="126">
        <v>3400000</v>
      </c>
      <c r="P35" s="126" t="s">
        <v>659</v>
      </c>
      <c r="Q35" s="126" t="s">
        <v>659</v>
      </c>
      <c r="R35" s="126" t="s">
        <v>659</v>
      </c>
      <c r="S35" s="126">
        <v>863000</v>
      </c>
      <c r="T35" s="126">
        <v>863000</v>
      </c>
      <c r="U35" s="127">
        <v>1193382.29</v>
      </c>
      <c r="V35" s="126" t="s">
        <v>81</v>
      </c>
      <c r="W35" s="126">
        <v>0</v>
      </c>
      <c r="X35" s="126" t="s">
        <v>81</v>
      </c>
      <c r="Y35" s="126">
        <v>0</v>
      </c>
      <c r="Z35" s="126" t="s">
        <v>81</v>
      </c>
      <c r="AA35" s="126">
        <v>0</v>
      </c>
      <c r="AB35" s="141">
        <v>0</v>
      </c>
      <c r="AC35" s="126">
        <v>0</v>
      </c>
      <c r="AD35" s="139">
        <v>0</v>
      </c>
      <c r="AE35" s="126">
        <v>0</v>
      </c>
      <c r="AF35" s="126">
        <v>0</v>
      </c>
      <c r="AG35" s="126">
        <v>0</v>
      </c>
      <c r="AH35" s="142" t="s">
        <v>81</v>
      </c>
      <c r="AI35" s="142">
        <v>0</v>
      </c>
      <c r="AJ35" s="142" t="s">
        <v>81</v>
      </c>
      <c r="AK35" s="142">
        <v>0</v>
      </c>
      <c r="AL35" s="142" t="s">
        <v>217</v>
      </c>
      <c r="AM35" s="142" t="s">
        <v>81</v>
      </c>
      <c r="AN35" s="142" t="s">
        <v>81</v>
      </c>
      <c r="AO35" s="142" t="s">
        <v>110</v>
      </c>
      <c r="AP35" s="142" t="s">
        <v>81</v>
      </c>
      <c r="AQ35" s="142">
        <v>1</v>
      </c>
      <c r="AR35" s="142" t="s">
        <v>74</v>
      </c>
    </row>
    <row r="36" spans="1:44" s="143" customFormat="1" ht="25.05" customHeight="1" x14ac:dyDescent="0.3">
      <c r="A36" s="126" t="s">
        <v>1057</v>
      </c>
      <c r="B36" s="125" t="s">
        <v>1058</v>
      </c>
      <c r="C36" s="139">
        <v>2017</v>
      </c>
      <c r="D36" s="139" t="s">
        <v>172</v>
      </c>
      <c r="E36" s="139" t="s">
        <v>78</v>
      </c>
      <c r="F36" s="139" t="s">
        <v>537</v>
      </c>
      <c r="G36" s="139" t="s">
        <v>521</v>
      </c>
      <c r="H36" s="139" t="s">
        <v>228</v>
      </c>
      <c r="I36" s="126" t="s">
        <v>228</v>
      </c>
      <c r="J36" s="126" t="s">
        <v>689</v>
      </c>
      <c r="K36" s="126" t="s">
        <v>81</v>
      </c>
      <c r="L36" s="140" t="s">
        <v>104</v>
      </c>
      <c r="M36" s="140">
        <v>115984000</v>
      </c>
      <c r="N36" s="126">
        <v>90943591.512851477</v>
      </c>
      <c r="O36" s="126">
        <v>122258198.37847163</v>
      </c>
      <c r="P36" s="126">
        <v>80824311.019999996</v>
      </c>
      <c r="Q36" s="126">
        <v>80824311.019999996</v>
      </c>
      <c r="R36" s="126">
        <v>108654546.0335166</v>
      </c>
      <c r="S36" s="126">
        <v>80824311.019999996</v>
      </c>
      <c r="T36" s="126">
        <v>80824311.019999996</v>
      </c>
      <c r="U36" s="127">
        <v>108654546.0335166</v>
      </c>
      <c r="V36" s="140" t="s">
        <v>81</v>
      </c>
      <c r="W36" s="126" t="s">
        <v>1042</v>
      </c>
      <c r="X36" s="126" t="s">
        <v>81</v>
      </c>
      <c r="Y36" s="126" t="s">
        <v>78</v>
      </c>
      <c r="Z36" s="126" t="s">
        <v>81</v>
      </c>
      <c r="AA36" s="126">
        <v>0</v>
      </c>
      <c r="AB36" s="141" t="s">
        <v>78</v>
      </c>
      <c r="AC36" s="126">
        <v>0</v>
      </c>
      <c r="AD36" s="139" t="s">
        <v>78</v>
      </c>
      <c r="AE36" s="126">
        <v>0</v>
      </c>
      <c r="AF36" s="126" t="s">
        <v>78</v>
      </c>
      <c r="AG36" s="126">
        <v>0</v>
      </c>
      <c r="AH36" s="142" t="s">
        <v>81</v>
      </c>
      <c r="AI36" s="142" t="s">
        <v>78</v>
      </c>
      <c r="AJ36" s="142" t="s">
        <v>81</v>
      </c>
      <c r="AK36" s="142" t="s">
        <v>78</v>
      </c>
      <c r="AL36" s="142" t="s">
        <v>78</v>
      </c>
      <c r="AM36" s="142" t="s">
        <v>81</v>
      </c>
      <c r="AN36" s="142" t="s">
        <v>81</v>
      </c>
      <c r="AO36" s="142" t="s">
        <v>78</v>
      </c>
      <c r="AP36" s="142" t="s">
        <v>81</v>
      </c>
      <c r="AQ36" s="142">
        <v>1</v>
      </c>
      <c r="AR36" s="142" t="s">
        <v>104</v>
      </c>
    </row>
    <row r="37" spans="1:44" s="143" customFormat="1" ht="25.05" customHeight="1" x14ac:dyDescent="0.3">
      <c r="A37" s="126" t="s">
        <v>843</v>
      </c>
      <c r="B37" s="125" t="s">
        <v>844</v>
      </c>
      <c r="C37" s="139">
        <v>2018</v>
      </c>
      <c r="D37" s="139" t="s">
        <v>282</v>
      </c>
      <c r="E37" s="139" t="s">
        <v>78</v>
      </c>
      <c r="F37" s="139" t="s">
        <v>553</v>
      </c>
      <c r="G37" s="139" t="s">
        <v>520</v>
      </c>
      <c r="H37" s="139" t="s">
        <v>596</v>
      </c>
      <c r="I37" s="126" t="s">
        <v>101</v>
      </c>
      <c r="J37" s="126" t="s">
        <v>689</v>
      </c>
      <c r="K37" s="126" t="s">
        <v>81</v>
      </c>
      <c r="L37" s="140" t="s">
        <v>74</v>
      </c>
      <c r="M37" s="140">
        <v>1000000</v>
      </c>
      <c r="N37" s="126">
        <v>1000000</v>
      </c>
      <c r="O37" s="126">
        <v>1424130</v>
      </c>
      <c r="P37" s="126">
        <v>1000000</v>
      </c>
      <c r="Q37" s="126">
        <v>1000000</v>
      </c>
      <c r="R37" s="126">
        <v>1424130</v>
      </c>
      <c r="S37" s="126">
        <v>1000000</v>
      </c>
      <c r="T37" s="126">
        <v>1000000</v>
      </c>
      <c r="U37" s="127">
        <v>1424130</v>
      </c>
      <c r="V37" s="140" t="s">
        <v>81</v>
      </c>
      <c r="W37" s="126" t="s">
        <v>78</v>
      </c>
      <c r="X37" s="126" t="s">
        <v>81</v>
      </c>
      <c r="Y37" s="126" t="s">
        <v>78</v>
      </c>
      <c r="Z37" s="126" t="s">
        <v>81</v>
      </c>
      <c r="AA37" s="126">
        <v>0</v>
      </c>
      <c r="AB37" s="141" t="s">
        <v>78</v>
      </c>
      <c r="AC37" s="126">
        <v>0</v>
      </c>
      <c r="AD37" s="139" t="s">
        <v>78</v>
      </c>
      <c r="AE37" s="126">
        <v>0</v>
      </c>
      <c r="AF37" s="126" t="s">
        <v>78</v>
      </c>
      <c r="AG37" s="126">
        <v>0</v>
      </c>
      <c r="AH37" s="142" t="s">
        <v>81</v>
      </c>
      <c r="AI37" s="142" t="s">
        <v>78</v>
      </c>
      <c r="AJ37" s="142" t="s">
        <v>81</v>
      </c>
      <c r="AK37" s="142" t="s">
        <v>78</v>
      </c>
      <c r="AL37" s="142" t="s">
        <v>78</v>
      </c>
      <c r="AM37" s="142" t="s">
        <v>81</v>
      </c>
      <c r="AN37" s="142" t="s">
        <v>81</v>
      </c>
      <c r="AO37" s="142" t="s">
        <v>78</v>
      </c>
      <c r="AP37" s="142" t="s">
        <v>81</v>
      </c>
      <c r="AQ37" s="142">
        <v>1</v>
      </c>
      <c r="AR37" s="142" t="s">
        <v>74</v>
      </c>
    </row>
    <row r="38" spans="1:44" s="143" customFormat="1" ht="25.05" customHeight="1" x14ac:dyDescent="0.3">
      <c r="A38" s="126" t="s">
        <v>1381</v>
      </c>
      <c r="B38" s="125" t="s">
        <v>1382</v>
      </c>
      <c r="C38" s="139">
        <v>2015</v>
      </c>
      <c r="D38" s="145" t="s">
        <v>87</v>
      </c>
      <c r="E38" s="139" t="s">
        <v>1383</v>
      </c>
      <c r="F38" s="139" t="s">
        <v>1848</v>
      </c>
      <c r="G38" s="139" t="s">
        <v>87</v>
      </c>
      <c r="H38" s="139" t="s">
        <v>596</v>
      </c>
      <c r="I38" s="126" t="s">
        <v>101</v>
      </c>
      <c r="J38" s="126" t="s">
        <v>676</v>
      </c>
      <c r="K38" s="126" t="s">
        <v>81</v>
      </c>
      <c r="L38" s="140" t="s">
        <v>74</v>
      </c>
      <c r="M38" s="140">
        <v>585865</v>
      </c>
      <c r="N38" s="126">
        <v>585865</v>
      </c>
      <c r="O38" s="126">
        <v>848807.07065000001</v>
      </c>
      <c r="P38" s="126">
        <v>495365</v>
      </c>
      <c r="Q38" s="126">
        <v>495365</v>
      </c>
      <c r="R38" s="126">
        <v>717689.76564999996</v>
      </c>
      <c r="S38" s="126">
        <v>495365</v>
      </c>
      <c r="T38" s="126">
        <v>495365</v>
      </c>
      <c r="U38" s="127">
        <v>717689.76564999996</v>
      </c>
      <c r="V38" s="140" t="s">
        <v>81</v>
      </c>
      <c r="W38" s="126" t="s">
        <v>78</v>
      </c>
      <c r="X38" s="126" t="s">
        <v>81</v>
      </c>
      <c r="Y38" s="126" t="s">
        <v>78</v>
      </c>
      <c r="Z38" s="126" t="s">
        <v>81</v>
      </c>
      <c r="AA38" s="126">
        <v>0</v>
      </c>
      <c r="AB38" s="141" t="s">
        <v>78</v>
      </c>
      <c r="AC38" s="126">
        <v>0</v>
      </c>
      <c r="AD38" s="139" t="s">
        <v>78</v>
      </c>
      <c r="AE38" s="126">
        <v>0</v>
      </c>
      <c r="AF38" s="126" t="s">
        <v>78</v>
      </c>
      <c r="AG38" s="126">
        <v>0</v>
      </c>
      <c r="AH38" s="142" t="s">
        <v>81</v>
      </c>
      <c r="AI38" s="142" t="s">
        <v>78</v>
      </c>
      <c r="AJ38" s="142" t="s">
        <v>81</v>
      </c>
      <c r="AK38" s="142" t="s">
        <v>78</v>
      </c>
      <c r="AL38" s="142" t="s">
        <v>78</v>
      </c>
      <c r="AM38" s="142" t="s">
        <v>81</v>
      </c>
      <c r="AN38" s="142" t="s">
        <v>81</v>
      </c>
      <c r="AO38" s="142" t="s">
        <v>78</v>
      </c>
      <c r="AP38" s="142" t="s">
        <v>81</v>
      </c>
      <c r="AQ38" s="142">
        <v>1</v>
      </c>
      <c r="AR38" s="142" t="s">
        <v>74</v>
      </c>
    </row>
    <row r="39" spans="1:44" s="143" customFormat="1" ht="25.05" customHeight="1" x14ac:dyDescent="0.3">
      <c r="A39" s="126" t="s">
        <v>687</v>
      </c>
      <c r="B39" s="125" t="s">
        <v>688</v>
      </c>
      <c r="C39" s="139">
        <v>2018</v>
      </c>
      <c r="D39" s="139" t="s">
        <v>172</v>
      </c>
      <c r="E39" s="139" t="s">
        <v>78</v>
      </c>
      <c r="F39" s="139" t="s">
        <v>537</v>
      </c>
      <c r="G39" s="139" t="s">
        <v>521</v>
      </c>
      <c r="H39" s="139" t="s">
        <v>593</v>
      </c>
      <c r="I39" s="126" t="s">
        <v>101</v>
      </c>
      <c r="J39" s="126" t="s">
        <v>689</v>
      </c>
      <c r="K39" s="126" t="s">
        <v>81</v>
      </c>
      <c r="L39" s="140" t="s">
        <v>74</v>
      </c>
      <c r="M39" s="140">
        <v>967360.92</v>
      </c>
      <c r="N39" s="126">
        <v>967360.92</v>
      </c>
      <c r="O39" s="126">
        <v>1377647.7069995999</v>
      </c>
      <c r="P39" s="126">
        <v>967360.92</v>
      </c>
      <c r="Q39" s="126">
        <v>967360.92</v>
      </c>
      <c r="R39" s="126">
        <v>1377647.7069995999</v>
      </c>
      <c r="S39" s="126">
        <v>967360.92</v>
      </c>
      <c r="T39" s="126">
        <v>967360.92</v>
      </c>
      <c r="U39" s="127">
        <v>1377647.7069995999</v>
      </c>
      <c r="V39" s="140" t="s">
        <v>81</v>
      </c>
      <c r="W39" s="126" t="s">
        <v>78</v>
      </c>
      <c r="X39" s="126" t="s">
        <v>81</v>
      </c>
      <c r="Y39" s="126" t="s">
        <v>78</v>
      </c>
      <c r="Z39" s="126" t="s">
        <v>81</v>
      </c>
      <c r="AA39" s="126">
        <v>0</v>
      </c>
      <c r="AB39" s="141" t="s">
        <v>78</v>
      </c>
      <c r="AC39" s="126">
        <v>0</v>
      </c>
      <c r="AD39" s="139" t="s">
        <v>78</v>
      </c>
      <c r="AE39" s="126">
        <v>0</v>
      </c>
      <c r="AF39" s="126" t="s">
        <v>78</v>
      </c>
      <c r="AG39" s="126">
        <v>0</v>
      </c>
      <c r="AH39" s="142" t="s">
        <v>81</v>
      </c>
      <c r="AI39" s="142" t="s">
        <v>78</v>
      </c>
      <c r="AJ39" s="142" t="s">
        <v>81</v>
      </c>
      <c r="AK39" s="142" t="s">
        <v>78</v>
      </c>
      <c r="AL39" s="142" t="s">
        <v>78</v>
      </c>
      <c r="AM39" s="142" t="s">
        <v>81</v>
      </c>
      <c r="AN39" s="142" t="s">
        <v>81</v>
      </c>
      <c r="AO39" s="142" t="s">
        <v>78</v>
      </c>
      <c r="AP39" s="142" t="s">
        <v>81</v>
      </c>
      <c r="AQ39" s="142">
        <v>1</v>
      </c>
      <c r="AR39" s="142" t="s">
        <v>74</v>
      </c>
    </row>
    <row r="40" spans="1:44" s="143" customFormat="1" ht="25.05" customHeight="1" x14ac:dyDescent="0.3">
      <c r="A40" s="126" t="s">
        <v>1128</v>
      </c>
      <c r="B40" s="125" t="s">
        <v>1129</v>
      </c>
      <c r="C40" s="139">
        <v>2016</v>
      </c>
      <c r="D40" s="139" t="s">
        <v>516</v>
      </c>
      <c r="E40" s="139" t="s">
        <v>78</v>
      </c>
      <c r="F40" s="139" t="s">
        <v>569</v>
      </c>
      <c r="G40" s="139" t="s">
        <v>519</v>
      </c>
      <c r="H40" s="139" t="s">
        <v>583</v>
      </c>
      <c r="I40" s="126" t="s">
        <v>228</v>
      </c>
      <c r="J40" s="126" t="s">
        <v>689</v>
      </c>
      <c r="K40" s="126" t="s">
        <v>81</v>
      </c>
      <c r="L40" s="140" t="s">
        <v>126</v>
      </c>
      <c r="M40" s="140">
        <v>45395470</v>
      </c>
      <c r="N40" s="126">
        <v>32759246.029168744</v>
      </c>
      <c r="O40" s="126">
        <v>45395470</v>
      </c>
      <c r="P40" s="126">
        <v>32831270.93</v>
      </c>
      <c r="Q40" s="126">
        <v>32831270.93</v>
      </c>
      <c r="R40" s="126">
        <v>45495277.065828897</v>
      </c>
      <c r="S40" s="126">
        <v>32831270.93</v>
      </c>
      <c r="T40" s="126">
        <v>32831270.93</v>
      </c>
      <c r="U40" s="127">
        <v>45495277.065828897</v>
      </c>
      <c r="V40" s="140" t="s">
        <v>75</v>
      </c>
      <c r="W40" s="126" t="s">
        <v>1130</v>
      </c>
      <c r="X40" s="126" t="s">
        <v>75</v>
      </c>
      <c r="Y40" s="126" t="s">
        <v>1131</v>
      </c>
      <c r="Z40" s="126" t="s">
        <v>75</v>
      </c>
      <c r="AA40" s="126">
        <v>0</v>
      </c>
      <c r="AB40" s="141" t="s">
        <v>78</v>
      </c>
      <c r="AC40" s="126">
        <v>999</v>
      </c>
      <c r="AD40" s="139" t="s">
        <v>1132</v>
      </c>
      <c r="AE40" s="126">
        <v>0</v>
      </c>
      <c r="AF40" s="126" t="s">
        <v>78</v>
      </c>
      <c r="AG40" s="126">
        <v>1</v>
      </c>
      <c r="AH40" s="142" t="s">
        <v>75</v>
      </c>
      <c r="AI40" s="142">
        <v>0</v>
      </c>
      <c r="AJ40" s="142" t="s">
        <v>75</v>
      </c>
      <c r="AK40" s="142" t="s">
        <v>228</v>
      </c>
      <c r="AL40" s="142" t="s">
        <v>1108</v>
      </c>
      <c r="AM40" s="142" t="s">
        <v>81</v>
      </c>
      <c r="AN40" s="142" t="s">
        <v>81</v>
      </c>
      <c r="AO40" s="142" t="s">
        <v>78</v>
      </c>
      <c r="AP40" s="142" t="s">
        <v>75</v>
      </c>
      <c r="AQ40" s="142">
        <v>1</v>
      </c>
      <c r="AR40" s="142" t="s">
        <v>126</v>
      </c>
    </row>
    <row r="41" spans="1:44" s="143" customFormat="1" ht="25.05" customHeight="1" x14ac:dyDescent="0.3">
      <c r="A41" s="126" t="s">
        <v>1337</v>
      </c>
      <c r="B41" s="125" t="s">
        <v>1338</v>
      </c>
      <c r="C41" s="139">
        <v>2015</v>
      </c>
      <c r="D41" s="145" t="s">
        <v>297</v>
      </c>
      <c r="E41" s="139" t="s">
        <v>78</v>
      </c>
      <c r="F41" s="139" t="s">
        <v>566</v>
      </c>
      <c r="G41" s="139" t="s">
        <v>522</v>
      </c>
      <c r="H41" s="139" t="s">
        <v>587</v>
      </c>
      <c r="I41" s="126" t="s">
        <v>256</v>
      </c>
      <c r="J41" s="126" t="s">
        <v>679</v>
      </c>
      <c r="K41" s="126" t="s">
        <v>81</v>
      </c>
      <c r="L41" s="140" t="s">
        <v>74</v>
      </c>
      <c r="M41" s="140">
        <v>166320000</v>
      </c>
      <c r="N41" s="126">
        <v>166320000</v>
      </c>
      <c r="O41" s="126">
        <v>240966079.19999999</v>
      </c>
      <c r="P41" s="126">
        <v>152265092</v>
      </c>
      <c r="Q41" s="126">
        <v>152265092</v>
      </c>
      <c r="R41" s="126">
        <v>220603187.94051999</v>
      </c>
      <c r="S41" s="126">
        <v>121889519.7</v>
      </c>
      <c r="T41" s="126">
        <v>121889519.7</v>
      </c>
      <c r="U41" s="127">
        <v>176594755.03655699</v>
      </c>
      <c r="V41" s="140" t="s">
        <v>81</v>
      </c>
      <c r="W41" s="126" t="s">
        <v>78</v>
      </c>
      <c r="X41" s="126" t="s">
        <v>81</v>
      </c>
      <c r="Y41" s="126" t="s">
        <v>78</v>
      </c>
      <c r="Z41" s="126" t="s">
        <v>81</v>
      </c>
      <c r="AA41" s="126">
        <v>0</v>
      </c>
      <c r="AB41" s="141" t="s">
        <v>78</v>
      </c>
      <c r="AC41" s="126">
        <v>0</v>
      </c>
      <c r="AD41" s="139" t="s">
        <v>78</v>
      </c>
      <c r="AE41" s="126">
        <v>0</v>
      </c>
      <c r="AF41" s="126" t="s">
        <v>78</v>
      </c>
      <c r="AG41" s="126">
        <v>0</v>
      </c>
      <c r="AH41" s="142" t="s">
        <v>81</v>
      </c>
      <c r="AI41" s="142" t="s">
        <v>78</v>
      </c>
      <c r="AJ41" s="142" t="s">
        <v>81</v>
      </c>
      <c r="AK41" s="142" t="s">
        <v>78</v>
      </c>
      <c r="AL41" s="142" t="s">
        <v>78</v>
      </c>
      <c r="AM41" s="142" t="s">
        <v>81</v>
      </c>
      <c r="AN41" s="142" t="s">
        <v>81</v>
      </c>
      <c r="AO41" s="142" t="s">
        <v>78</v>
      </c>
      <c r="AP41" s="142" t="s">
        <v>81</v>
      </c>
      <c r="AQ41" s="142">
        <v>1</v>
      </c>
      <c r="AR41" s="142" t="s">
        <v>74</v>
      </c>
    </row>
    <row r="42" spans="1:44" s="143" customFormat="1" ht="25.05" customHeight="1" x14ac:dyDescent="0.3">
      <c r="A42" s="126" t="s">
        <v>1049</v>
      </c>
      <c r="B42" s="125" t="s">
        <v>1050</v>
      </c>
      <c r="C42" s="139">
        <v>2017</v>
      </c>
      <c r="D42" s="139" t="s">
        <v>113</v>
      </c>
      <c r="E42" s="139" t="s">
        <v>78</v>
      </c>
      <c r="F42" s="139" t="s">
        <v>565</v>
      </c>
      <c r="G42" s="139" t="s">
        <v>518</v>
      </c>
      <c r="H42" s="139" t="s">
        <v>590</v>
      </c>
      <c r="I42" s="126" t="s">
        <v>256</v>
      </c>
      <c r="J42" s="126" t="s">
        <v>676</v>
      </c>
      <c r="K42" s="126" t="s">
        <v>81</v>
      </c>
      <c r="L42" s="140" t="s">
        <v>104</v>
      </c>
      <c r="M42" s="140">
        <v>171000000</v>
      </c>
      <c r="N42" s="126">
        <v>134081891.8876535</v>
      </c>
      <c r="O42" s="126">
        <v>180250309.72132924</v>
      </c>
      <c r="P42" s="126">
        <v>62335958</v>
      </c>
      <c r="Q42" s="126">
        <v>62335958</v>
      </c>
      <c r="R42" s="126">
        <v>83800098.418139994</v>
      </c>
      <c r="S42" s="126">
        <v>61515748.030000001</v>
      </c>
      <c r="T42" s="126">
        <v>61515748.030000001</v>
      </c>
      <c r="U42" s="127">
        <v>82697465.549169898</v>
      </c>
      <c r="V42" s="140" t="s">
        <v>75</v>
      </c>
      <c r="W42" s="126" t="s">
        <v>1051</v>
      </c>
      <c r="X42" s="126" t="s">
        <v>81</v>
      </c>
      <c r="Y42" s="126" t="s">
        <v>78</v>
      </c>
      <c r="Z42" s="126" t="s">
        <v>75</v>
      </c>
      <c r="AA42" s="126">
        <v>0</v>
      </c>
      <c r="AB42" s="141" t="s">
        <v>78</v>
      </c>
      <c r="AC42" s="126">
        <v>999</v>
      </c>
      <c r="AD42" s="139" t="s">
        <v>1052</v>
      </c>
      <c r="AE42" s="126">
        <v>0</v>
      </c>
      <c r="AF42" s="126" t="s">
        <v>78</v>
      </c>
      <c r="AG42" s="126">
        <v>1</v>
      </c>
      <c r="AH42" s="142" t="s">
        <v>81</v>
      </c>
      <c r="AI42" s="142" t="s">
        <v>78</v>
      </c>
      <c r="AJ42" s="142" t="s">
        <v>75</v>
      </c>
      <c r="AK42" s="142" t="s">
        <v>256</v>
      </c>
      <c r="AL42" s="142" t="s">
        <v>78</v>
      </c>
      <c r="AM42" s="142" t="s">
        <v>81</v>
      </c>
      <c r="AN42" s="142" t="s">
        <v>81</v>
      </c>
      <c r="AO42" s="142" t="s">
        <v>78</v>
      </c>
      <c r="AP42" s="142" t="s">
        <v>81</v>
      </c>
      <c r="AQ42" s="142">
        <v>1</v>
      </c>
      <c r="AR42" s="142" t="s">
        <v>104</v>
      </c>
    </row>
    <row r="43" spans="1:44" s="143" customFormat="1" ht="25.05" customHeight="1" x14ac:dyDescent="0.3">
      <c r="A43" s="126" t="s">
        <v>1307</v>
      </c>
      <c r="B43" s="125" t="s">
        <v>1308</v>
      </c>
      <c r="C43" s="139">
        <v>2016</v>
      </c>
      <c r="D43" s="139" t="s">
        <v>500</v>
      </c>
      <c r="E43" s="139" t="s">
        <v>78</v>
      </c>
      <c r="F43" s="139" t="s">
        <v>547</v>
      </c>
      <c r="G43" s="139" t="s">
        <v>519</v>
      </c>
      <c r="H43" s="139" t="s">
        <v>577</v>
      </c>
      <c r="I43" s="126" t="s">
        <v>115</v>
      </c>
      <c r="J43" s="126" t="s">
        <v>689</v>
      </c>
      <c r="K43" s="126" t="s">
        <v>81</v>
      </c>
      <c r="L43" s="140" t="s">
        <v>126</v>
      </c>
      <c r="M43" s="140">
        <v>1000000</v>
      </c>
      <c r="N43" s="126">
        <v>721641.30097493739</v>
      </c>
      <c r="O43" s="126">
        <v>999999.99999999988</v>
      </c>
      <c r="P43" s="126">
        <v>723227.91</v>
      </c>
      <c r="Q43" s="126">
        <v>723227.91</v>
      </c>
      <c r="R43" s="126">
        <v>1002198.6117243</v>
      </c>
      <c r="S43" s="126">
        <v>723227.91</v>
      </c>
      <c r="T43" s="126">
        <v>723227.91</v>
      </c>
      <c r="U43" s="127">
        <v>1002198.6117243</v>
      </c>
      <c r="V43" s="140" t="s">
        <v>75</v>
      </c>
      <c r="W43" s="126" t="s">
        <v>1309</v>
      </c>
      <c r="X43" s="126" t="s">
        <v>75</v>
      </c>
      <c r="Y43" s="126" t="s">
        <v>1310</v>
      </c>
      <c r="Z43" s="126" t="s">
        <v>75</v>
      </c>
      <c r="AA43" s="126">
        <v>999</v>
      </c>
      <c r="AB43" s="141" t="s">
        <v>1311</v>
      </c>
      <c r="AC43" s="126">
        <v>999</v>
      </c>
      <c r="AD43" s="139" t="s">
        <v>1312</v>
      </c>
      <c r="AE43" s="144">
        <v>0</v>
      </c>
      <c r="AF43" s="126" t="s">
        <v>78</v>
      </c>
      <c r="AG43" s="126">
        <v>2</v>
      </c>
      <c r="AH43" s="142" t="s">
        <v>81</v>
      </c>
      <c r="AI43" s="142" t="s">
        <v>78</v>
      </c>
      <c r="AJ43" s="142" t="s">
        <v>75</v>
      </c>
      <c r="AK43" s="142" t="s">
        <v>256</v>
      </c>
      <c r="AL43" s="142" t="s">
        <v>78</v>
      </c>
      <c r="AM43" s="142" t="s">
        <v>81</v>
      </c>
      <c r="AN43" s="142" t="s">
        <v>81</v>
      </c>
      <c r="AO43" s="142" t="s">
        <v>78</v>
      </c>
      <c r="AP43" s="142" t="s">
        <v>75</v>
      </c>
      <c r="AQ43" s="142">
        <v>1</v>
      </c>
      <c r="AR43" s="142" t="s">
        <v>126</v>
      </c>
    </row>
    <row r="44" spans="1:44" s="143" customFormat="1" ht="25.05" customHeight="1" x14ac:dyDescent="0.3">
      <c r="A44" s="126" t="s">
        <v>782</v>
      </c>
      <c r="B44" s="125" t="s">
        <v>783</v>
      </c>
      <c r="C44" s="139">
        <v>2018</v>
      </c>
      <c r="D44" s="139" t="s">
        <v>113</v>
      </c>
      <c r="E44" s="139" t="s">
        <v>78</v>
      </c>
      <c r="F44" s="139" t="s">
        <v>565</v>
      </c>
      <c r="G44" s="139" t="s">
        <v>518</v>
      </c>
      <c r="H44" s="139" t="s">
        <v>466</v>
      </c>
      <c r="I44" s="126" t="s">
        <v>466</v>
      </c>
      <c r="J44" s="126" t="s">
        <v>689</v>
      </c>
      <c r="K44" s="126" t="s">
        <v>81</v>
      </c>
      <c r="L44" s="140" t="s">
        <v>126</v>
      </c>
      <c r="M44" s="140">
        <v>1000000</v>
      </c>
      <c r="N44" s="126">
        <v>702183.08721816132</v>
      </c>
      <c r="O44" s="126">
        <v>1000000</v>
      </c>
      <c r="P44" s="126">
        <v>723227.91</v>
      </c>
      <c r="Q44" s="126">
        <v>723227.91</v>
      </c>
      <c r="R44" s="126">
        <v>1029970.5634682999</v>
      </c>
      <c r="S44" s="126">
        <v>723227.91</v>
      </c>
      <c r="T44" s="126">
        <v>723227.91</v>
      </c>
      <c r="U44" s="127">
        <v>1029970.5634682999</v>
      </c>
      <c r="V44" s="140" t="s">
        <v>81</v>
      </c>
      <c r="W44" s="126" t="s">
        <v>78</v>
      </c>
      <c r="X44" s="126" t="s">
        <v>81</v>
      </c>
      <c r="Y44" s="126" t="s">
        <v>78</v>
      </c>
      <c r="Z44" s="126" t="s">
        <v>81</v>
      </c>
      <c r="AA44" s="126">
        <v>0</v>
      </c>
      <c r="AB44" s="141" t="s">
        <v>78</v>
      </c>
      <c r="AC44" s="126">
        <v>0</v>
      </c>
      <c r="AD44" s="139" t="s">
        <v>78</v>
      </c>
      <c r="AE44" s="126">
        <v>0</v>
      </c>
      <c r="AF44" s="126" t="s">
        <v>78</v>
      </c>
      <c r="AG44" s="126">
        <v>0</v>
      </c>
      <c r="AH44" s="142" t="s">
        <v>81</v>
      </c>
      <c r="AI44" s="142" t="s">
        <v>78</v>
      </c>
      <c r="AJ44" s="142" t="s">
        <v>81</v>
      </c>
      <c r="AK44" s="142" t="s">
        <v>78</v>
      </c>
      <c r="AL44" s="142" t="s">
        <v>78</v>
      </c>
      <c r="AM44" s="142" t="s">
        <v>81</v>
      </c>
      <c r="AN44" s="142" t="s">
        <v>81</v>
      </c>
      <c r="AO44" s="142" t="s">
        <v>78</v>
      </c>
      <c r="AP44" s="142" t="s">
        <v>81</v>
      </c>
      <c r="AQ44" s="142">
        <v>1</v>
      </c>
      <c r="AR44" s="142" t="s">
        <v>126</v>
      </c>
    </row>
    <row r="45" spans="1:44" s="143" customFormat="1" ht="25.05" customHeight="1" x14ac:dyDescent="0.3">
      <c r="A45" s="126" t="s">
        <v>1378</v>
      </c>
      <c r="B45" s="125" t="s">
        <v>1379</v>
      </c>
      <c r="C45" s="139">
        <v>2015</v>
      </c>
      <c r="D45" s="145" t="s">
        <v>87</v>
      </c>
      <c r="E45" s="139" t="s">
        <v>1380</v>
      </c>
      <c r="F45" s="139" t="s">
        <v>1848</v>
      </c>
      <c r="G45" s="139" t="s">
        <v>87</v>
      </c>
      <c r="H45" s="139" t="s">
        <v>599</v>
      </c>
      <c r="I45" s="126" t="s">
        <v>101</v>
      </c>
      <c r="J45" s="126" t="s">
        <v>676</v>
      </c>
      <c r="K45" s="126" t="s">
        <v>81</v>
      </c>
      <c r="L45" s="140" t="s">
        <v>74</v>
      </c>
      <c r="M45" s="140">
        <v>687510</v>
      </c>
      <c r="N45" s="126">
        <v>687510</v>
      </c>
      <c r="O45" s="126">
        <v>996071.36309999996</v>
      </c>
      <c r="P45" s="126">
        <v>687510</v>
      </c>
      <c r="Q45" s="126">
        <v>687510</v>
      </c>
      <c r="R45" s="126">
        <v>996071.36309999996</v>
      </c>
      <c r="S45" s="126">
        <v>687510</v>
      </c>
      <c r="T45" s="126">
        <v>687510</v>
      </c>
      <c r="U45" s="127">
        <v>996071.36309999996</v>
      </c>
      <c r="V45" s="140" t="s">
        <v>81</v>
      </c>
      <c r="W45" s="126" t="s">
        <v>78</v>
      </c>
      <c r="X45" s="126" t="s">
        <v>81</v>
      </c>
      <c r="Y45" s="126" t="s">
        <v>78</v>
      </c>
      <c r="Z45" s="126" t="s">
        <v>81</v>
      </c>
      <c r="AA45" s="126">
        <v>0</v>
      </c>
      <c r="AB45" s="141" t="s">
        <v>78</v>
      </c>
      <c r="AC45" s="126">
        <v>0</v>
      </c>
      <c r="AD45" s="139" t="s">
        <v>78</v>
      </c>
      <c r="AE45" s="126">
        <v>0</v>
      </c>
      <c r="AF45" s="126" t="s">
        <v>78</v>
      </c>
      <c r="AG45" s="126">
        <v>0</v>
      </c>
      <c r="AH45" s="142" t="s">
        <v>81</v>
      </c>
      <c r="AI45" s="142" t="s">
        <v>78</v>
      </c>
      <c r="AJ45" s="142" t="s">
        <v>81</v>
      </c>
      <c r="AK45" s="142" t="s">
        <v>78</v>
      </c>
      <c r="AL45" s="142" t="s">
        <v>78</v>
      </c>
      <c r="AM45" s="142" t="s">
        <v>81</v>
      </c>
      <c r="AN45" s="142" t="s">
        <v>81</v>
      </c>
      <c r="AO45" s="142" t="s">
        <v>78</v>
      </c>
      <c r="AP45" s="142" t="s">
        <v>81</v>
      </c>
      <c r="AQ45" s="142">
        <v>1</v>
      </c>
      <c r="AR45" s="142" t="s">
        <v>74</v>
      </c>
    </row>
    <row r="46" spans="1:44" s="143" customFormat="1" ht="25.05" customHeight="1" x14ac:dyDescent="0.3">
      <c r="A46" s="126" t="s">
        <v>1279</v>
      </c>
      <c r="B46" s="125" t="s">
        <v>1280</v>
      </c>
      <c r="C46" s="139">
        <v>2016</v>
      </c>
      <c r="D46" s="139" t="s">
        <v>195</v>
      </c>
      <c r="E46" s="139" t="s">
        <v>78</v>
      </c>
      <c r="F46" s="139" t="s">
        <v>536</v>
      </c>
      <c r="G46" s="139" t="s">
        <v>522</v>
      </c>
      <c r="H46" s="139" t="s">
        <v>596</v>
      </c>
      <c r="I46" s="126" t="s">
        <v>101</v>
      </c>
      <c r="J46" s="126" t="s">
        <v>676</v>
      </c>
      <c r="K46" s="126" t="s">
        <v>81</v>
      </c>
      <c r="L46" s="140" t="s">
        <v>74</v>
      </c>
      <c r="M46" s="140">
        <v>88660000</v>
      </c>
      <c r="N46" s="126">
        <v>88660000</v>
      </c>
      <c r="O46" s="126">
        <v>122858821.8</v>
      </c>
      <c r="P46" s="126">
        <v>88660000</v>
      </c>
      <c r="Q46" s="126">
        <v>88660000</v>
      </c>
      <c r="R46" s="126">
        <v>122858821.8</v>
      </c>
      <c r="S46" s="126">
        <v>88660000</v>
      </c>
      <c r="T46" s="126">
        <v>88660000</v>
      </c>
      <c r="U46" s="127">
        <v>122858821.8</v>
      </c>
      <c r="V46" s="140" t="s">
        <v>75</v>
      </c>
      <c r="W46" s="126" t="s">
        <v>1281</v>
      </c>
      <c r="X46" s="126" t="s">
        <v>81</v>
      </c>
      <c r="Y46" s="126" t="s">
        <v>78</v>
      </c>
      <c r="Z46" s="126" t="s">
        <v>81</v>
      </c>
      <c r="AA46" s="126">
        <v>0</v>
      </c>
      <c r="AB46" s="141" t="s">
        <v>78</v>
      </c>
      <c r="AC46" s="126">
        <v>0</v>
      </c>
      <c r="AD46" s="139" t="s">
        <v>78</v>
      </c>
      <c r="AE46" s="126">
        <v>0</v>
      </c>
      <c r="AF46" s="126" t="s">
        <v>78</v>
      </c>
      <c r="AG46" s="126">
        <v>0</v>
      </c>
      <c r="AH46" s="142" t="s">
        <v>81</v>
      </c>
      <c r="AI46" s="142" t="s">
        <v>78</v>
      </c>
      <c r="AJ46" s="142" t="s">
        <v>75</v>
      </c>
      <c r="AK46" s="142" t="s">
        <v>256</v>
      </c>
      <c r="AL46" s="142" t="s">
        <v>78</v>
      </c>
      <c r="AM46" s="142" t="s">
        <v>81</v>
      </c>
      <c r="AN46" s="142" t="s">
        <v>81</v>
      </c>
      <c r="AO46" s="142" t="s">
        <v>78</v>
      </c>
      <c r="AP46" s="142" t="s">
        <v>81</v>
      </c>
      <c r="AQ46" s="142">
        <v>1</v>
      </c>
      <c r="AR46" s="142" t="s">
        <v>74</v>
      </c>
    </row>
    <row r="47" spans="1:44" s="143" customFormat="1" ht="25.05" customHeight="1" x14ac:dyDescent="0.3">
      <c r="A47" s="126" t="s">
        <v>865</v>
      </c>
      <c r="B47" s="125" t="s">
        <v>866</v>
      </c>
      <c r="C47" s="139">
        <v>2018</v>
      </c>
      <c r="D47" s="139" t="s">
        <v>87</v>
      </c>
      <c r="E47" s="139" t="s">
        <v>867</v>
      </c>
      <c r="F47" s="139" t="s">
        <v>1848</v>
      </c>
      <c r="G47" s="139" t="s">
        <v>87</v>
      </c>
      <c r="H47" s="139" t="s">
        <v>580</v>
      </c>
      <c r="I47" s="126" t="s">
        <v>115</v>
      </c>
      <c r="J47" s="126" t="s">
        <v>676</v>
      </c>
      <c r="K47" s="126" t="s">
        <v>81</v>
      </c>
      <c r="L47" s="140" t="s">
        <v>74</v>
      </c>
      <c r="M47" s="140">
        <v>25000000</v>
      </c>
      <c r="N47" s="126">
        <v>25000000</v>
      </c>
      <c r="O47" s="126">
        <v>35603250</v>
      </c>
      <c r="P47" s="126">
        <v>2500000</v>
      </c>
      <c r="Q47" s="126">
        <v>2500000</v>
      </c>
      <c r="R47" s="126">
        <v>3560324.9999999995</v>
      </c>
      <c r="S47" s="126">
        <v>2500000</v>
      </c>
      <c r="T47" s="126">
        <v>2500000</v>
      </c>
      <c r="U47" s="127">
        <v>3560324.9999999995</v>
      </c>
      <c r="V47" s="140" t="s">
        <v>81</v>
      </c>
      <c r="W47" s="126" t="s">
        <v>78</v>
      </c>
      <c r="X47" s="126" t="s">
        <v>81</v>
      </c>
      <c r="Y47" s="126" t="s">
        <v>78</v>
      </c>
      <c r="Z47" s="126" t="s">
        <v>81</v>
      </c>
      <c r="AA47" s="126">
        <v>0</v>
      </c>
      <c r="AB47" s="141" t="s">
        <v>78</v>
      </c>
      <c r="AC47" s="126">
        <v>0</v>
      </c>
      <c r="AD47" s="139" t="s">
        <v>78</v>
      </c>
      <c r="AE47" s="126">
        <v>0</v>
      </c>
      <c r="AF47" s="126" t="s">
        <v>78</v>
      </c>
      <c r="AG47" s="126">
        <v>0</v>
      </c>
      <c r="AH47" s="142" t="s">
        <v>81</v>
      </c>
      <c r="AI47" s="142" t="s">
        <v>78</v>
      </c>
      <c r="AJ47" s="142" t="s">
        <v>81</v>
      </c>
      <c r="AK47" s="142" t="s">
        <v>78</v>
      </c>
      <c r="AL47" s="142" t="s">
        <v>78</v>
      </c>
      <c r="AM47" s="142" t="s">
        <v>81</v>
      </c>
      <c r="AN47" s="142" t="s">
        <v>81</v>
      </c>
      <c r="AO47" s="142" t="s">
        <v>78</v>
      </c>
      <c r="AP47" s="142" t="s">
        <v>81</v>
      </c>
      <c r="AQ47" s="142">
        <v>1</v>
      </c>
      <c r="AR47" s="142" t="s">
        <v>74</v>
      </c>
    </row>
    <row r="48" spans="1:44" s="143" customFormat="1" ht="25.05" customHeight="1" x14ac:dyDescent="0.3">
      <c r="A48" s="126" t="s">
        <v>170</v>
      </c>
      <c r="B48" s="126" t="s">
        <v>171</v>
      </c>
      <c r="C48" s="139">
        <v>2020</v>
      </c>
      <c r="D48" s="139" t="s">
        <v>172</v>
      </c>
      <c r="E48" s="139">
        <v>0</v>
      </c>
      <c r="F48" s="139" t="s">
        <v>537</v>
      </c>
      <c r="G48" s="139" t="s">
        <v>521</v>
      </c>
      <c r="H48" s="139" t="s">
        <v>125</v>
      </c>
      <c r="I48" s="126" t="s">
        <v>72</v>
      </c>
      <c r="J48" s="126" t="s">
        <v>103</v>
      </c>
      <c r="K48" s="126" t="s">
        <v>81</v>
      </c>
      <c r="L48" s="126" t="s">
        <v>104</v>
      </c>
      <c r="M48" s="126">
        <v>499200000</v>
      </c>
      <c r="N48" s="126">
        <v>403922710.94280994</v>
      </c>
      <c r="O48" s="126">
        <v>558556442.37304592</v>
      </c>
      <c r="P48" s="126" t="s">
        <v>659</v>
      </c>
      <c r="Q48" s="126" t="s">
        <v>659</v>
      </c>
      <c r="R48" s="126" t="s">
        <v>659</v>
      </c>
      <c r="S48" s="126">
        <v>100500000</v>
      </c>
      <c r="T48" s="126">
        <v>81318574.618895039</v>
      </c>
      <c r="U48" s="127">
        <v>112449764.54024662</v>
      </c>
      <c r="V48" s="126" t="s">
        <v>75</v>
      </c>
      <c r="W48" s="126" t="s">
        <v>173</v>
      </c>
      <c r="X48" s="126" t="s">
        <v>75</v>
      </c>
      <c r="Y48" s="126" t="s">
        <v>174</v>
      </c>
      <c r="Z48" s="126" t="s">
        <v>75</v>
      </c>
      <c r="AA48" s="126">
        <v>0</v>
      </c>
      <c r="AB48" s="141" t="s">
        <v>78</v>
      </c>
      <c r="AC48" s="126">
        <v>0</v>
      </c>
      <c r="AD48" s="139" t="s">
        <v>78</v>
      </c>
      <c r="AE48" s="126">
        <v>4</v>
      </c>
      <c r="AF48" s="126" t="s">
        <v>175</v>
      </c>
      <c r="AG48" s="126">
        <v>4</v>
      </c>
      <c r="AH48" s="142" t="s">
        <v>81</v>
      </c>
      <c r="AI48" s="142">
        <v>0</v>
      </c>
      <c r="AJ48" s="142" t="s">
        <v>75</v>
      </c>
      <c r="AK48" s="142" t="s">
        <v>176</v>
      </c>
      <c r="AL48" s="142" t="s">
        <v>121</v>
      </c>
      <c r="AM48" s="142" t="s">
        <v>75</v>
      </c>
      <c r="AN48" s="142" t="s">
        <v>81</v>
      </c>
      <c r="AO48" s="142" t="s">
        <v>84</v>
      </c>
      <c r="AP48" s="142" t="s">
        <v>81</v>
      </c>
      <c r="AQ48" s="142">
        <v>1</v>
      </c>
      <c r="AR48" s="142" t="s">
        <v>104</v>
      </c>
    </row>
    <row r="49" spans="1:44" s="143" customFormat="1" ht="25.05" customHeight="1" x14ac:dyDescent="0.3">
      <c r="A49" s="126" t="s">
        <v>1319</v>
      </c>
      <c r="B49" s="125" t="s">
        <v>1320</v>
      </c>
      <c r="C49" s="139">
        <v>2015</v>
      </c>
      <c r="D49" s="145" t="s">
        <v>70</v>
      </c>
      <c r="E49" s="139" t="s">
        <v>78</v>
      </c>
      <c r="F49" s="139" t="s">
        <v>570</v>
      </c>
      <c r="G49" s="139" t="s">
        <v>519</v>
      </c>
      <c r="H49" s="139" t="s">
        <v>587</v>
      </c>
      <c r="I49" s="126" t="s">
        <v>256</v>
      </c>
      <c r="J49" s="126" t="s">
        <v>676</v>
      </c>
      <c r="K49" s="126" t="s">
        <v>81</v>
      </c>
      <c r="L49" s="140" t="s">
        <v>74</v>
      </c>
      <c r="M49" s="140">
        <v>26660000</v>
      </c>
      <c r="N49" s="126">
        <v>26660000</v>
      </c>
      <c r="O49" s="126">
        <v>38625274.600000001</v>
      </c>
      <c r="P49" s="126">
        <v>24000000</v>
      </c>
      <c r="Q49" s="126">
        <v>24000000</v>
      </c>
      <c r="R49" s="126">
        <v>34771440</v>
      </c>
      <c r="S49" s="126">
        <v>24000000</v>
      </c>
      <c r="T49" s="126">
        <v>24000000</v>
      </c>
      <c r="U49" s="127">
        <v>34771440</v>
      </c>
      <c r="V49" s="140" t="s">
        <v>81</v>
      </c>
      <c r="W49" s="126" t="s">
        <v>78</v>
      </c>
      <c r="X49" s="126" t="s">
        <v>81</v>
      </c>
      <c r="Y49" s="126" t="s">
        <v>78</v>
      </c>
      <c r="Z49" s="126" t="s">
        <v>81</v>
      </c>
      <c r="AA49" s="126">
        <v>0</v>
      </c>
      <c r="AB49" s="141" t="s">
        <v>78</v>
      </c>
      <c r="AC49" s="126">
        <v>0</v>
      </c>
      <c r="AD49" s="139" t="s">
        <v>78</v>
      </c>
      <c r="AE49" s="126">
        <v>0</v>
      </c>
      <c r="AF49" s="126" t="s">
        <v>78</v>
      </c>
      <c r="AG49" s="126">
        <v>0</v>
      </c>
      <c r="AH49" s="142" t="s">
        <v>81</v>
      </c>
      <c r="AI49" s="142" t="s">
        <v>78</v>
      </c>
      <c r="AJ49" s="142" t="s">
        <v>81</v>
      </c>
      <c r="AK49" s="142" t="s">
        <v>78</v>
      </c>
      <c r="AL49" s="142" t="s">
        <v>78</v>
      </c>
      <c r="AM49" s="142" t="s">
        <v>81</v>
      </c>
      <c r="AN49" s="142" t="s">
        <v>81</v>
      </c>
      <c r="AO49" s="142" t="s">
        <v>78</v>
      </c>
      <c r="AP49" s="142" t="s">
        <v>81</v>
      </c>
      <c r="AQ49" s="142">
        <v>1</v>
      </c>
      <c r="AR49" s="142" t="s">
        <v>74</v>
      </c>
    </row>
    <row r="50" spans="1:44" s="143" customFormat="1" ht="25.05" customHeight="1" x14ac:dyDescent="0.3">
      <c r="A50" s="126" t="s">
        <v>436</v>
      </c>
      <c r="B50" s="126" t="s">
        <v>437</v>
      </c>
      <c r="C50" s="139">
        <v>2022</v>
      </c>
      <c r="D50" s="139" t="s">
        <v>135</v>
      </c>
      <c r="E50" s="139">
        <v>0</v>
      </c>
      <c r="F50" s="139" t="s">
        <v>530</v>
      </c>
      <c r="G50" s="139" t="s">
        <v>520</v>
      </c>
      <c r="H50" s="139" t="s">
        <v>368</v>
      </c>
      <c r="I50" s="126" t="s">
        <v>101</v>
      </c>
      <c r="J50" s="126" t="s">
        <v>103</v>
      </c>
      <c r="K50" s="126" t="s">
        <v>81</v>
      </c>
      <c r="L50" s="126" t="s">
        <v>74</v>
      </c>
      <c r="M50" s="126">
        <v>11900000</v>
      </c>
      <c r="N50" s="126">
        <v>11900000</v>
      </c>
      <c r="O50" s="126">
        <v>16655120.999999998</v>
      </c>
      <c r="P50" s="126" t="s">
        <v>659</v>
      </c>
      <c r="Q50" s="126" t="s">
        <v>659</v>
      </c>
      <c r="R50" s="126" t="s">
        <v>659</v>
      </c>
      <c r="S50" s="126">
        <v>10000000</v>
      </c>
      <c r="T50" s="126">
        <v>10000000</v>
      </c>
      <c r="U50" s="127">
        <v>13995899.999999998</v>
      </c>
      <c r="V50" s="126" t="s">
        <v>81</v>
      </c>
      <c r="W50" s="126">
        <v>0</v>
      </c>
      <c r="X50" s="126" t="s">
        <v>81</v>
      </c>
      <c r="Y50" s="126">
        <v>0</v>
      </c>
      <c r="Z50" s="126" t="s">
        <v>81</v>
      </c>
      <c r="AA50" s="126">
        <v>0</v>
      </c>
      <c r="AB50" s="141">
        <v>0</v>
      </c>
      <c r="AC50" s="126">
        <v>0</v>
      </c>
      <c r="AD50" s="139">
        <v>0</v>
      </c>
      <c r="AE50" s="126">
        <v>0</v>
      </c>
      <c r="AF50" s="126">
        <v>0</v>
      </c>
      <c r="AG50" s="126">
        <v>0</v>
      </c>
      <c r="AH50" s="142" t="s">
        <v>81</v>
      </c>
      <c r="AI50" s="142">
        <v>0</v>
      </c>
      <c r="AJ50" s="142" t="s">
        <v>81</v>
      </c>
      <c r="AK50" s="142">
        <v>0</v>
      </c>
      <c r="AL50" s="142" t="s">
        <v>121</v>
      </c>
      <c r="AM50" s="142" t="s">
        <v>75</v>
      </c>
      <c r="AN50" s="142" t="s">
        <v>81</v>
      </c>
      <c r="AO50" s="142" t="s">
        <v>84</v>
      </c>
      <c r="AP50" s="142" t="s">
        <v>81</v>
      </c>
      <c r="AQ50" s="142">
        <v>1</v>
      </c>
      <c r="AR50" s="142" t="s">
        <v>74</v>
      </c>
    </row>
    <row r="51" spans="1:44" s="143" customFormat="1" ht="25.05" customHeight="1" x14ac:dyDescent="0.3">
      <c r="A51" s="126" t="s">
        <v>698</v>
      </c>
      <c r="B51" s="125" t="s">
        <v>699</v>
      </c>
      <c r="C51" s="139">
        <v>2018</v>
      </c>
      <c r="D51" s="139" t="s">
        <v>208</v>
      </c>
      <c r="E51" s="139" t="s">
        <v>78</v>
      </c>
      <c r="F51" s="139" t="s">
        <v>531</v>
      </c>
      <c r="G51" s="139" t="s">
        <v>521</v>
      </c>
      <c r="H51" s="139" t="s">
        <v>115</v>
      </c>
      <c r="I51" s="126" t="s">
        <v>115</v>
      </c>
      <c r="J51" s="126" t="s">
        <v>689</v>
      </c>
      <c r="K51" s="126" t="s">
        <v>81</v>
      </c>
      <c r="L51" s="140" t="s">
        <v>126</v>
      </c>
      <c r="M51" s="140">
        <v>1000000</v>
      </c>
      <c r="N51" s="126">
        <v>702183.08721816132</v>
      </c>
      <c r="O51" s="126">
        <v>1000000</v>
      </c>
      <c r="P51" s="126">
        <v>723227.91</v>
      </c>
      <c r="Q51" s="126">
        <v>723227.91</v>
      </c>
      <c r="R51" s="126">
        <v>1029970.5634682999</v>
      </c>
      <c r="S51" s="126">
        <v>723227.91</v>
      </c>
      <c r="T51" s="126">
        <v>723227.91</v>
      </c>
      <c r="U51" s="127">
        <v>1029970.5634682999</v>
      </c>
      <c r="V51" s="140" t="s">
        <v>75</v>
      </c>
      <c r="W51" s="126" t="s">
        <v>700</v>
      </c>
      <c r="X51" s="126" t="s">
        <v>75</v>
      </c>
      <c r="Y51" s="126" t="s">
        <v>701</v>
      </c>
      <c r="Z51" s="126" t="s">
        <v>75</v>
      </c>
      <c r="AA51" s="126">
        <v>999</v>
      </c>
      <c r="AB51" s="141" t="s">
        <v>702</v>
      </c>
      <c r="AC51" s="126">
        <v>999</v>
      </c>
      <c r="AD51" s="139" t="s">
        <v>703</v>
      </c>
      <c r="AE51" s="126">
        <v>0</v>
      </c>
      <c r="AF51" s="126" t="s">
        <v>78</v>
      </c>
      <c r="AG51" s="126">
        <v>2</v>
      </c>
      <c r="AH51" s="142" t="s">
        <v>81</v>
      </c>
      <c r="AI51" s="142" t="s">
        <v>78</v>
      </c>
      <c r="AJ51" s="142" t="s">
        <v>75</v>
      </c>
      <c r="AK51" s="142" t="s">
        <v>228</v>
      </c>
      <c r="AL51" s="142" t="s">
        <v>704</v>
      </c>
      <c r="AM51" s="142" t="s">
        <v>81</v>
      </c>
      <c r="AN51" s="142" t="s">
        <v>81</v>
      </c>
      <c r="AO51" s="142" t="s">
        <v>78</v>
      </c>
      <c r="AP51" s="142" t="s">
        <v>75</v>
      </c>
      <c r="AQ51" s="142">
        <v>1</v>
      </c>
      <c r="AR51" s="142" t="s">
        <v>126</v>
      </c>
    </row>
    <row r="52" spans="1:44" s="143" customFormat="1" ht="25.05" customHeight="1" x14ac:dyDescent="0.3">
      <c r="A52" s="126" t="s">
        <v>1240</v>
      </c>
      <c r="B52" s="125" t="s">
        <v>1241</v>
      </c>
      <c r="C52" s="139">
        <v>2016</v>
      </c>
      <c r="D52" s="139" t="s">
        <v>314</v>
      </c>
      <c r="E52" s="139" t="s">
        <v>78</v>
      </c>
      <c r="F52" s="139" t="s">
        <v>557</v>
      </c>
      <c r="G52" s="139" t="s">
        <v>522</v>
      </c>
      <c r="H52" s="139" t="s">
        <v>578</v>
      </c>
      <c r="I52" s="126" t="s">
        <v>115</v>
      </c>
      <c r="J52" s="126" t="s">
        <v>676</v>
      </c>
      <c r="K52" s="126" t="s">
        <v>81</v>
      </c>
      <c r="L52" s="140" t="s">
        <v>1242</v>
      </c>
      <c r="M52" s="140">
        <v>27367584</v>
      </c>
      <c r="N52" s="126">
        <v>3241729.0115940245</v>
      </c>
      <c r="O52" s="126">
        <v>4492161.1432361873</v>
      </c>
      <c r="P52" s="126">
        <v>3200000</v>
      </c>
      <c r="Q52" s="126">
        <v>3200000</v>
      </c>
      <c r="R52" s="126">
        <v>4434336</v>
      </c>
      <c r="S52" s="126">
        <v>3200000</v>
      </c>
      <c r="T52" s="126">
        <v>3200000</v>
      </c>
      <c r="U52" s="127">
        <v>4434336</v>
      </c>
      <c r="V52" s="140" t="s">
        <v>81</v>
      </c>
      <c r="W52" s="126" t="s">
        <v>78</v>
      </c>
      <c r="X52" s="126" t="s">
        <v>81</v>
      </c>
      <c r="Y52" s="126" t="s">
        <v>78</v>
      </c>
      <c r="Z52" s="126" t="s">
        <v>81</v>
      </c>
      <c r="AA52" s="126">
        <v>0</v>
      </c>
      <c r="AB52" s="141" t="s">
        <v>78</v>
      </c>
      <c r="AC52" s="126">
        <v>0</v>
      </c>
      <c r="AD52" s="139" t="s">
        <v>78</v>
      </c>
      <c r="AE52" s="126">
        <v>0</v>
      </c>
      <c r="AF52" s="126" t="s">
        <v>78</v>
      </c>
      <c r="AG52" s="126">
        <v>0</v>
      </c>
      <c r="AH52" s="142" t="s">
        <v>81</v>
      </c>
      <c r="AI52" s="142" t="s">
        <v>78</v>
      </c>
      <c r="AJ52" s="142" t="s">
        <v>81</v>
      </c>
      <c r="AK52" s="142" t="s">
        <v>78</v>
      </c>
      <c r="AL52" s="142" t="s">
        <v>78</v>
      </c>
      <c r="AM52" s="142" t="s">
        <v>81</v>
      </c>
      <c r="AN52" s="142" t="s">
        <v>81</v>
      </c>
      <c r="AO52" s="142" t="s">
        <v>78</v>
      </c>
      <c r="AP52" s="142" t="s">
        <v>81</v>
      </c>
      <c r="AQ52" s="142">
        <v>1</v>
      </c>
      <c r="AR52" s="142" t="s">
        <v>1242</v>
      </c>
    </row>
    <row r="53" spans="1:44" s="143" customFormat="1" ht="25.05" customHeight="1" x14ac:dyDescent="0.3">
      <c r="A53" s="126" t="s">
        <v>1323</v>
      </c>
      <c r="B53" s="125" t="s">
        <v>1324</v>
      </c>
      <c r="C53" s="139">
        <v>2015</v>
      </c>
      <c r="D53" s="145" t="s">
        <v>516</v>
      </c>
      <c r="E53" s="139" t="s">
        <v>78</v>
      </c>
      <c r="F53" s="139" t="s">
        <v>569</v>
      </c>
      <c r="G53" s="139" t="s">
        <v>519</v>
      </c>
      <c r="H53" s="139" t="s">
        <v>228</v>
      </c>
      <c r="I53" s="126" t="s">
        <v>228</v>
      </c>
      <c r="J53" s="126" t="s">
        <v>689</v>
      </c>
      <c r="K53" s="126" t="s">
        <v>81</v>
      </c>
      <c r="L53" s="140" t="s">
        <v>126</v>
      </c>
      <c r="M53" s="140">
        <v>56000000</v>
      </c>
      <c r="N53" s="126">
        <v>38652411.289264984</v>
      </c>
      <c r="O53" s="126">
        <v>56000000</v>
      </c>
      <c r="P53" s="126">
        <v>32545255.989999998</v>
      </c>
      <c r="Q53" s="126">
        <v>32545255.989999998</v>
      </c>
      <c r="R53" s="126">
        <v>47151892.330871895</v>
      </c>
      <c r="S53" s="126">
        <v>32545255.989999998</v>
      </c>
      <c r="T53" s="126">
        <v>32545255.989999998</v>
      </c>
      <c r="U53" s="127">
        <v>47151892.330871895</v>
      </c>
      <c r="V53" s="140" t="s">
        <v>81</v>
      </c>
      <c r="W53" s="126" t="s">
        <v>78</v>
      </c>
      <c r="X53" s="126" t="s">
        <v>81</v>
      </c>
      <c r="Y53" s="126" t="s">
        <v>78</v>
      </c>
      <c r="Z53" s="126" t="s">
        <v>81</v>
      </c>
      <c r="AA53" s="126">
        <v>0</v>
      </c>
      <c r="AB53" s="141" t="s">
        <v>78</v>
      </c>
      <c r="AC53" s="126">
        <v>0</v>
      </c>
      <c r="AD53" s="139" t="s">
        <v>78</v>
      </c>
      <c r="AE53" s="126">
        <v>0</v>
      </c>
      <c r="AF53" s="126" t="s">
        <v>78</v>
      </c>
      <c r="AG53" s="126">
        <v>0</v>
      </c>
      <c r="AH53" s="142" t="s">
        <v>81</v>
      </c>
      <c r="AI53" s="142" t="s">
        <v>78</v>
      </c>
      <c r="AJ53" s="142" t="s">
        <v>81</v>
      </c>
      <c r="AK53" s="142" t="s">
        <v>78</v>
      </c>
      <c r="AL53" s="142" t="s">
        <v>78</v>
      </c>
      <c r="AM53" s="142" t="s">
        <v>81</v>
      </c>
      <c r="AN53" s="142" t="s">
        <v>81</v>
      </c>
      <c r="AO53" s="142" t="s">
        <v>78</v>
      </c>
      <c r="AP53" s="142" t="s">
        <v>81</v>
      </c>
      <c r="AQ53" s="142">
        <v>1</v>
      </c>
      <c r="AR53" s="142" t="s">
        <v>126</v>
      </c>
    </row>
    <row r="54" spans="1:44" s="143" customFormat="1" ht="25.05" customHeight="1" x14ac:dyDescent="0.3">
      <c r="A54" s="126" t="s">
        <v>1424</v>
      </c>
      <c r="B54" s="126" t="s">
        <v>1425</v>
      </c>
      <c r="C54" s="139">
        <v>2019</v>
      </c>
      <c r="D54" s="139" t="s">
        <v>482</v>
      </c>
      <c r="E54" s="139" t="s">
        <v>78</v>
      </c>
      <c r="F54" s="139" t="s">
        <v>527</v>
      </c>
      <c r="G54" s="139" t="s">
        <v>520</v>
      </c>
      <c r="H54" s="139" t="s">
        <v>228</v>
      </c>
      <c r="I54" s="126" t="s">
        <v>228</v>
      </c>
      <c r="J54" s="126" t="s">
        <v>676</v>
      </c>
      <c r="K54" s="126" t="s">
        <v>81</v>
      </c>
      <c r="L54" s="126" t="s">
        <v>74</v>
      </c>
      <c r="M54" s="126">
        <v>14590000</v>
      </c>
      <c r="N54" s="126">
        <v>14590000</v>
      </c>
      <c r="O54" s="126">
        <v>20291626.099999998</v>
      </c>
      <c r="P54" s="126">
        <v>13030000</v>
      </c>
      <c r="Q54" s="126">
        <v>13030000</v>
      </c>
      <c r="R54" s="126">
        <v>18121993.699999999</v>
      </c>
      <c r="S54" s="126">
        <v>13030000</v>
      </c>
      <c r="T54" s="126">
        <v>13030000</v>
      </c>
      <c r="U54" s="127">
        <v>18121993.699999999</v>
      </c>
      <c r="V54" s="126" t="s">
        <v>75</v>
      </c>
      <c r="W54" s="126" t="s">
        <v>1426</v>
      </c>
      <c r="X54" s="126" t="s">
        <v>75</v>
      </c>
      <c r="Y54" s="126" t="s">
        <v>1427</v>
      </c>
      <c r="Z54" s="126" t="s">
        <v>75</v>
      </c>
      <c r="AA54" s="126">
        <v>999</v>
      </c>
      <c r="AB54" s="141" t="s">
        <v>1428</v>
      </c>
      <c r="AC54" s="126">
        <v>999</v>
      </c>
      <c r="AD54" s="139" t="s">
        <v>1429</v>
      </c>
      <c r="AE54" s="126">
        <v>999</v>
      </c>
      <c r="AF54" s="126" t="s">
        <v>1430</v>
      </c>
      <c r="AG54" s="126">
        <v>3</v>
      </c>
      <c r="AH54" s="142" t="s">
        <v>81</v>
      </c>
      <c r="AI54" s="142" t="s">
        <v>78</v>
      </c>
      <c r="AJ54" s="142" t="s">
        <v>75</v>
      </c>
      <c r="AK54" s="142" t="s">
        <v>1431</v>
      </c>
      <c r="AL54" s="142" t="s">
        <v>121</v>
      </c>
      <c r="AM54" s="142" t="s">
        <v>75</v>
      </c>
      <c r="AN54" s="142" t="s">
        <v>81</v>
      </c>
      <c r="AO54" s="142" t="s">
        <v>78</v>
      </c>
      <c r="AP54" s="142" t="s">
        <v>75</v>
      </c>
      <c r="AQ54" s="142">
        <v>1</v>
      </c>
      <c r="AR54" s="142" t="s">
        <v>74</v>
      </c>
    </row>
    <row r="55" spans="1:44" s="143" customFormat="1" ht="25.05" customHeight="1" x14ac:dyDescent="0.3">
      <c r="A55" s="126" t="s">
        <v>1563</v>
      </c>
      <c r="B55" s="126" t="s">
        <v>1564</v>
      </c>
      <c r="C55" s="139">
        <v>2019</v>
      </c>
      <c r="D55" s="139" t="s">
        <v>481</v>
      </c>
      <c r="E55" s="139" t="s">
        <v>78</v>
      </c>
      <c r="F55" s="139" t="s">
        <v>524</v>
      </c>
      <c r="G55" s="139" t="s">
        <v>519</v>
      </c>
      <c r="H55" s="139" t="s">
        <v>593</v>
      </c>
      <c r="I55" s="126" t="s">
        <v>101</v>
      </c>
      <c r="J55" s="126" t="s">
        <v>1565</v>
      </c>
      <c r="K55" s="126" t="s">
        <v>75</v>
      </c>
      <c r="L55" s="126" t="s">
        <v>126</v>
      </c>
      <c r="M55" s="126">
        <v>4416210</v>
      </c>
      <c r="N55" s="126">
        <v>3175324.8153926907</v>
      </c>
      <c r="O55" s="126">
        <v>4416210</v>
      </c>
      <c r="P55" s="126">
        <v>3227422</v>
      </c>
      <c r="Q55" s="126">
        <v>3227422</v>
      </c>
      <c r="R55" s="126">
        <v>4488666.2433799999</v>
      </c>
      <c r="S55" s="126">
        <v>0</v>
      </c>
      <c r="T55" s="126">
        <v>0</v>
      </c>
      <c r="U55" s="127">
        <v>0</v>
      </c>
      <c r="V55" s="126" t="s">
        <v>81</v>
      </c>
      <c r="W55" s="126" t="s">
        <v>78</v>
      </c>
      <c r="X55" s="126" t="s">
        <v>81</v>
      </c>
      <c r="Y55" s="126" t="s">
        <v>1566</v>
      </c>
      <c r="Z55" s="126" t="s">
        <v>81</v>
      </c>
      <c r="AA55" s="126">
        <v>0</v>
      </c>
      <c r="AB55" s="141" t="s">
        <v>78</v>
      </c>
      <c r="AC55" s="126">
        <v>0</v>
      </c>
      <c r="AD55" s="139" t="s">
        <v>78</v>
      </c>
      <c r="AE55" s="126">
        <v>0</v>
      </c>
      <c r="AF55" s="126" t="s">
        <v>78</v>
      </c>
      <c r="AG55" s="126">
        <v>0</v>
      </c>
      <c r="AH55" s="142" t="s">
        <v>81</v>
      </c>
      <c r="AI55" s="142" t="s">
        <v>78</v>
      </c>
      <c r="AJ55" s="142" t="s">
        <v>81</v>
      </c>
      <c r="AK55" s="142" t="s">
        <v>1423</v>
      </c>
      <c r="AL55" s="142" t="s">
        <v>1174</v>
      </c>
      <c r="AM55" s="142" t="s">
        <v>75</v>
      </c>
      <c r="AN55" s="142" t="s">
        <v>81</v>
      </c>
      <c r="AO55" s="142" t="s">
        <v>78</v>
      </c>
      <c r="AP55" s="142" t="s">
        <v>81</v>
      </c>
      <c r="AQ55" s="142">
        <v>1</v>
      </c>
      <c r="AR55" s="142" t="s">
        <v>126</v>
      </c>
    </row>
    <row r="56" spans="1:44" s="143" customFormat="1" ht="25.05" customHeight="1" x14ac:dyDescent="0.3">
      <c r="A56" s="126" t="s">
        <v>709</v>
      </c>
      <c r="B56" s="125" t="s">
        <v>710</v>
      </c>
      <c r="C56" s="139">
        <v>2018</v>
      </c>
      <c r="D56" s="139" t="s">
        <v>513</v>
      </c>
      <c r="E56" s="139" t="s">
        <v>78</v>
      </c>
      <c r="F56" s="139" t="s">
        <v>539</v>
      </c>
      <c r="G56" s="139" t="s">
        <v>520</v>
      </c>
      <c r="H56" s="139" t="s">
        <v>587</v>
      </c>
      <c r="I56" s="126" t="s">
        <v>256</v>
      </c>
      <c r="J56" s="126" t="s">
        <v>676</v>
      </c>
      <c r="K56" s="126" t="s">
        <v>81</v>
      </c>
      <c r="L56" s="140" t="s">
        <v>74</v>
      </c>
      <c r="M56" s="140">
        <v>37270000</v>
      </c>
      <c r="N56" s="126">
        <v>37270000</v>
      </c>
      <c r="O56" s="126">
        <v>53077325.099999994</v>
      </c>
      <c r="P56" s="126">
        <v>7140419.9500000002</v>
      </c>
      <c r="Q56" s="126">
        <v>7140419.9500000002</v>
      </c>
      <c r="R56" s="126">
        <v>10168886.263393499</v>
      </c>
      <c r="S56" s="126">
        <v>5500000</v>
      </c>
      <c r="T56" s="126">
        <v>5500000</v>
      </c>
      <c r="U56" s="127">
        <v>7832714.9999999991</v>
      </c>
      <c r="V56" s="140" t="s">
        <v>75</v>
      </c>
      <c r="W56" s="126" t="s">
        <v>711</v>
      </c>
      <c r="X56" s="126" t="s">
        <v>81</v>
      </c>
      <c r="Y56" s="126" t="s">
        <v>78</v>
      </c>
      <c r="Z56" s="126" t="s">
        <v>75</v>
      </c>
      <c r="AA56" s="126">
        <v>999</v>
      </c>
      <c r="AB56" s="141" t="s">
        <v>712</v>
      </c>
      <c r="AC56" s="126">
        <v>999</v>
      </c>
      <c r="AD56" s="139" t="s">
        <v>713</v>
      </c>
      <c r="AE56" s="126">
        <v>0</v>
      </c>
      <c r="AF56" s="126" t="s">
        <v>78</v>
      </c>
      <c r="AG56" s="126">
        <v>2</v>
      </c>
      <c r="AH56" s="142" t="s">
        <v>75</v>
      </c>
      <c r="AI56" s="142" t="s">
        <v>714</v>
      </c>
      <c r="AJ56" s="142" t="s">
        <v>75</v>
      </c>
      <c r="AK56" s="142" t="s">
        <v>256</v>
      </c>
      <c r="AL56" s="142" t="s">
        <v>78</v>
      </c>
      <c r="AM56" s="142" t="s">
        <v>81</v>
      </c>
      <c r="AN56" s="142" t="s">
        <v>81</v>
      </c>
      <c r="AO56" s="142" t="s">
        <v>78</v>
      </c>
      <c r="AP56" s="142" t="s">
        <v>81</v>
      </c>
      <c r="AQ56" s="142">
        <v>1</v>
      </c>
      <c r="AR56" s="142" t="s">
        <v>74</v>
      </c>
    </row>
    <row r="57" spans="1:44" s="143" customFormat="1" ht="25.05" customHeight="1" x14ac:dyDescent="0.3">
      <c r="A57" s="126" t="s">
        <v>889</v>
      </c>
      <c r="B57" s="125" t="s">
        <v>890</v>
      </c>
      <c r="C57" s="139">
        <v>2018</v>
      </c>
      <c r="D57" s="139" t="s">
        <v>497</v>
      </c>
      <c r="E57" s="139" t="s">
        <v>78</v>
      </c>
      <c r="F57" s="139" t="s">
        <v>538</v>
      </c>
      <c r="G57" s="139" t="s">
        <v>520</v>
      </c>
      <c r="H57" s="139" t="s">
        <v>228</v>
      </c>
      <c r="I57" s="126" t="s">
        <v>228</v>
      </c>
      <c r="J57" s="126" t="s">
        <v>689</v>
      </c>
      <c r="K57" s="126" t="s">
        <v>81</v>
      </c>
      <c r="L57" s="140" t="s">
        <v>126</v>
      </c>
      <c r="M57" s="140">
        <v>600000000</v>
      </c>
      <c r="N57" s="126">
        <v>421309852.33089679</v>
      </c>
      <c r="O57" s="126">
        <v>600000000</v>
      </c>
      <c r="P57" s="126">
        <v>108484186.59999999</v>
      </c>
      <c r="Q57" s="126">
        <v>108484186.59999999</v>
      </c>
      <c r="R57" s="126">
        <v>154495584.66265798</v>
      </c>
      <c r="S57" s="126">
        <v>108484186.59999999</v>
      </c>
      <c r="T57" s="126">
        <v>108484186.59999999</v>
      </c>
      <c r="U57" s="127">
        <v>154495584.66265798</v>
      </c>
      <c r="V57" s="140" t="s">
        <v>81</v>
      </c>
      <c r="W57" s="126" t="s">
        <v>78</v>
      </c>
      <c r="X57" s="126" t="s">
        <v>81</v>
      </c>
      <c r="Y57" s="126" t="s">
        <v>78</v>
      </c>
      <c r="Z57" s="126" t="s">
        <v>81</v>
      </c>
      <c r="AA57" s="126">
        <v>0</v>
      </c>
      <c r="AB57" s="141" t="s">
        <v>78</v>
      </c>
      <c r="AC57" s="126">
        <v>0</v>
      </c>
      <c r="AD57" s="139" t="s">
        <v>78</v>
      </c>
      <c r="AE57" s="144">
        <v>0</v>
      </c>
      <c r="AF57" s="126" t="s">
        <v>78</v>
      </c>
      <c r="AG57" s="126">
        <v>0</v>
      </c>
      <c r="AH57" s="142" t="s">
        <v>81</v>
      </c>
      <c r="AI57" s="142" t="s">
        <v>78</v>
      </c>
      <c r="AJ57" s="142" t="s">
        <v>81</v>
      </c>
      <c r="AK57" s="142" t="s">
        <v>78</v>
      </c>
      <c r="AL57" s="142" t="s">
        <v>78</v>
      </c>
      <c r="AM57" s="142" t="s">
        <v>81</v>
      </c>
      <c r="AN57" s="142" t="s">
        <v>81</v>
      </c>
      <c r="AO57" s="142" t="s">
        <v>78</v>
      </c>
      <c r="AP57" s="142" t="s">
        <v>81</v>
      </c>
      <c r="AQ57" s="142">
        <v>1</v>
      </c>
      <c r="AR57" s="142" t="s">
        <v>126</v>
      </c>
    </row>
    <row r="58" spans="1:44" s="143" customFormat="1" ht="25.05" customHeight="1" x14ac:dyDescent="0.3">
      <c r="A58" s="126" t="s">
        <v>386</v>
      </c>
      <c r="B58" s="126" t="s">
        <v>387</v>
      </c>
      <c r="C58" s="139">
        <v>2021</v>
      </c>
      <c r="D58" s="139" t="s">
        <v>145</v>
      </c>
      <c r="E58" s="139">
        <v>0</v>
      </c>
      <c r="F58" s="139" t="s">
        <v>543</v>
      </c>
      <c r="G58" s="139" t="s">
        <v>522</v>
      </c>
      <c r="H58" s="139" t="s">
        <v>216</v>
      </c>
      <c r="I58" s="126" t="s">
        <v>101</v>
      </c>
      <c r="J58" s="126" t="s">
        <v>103</v>
      </c>
      <c r="K58" s="126" t="s">
        <v>81</v>
      </c>
      <c r="L58" s="126" t="s">
        <v>126</v>
      </c>
      <c r="M58" s="126">
        <v>1582900000</v>
      </c>
      <c r="N58" s="126">
        <v>1099030042.9780529</v>
      </c>
      <c r="O58" s="126">
        <v>1582900000</v>
      </c>
      <c r="P58" s="126" t="s">
        <v>659</v>
      </c>
      <c r="Q58" s="126" t="s">
        <v>659</v>
      </c>
      <c r="R58" s="126" t="s">
        <v>659</v>
      </c>
      <c r="S58" s="126">
        <v>90000000</v>
      </c>
      <c r="T58" s="126">
        <v>76023144.824090883</v>
      </c>
      <c r="U58" s="127">
        <v>109493854.79579337</v>
      </c>
      <c r="V58" s="126" t="s">
        <v>81</v>
      </c>
      <c r="W58" s="126">
        <v>0</v>
      </c>
      <c r="X58" s="126" t="s">
        <v>81</v>
      </c>
      <c r="Y58" s="126">
        <v>0</v>
      </c>
      <c r="Z58" s="126" t="s">
        <v>81</v>
      </c>
      <c r="AA58" s="126">
        <v>0</v>
      </c>
      <c r="AB58" s="141">
        <v>0</v>
      </c>
      <c r="AC58" s="126">
        <v>0</v>
      </c>
      <c r="AD58" s="139">
        <v>0</v>
      </c>
      <c r="AE58" s="126">
        <v>0</v>
      </c>
      <c r="AF58" s="126">
        <v>0</v>
      </c>
      <c r="AG58" s="126">
        <v>0</v>
      </c>
      <c r="AH58" s="142" t="s">
        <v>81</v>
      </c>
      <c r="AI58" s="142">
        <v>0</v>
      </c>
      <c r="AJ58" s="142" t="s">
        <v>81</v>
      </c>
      <c r="AK58" s="142">
        <v>0</v>
      </c>
      <c r="AL58" s="142" t="s">
        <v>121</v>
      </c>
      <c r="AM58" s="142" t="s">
        <v>75</v>
      </c>
      <c r="AN58" s="142" t="s">
        <v>75</v>
      </c>
      <c r="AO58" s="142" t="s">
        <v>84</v>
      </c>
      <c r="AP58" s="142" t="s">
        <v>81</v>
      </c>
      <c r="AQ58" s="142">
        <v>1</v>
      </c>
      <c r="AR58" s="142" t="s">
        <v>104</v>
      </c>
    </row>
    <row r="59" spans="1:44" s="143" customFormat="1" ht="25.05" customHeight="1" x14ac:dyDescent="0.3">
      <c r="A59" s="126" t="s">
        <v>453</v>
      </c>
      <c r="B59" s="126" t="s">
        <v>454</v>
      </c>
      <c r="C59" s="139">
        <v>2021</v>
      </c>
      <c r="D59" s="139" t="s">
        <v>289</v>
      </c>
      <c r="E59" s="139">
        <v>0</v>
      </c>
      <c r="F59" s="139" t="s">
        <v>492</v>
      </c>
      <c r="G59" s="139" t="s">
        <v>521</v>
      </c>
      <c r="H59" s="139" t="s">
        <v>368</v>
      </c>
      <c r="I59" s="126" t="s">
        <v>101</v>
      </c>
      <c r="J59" s="126" t="s">
        <v>73</v>
      </c>
      <c r="K59" s="126" t="s">
        <v>81</v>
      </c>
      <c r="L59" s="126" t="s">
        <v>74</v>
      </c>
      <c r="M59" s="126">
        <v>22000000</v>
      </c>
      <c r="N59" s="126">
        <v>22000000</v>
      </c>
      <c r="O59" s="126">
        <v>31685940</v>
      </c>
      <c r="P59" s="126" t="s">
        <v>659</v>
      </c>
      <c r="Q59" s="126" t="s">
        <v>659</v>
      </c>
      <c r="R59" s="126" t="s">
        <v>659</v>
      </c>
      <c r="S59" s="126">
        <v>20000000</v>
      </c>
      <c r="T59" s="126">
        <v>20000000</v>
      </c>
      <c r="U59" s="127">
        <v>28805400</v>
      </c>
      <c r="V59" s="126" t="s">
        <v>75</v>
      </c>
      <c r="W59" s="126" t="s">
        <v>455</v>
      </c>
      <c r="X59" s="126" t="s">
        <v>81</v>
      </c>
      <c r="Y59" s="126">
        <v>0</v>
      </c>
      <c r="Z59" s="126" t="s">
        <v>75</v>
      </c>
      <c r="AA59" s="126">
        <v>0</v>
      </c>
      <c r="AB59" s="141" t="s">
        <v>78</v>
      </c>
      <c r="AC59" s="126">
        <v>0</v>
      </c>
      <c r="AD59" s="139" t="s">
        <v>78</v>
      </c>
      <c r="AE59" s="126">
        <v>2</v>
      </c>
      <c r="AF59" s="126" t="s">
        <v>456</v>
      </c>
      <c r="AG59" s="126">
        <v>2</v>
      </c>
      <c r="AH59" s="142" t="s">
        <v>81</v>
      </c>
      <c r="AI59" s="142">
        <v>0</v>
      </c>
      <c r="AJ59" s="142" t="s">
        <v>75</v>
      </c>
      <c r="AK59" s="142" t="s">
        <v>457</v>
      </c>
      <c r="AL59" s="142" t="s">
        <v>121</v>
      </c>
      <c r="AM59" s="142" t="s">
        <v>75</v>
      </c>
      <c r="AN59" s="142" t="s">
        <v>75</v>
      </c>
      <c r="AO59" s="142" t="s">
        <v>84</v>
      </c>
      <c r="AP59" s="142" t="s">
        <v>81</v>
      </c>
      <c r="AQ59" s="142">
        <v>1</v>
      </c>
      <c r="AR59" s="142" t="s">
        <v>74</v>
      </c>
    </row>
    <row r="60" spans="1:44" s="143" customFormat="1" ht="25.05" customHeight="1" x14ac:dyDescent="0.3">
      <c r="A60" s="126" t="s">
        <v>161</v>
      </c>
      <c r="B60" s="126" t="s">
        <v>162</v>
      </c>
      <c r="C60" s="139">
        <v>2020</v>
      </c>
      <c r="D60" s="139" t="s">
        <v>163</v>
      </c>
      <c r="E60" s="139">
        <v>0</v>
      </c>
      <c r="F60" s="139" t="s">
        <v>556</v>
      </c>
      <c r="G60" s="139" t="s">
        <v>522</v>
      </c>
      <c r="H60" s="139" t="s">
        <v>125</v>
      </c>
      <c r="I60" s="126" t="s">
        <v>72</v>
      </c>
      <c r="J60" s="126" t="s">
        <v>103</v>
      </c>
      <c r="K60" s="126" t="s">
        <v>81</v>
      </c>
      <c r="L60" s="126" t="s">
        <v>126</v>
      </c>
      <c r="M60" s="126">
        <v>71200000</v>
      </c>
      <c r="N60" s="126">
        <v>51488613.929405637</v>
      </c>
      <c r="O60" s="126">
        <v>71200000</v>
      </c>
      <c r="P60" s="126" t="s">
        <v>659</v>
      </c>
      <c r="Q60" s="126" t="s">
        <v>659</v>
      </c>
      <c r="R60" s="126" t="s">
        <v>659</v>
      </c>
      <c r="S60" s="126">
        <v>10000000</v>
      </c>
      <c r="T60" s="126">
        <v>7231546.9001974212</v>
      </c>
      <c r="U60" s="127">
        <v>10000000</v>
      </c>
      <c r="V60" s="126" t="s">
        <v>75</v>
      </c>
      <c r="W60" s="126" t="s">
        <v>164</v>
      </c>
      <c r="X60" s="126" t="s">
        <v>75</v>
      </c>
      <c r="Y60" s="126" t="s">
        <v>165</v>
      </c>
      <c r="Z60" s="126" t="s">
        <v>75</v>
      </c>
      <c r="AA60" s="126">
        <v>0</v>
      </c>
      <c r="AB60" s="141" t="s">
        <v>78</v>
      </c>
      <c r="AC60" s="126">
        <v>1</v>
      </c>
      <c r="AD60" s="139" t="s">
        <v>166</v>
      </c>
      <c r="AE60" s="126">
        <v>2</v>
      </c>
      <c r="AF60" s="126" t="s">
        <v>167</v>
      </c>
      <c r="AG60" s="126">
        <v>3</v>
      </c>
      <c r="AH60" s="142" t="s">
        <v>81</v>
      </c>
      <c r="AI60" s="142">
        <v>0</v>
      </c>
      <c r="AJ60" s="142" t="s">
        <v>75</v>
      </c>
      <c r="AK60" s="142" t="s">
        <v>168</v>
      </c>
      <c r="AL60" s="142" t="s">
        <v>121</v>
      </c>
      <c r="AM60" s="142" t="s">
        <v>75</v>
      </c>
      <c r="AN60" s="142" t="s">
        <v>81</v>
      </c>
      <c r="AO60" s="142" t="s">
        <v>84</v>
      </c>
      <c r="AP60" s="142" t="s">
        <v>75</v>
      </c>
      <c r="AQ60" s="142">
        <v>1</v>
      </c>
      <c r="AR60" s="142" t="s">
        <v>126</v>
      </c>
    </row>
    <row r="61" spans="1:44" s="143" customFormat="1" ht="25.05" customHeight="1" x14ac:dyDescent="0.3">
      <c r="A61" s="126" t="s">
        <v>193</v>
      </c>
      <c r="B61" s="126" t="s">
        <v>194</v>
      </c>
      <c r="C61" s="139">
        <v>2020</v>
      </c>
      <c r="D61" s="139" t="s">
        <v>195</v>
      </c>
      <c r="E61" s="139">
        <v>0</v>
      </c>
      <c r="F61" s="139" t="s">
        <v>536</v>
      </c>
      <c r="G61" s="139" t="s">
        <v>522</v>
      </c>
      <c r="H61" s="139" t="s">
        <v>125</v>
      </c>
      <c r="I61" s="126" t="s">
        <v>72</v>
      </c>
      <c r="J61" s="126" t="s">
        <v>73</v>
      </c>
      <c r="K61" s="126" t="s">
        <v>81</v>
      </c>
      <c r="L61" s="126" t="s">
        <v>74</v>
      </c>
      <c r="M61" s="126">
        <v>1056940000</v>
      </c>
      <c r="N61" s="126">
        <v>1056940000</v>
      </c>
      <c r="O61" s="126">
        <v>1461568340.2</v>
      </c>
      <c r="P61" s="126" t="s">
        <v>659</v>
      </c>
      <c r="Q61" s="126" t="s">
        <v>659</v>
      </c>
      <c r="R61" s="126" t="s">
        <v>659</v>
      </c>
      <c r="S61" s="126">
        <v>120000000</v>
      </c>
      <c r="T61" s="126">
        <v>120000000</v>
      </c>
      <c r="U61" s="127">
        <v>165939600</v>
      </c>
      <c r="V61" s="126" t="s">
        <v>75</v>
      </c>
      <c r="W61" s="126" t="s">
        <v>196</v>
      </c>
      <c r="X61" s="126" t="s">
        <v>75</v>
      </c>
      <c r="Y61" s="126" t="s">
        <v>197</v>
      </c>
      <c r="Z61" s="126" t="s">
        <v>75</v>
      </c>
      <c r="AA61" s="126">
        <v>0</v>
      </c>
      <c r="AB61" s="141" t="s">
        <v>78</v>
      </c>
      <c r="AC61" s="126">
        <v>1</v>
      </c>
      <c r="AD61" s="139" t="s">
        <v>1749</v>
      </c>
      <c r="AE61" s="126">
        <v>1</v>
      </c>
      <c r="AF61" s="126" t="s">
        <v>198</v>
      </c>
      <c r="AG61" s="126">
        <v>2</v>
      </c>
      <c r="AH61" s="142" t="s">
        <v>81</v>
      </c>
      <c r="AI61" s="142">
        <v>0</v>
      </c>
      <c r="AJ61" s="142" t="s">
        <v>75</v>
      </c>
      <c r="AK61" s="142" t="s">
        <v>199</v>
      </c>
      <c r="AL61" s="142" t="s">
        <v>121</v>
      </c>
      <c r="AM61" s="142" t="s">
        <v>75</v>
      </c>
      <c r="AN61" s="142" t="s">
        <v>75</v>
      </c>
      <c r="AO61" s="142" t="s">
        <v>84</v>
      </c>
      <c r="AP61" s="142" t="s">
        <v>75</v>
      </c>
      <c r="AQ61" s="142">
        <v>1</v>
      </c>
      <c r="AR61" s="142" t="s">
        <v>74</v>
      </c>
    </row>
    <row r="62" spans="1:44" s="143" customFormat="1" ht="25.05" customHeight="1" x14ac:dyDescent="0.3">
      <c r="A62" s="126" t="s">
        <v>295</v>
      </c>
      <c r="B62" s="126" t="s">
        <v>296</v>
      </c>
      <c r="C62" s="139">
        <v>2020</v>
      </c>
      <c r="D62" s="139" t="s">
        <v>297</v>
      </c>
      <c r="E62" s="139">
        <v>0</v>
      </c>
      <c r="F62" s="139" t="s">
        <v>566</v>
      </c>
      <c r="G62" s="139" t="s">
        <v>522</v>
      </c>
      <c r="H62" s="139" t="s">
        <v>216</v>
      </c>
      <c r="I62" s="126" t="s">
        <v>101</v>
      </c>
      <c r="J62" s="126" t="s">
        <v>73</v>
      </c>
      <c r="K62" s="126" t="s">
        <v>81</v>
      </c>
      <c r="L62" s="126" t="s">
        <v>126</v>
      </c>
      <c r="M62" s="126">
        <v>80838472</v>
      </c>
      <c r="N62" s="126">
        <v>58458720.160829604</v>
      </c>
      <c r="O62" s="126">
        <v>80838472</v>
      </c>
      <c r="P62" s="126" t="s">
        <v>659</v>
      </c>
      <c r="Q62" s="126" t="s">
        <v>659</v>
      </c>
      <c r="R62" s="126" t="s">
        <v>659</v>
      </c>
      <c r="S62" s="126">
        <v>36000000</v>
      </c>
      <c r="T62" s="126">
        <v>36000000</v>
      </c>
      <c r="U62" s="127">
        <v>49781880</v>
      </c>
      <c r="V62" s="126" t="s">
        <v>75</v>
      </c>
      <c r="W62" s="126" t="s">
        <v>298</v>
      </c>
      <c r="X62" s="126" t="s">
        <v>81</v>
      </c>
      <c r="Y62" s="126">
        <v>0</v>
      </c>
      <c r="Z62" s="126" t="s">
        <v>75</v>
      </c>
      <c r="AA62" s="126">
        <v>0</v>
      </c>
      <c r="AB62" s="141" t="s">
        <v>78</v>
      </c>
      <c r="AC62" s="126">
        <v>0</v>
      </c>
      <c r="AD62" s="139" t="s">
        <v>78</v>
      </c>
      <c r="AE62" s="126">
        <v>1</v>
      </c>
      <c r="AF62" s="126" t="s">
        <v>299</v>
      </c>
      <c r="AG62" s="126">
        <v>1</v>
      </c>
      <c r="AH62" s="142" t="s">
        <v>81</v>
      </c>
      <c r="AI62" s="142">
        <v>0</v>
      </c>
      <c r="AJ62" s="142" t="s">
        <v>75</v>
      </c>
      <c r="AK62" s="142" t="s">
        <v>300</v>
      </c>
      <c r="AL62" s="142" t="s">
        <v>132</v>
      </c>
      <c r="AM62" s="142" t="s">
        <v>75</v>
      </c>
      <c r="AN62" s="142" t="s">
        <v>75</v>
      </c>
      <c r="AO62" s="142" t="s">
        <v>84</v>
      </c>
      <c r="AP62" s="142" t="s">
        <v>81</v>
      </c>
      <c r="AQ62" s="142">
        <v>1</v>
      </c>
      <c r="AR62" s="142" t="s">
        <v>74</v>
      </c>
    </row>
    <row r="63" spans="1:44" s="143" customFormat="1" ht="25.05" customHeight="1" x14ac:dyDescent="0.3">
      <c r="A63" s="126" t="s">
        <v>206</v>
      </c>
      <c r="B63" s="126" t="s">
        <v>207</v>
      </c>
      <c r="C63" s="139">
        <v>2020</v>
      </c>
      <c r="D63" s="139" t="s">
        <v>208</v>
      </c>
      <c r="E63" s="139">
        <v>0</v>
      </c>
      <c r="F63" s="139" t="s">
        <v>531</v>
      </c>
      <c r="G63" s="139" t="s">
        <v>521</v>
      </c>
      <c r="H63" s="139" t="s">
        <v>125</v>
      </c>
      <c r="I63" s="126" t="s">
        <v>72</v>
      </c>
      <c r="J63" s="126" t="s">
        <v>103</v>
      </c>
      <c r="K63" s="126" t="s">
        <v>81</v>
      </c>
      <c r="L63" s="126" t="s">
        <v>104</v>
      </c>
      <c r="M63" s="126">
        <v>448800000</v>
      </c>
      <c r="N63" s="126">
        <v>363142052.62646854</v>
      </c>
      <c r="O63" s="126">
        <v>502163724.63345951</v>
      </c>
      <c r="P63" s="126" t="s">
        <v>659</v>
      </c>
      <c r="Q63" s="126" t="s">
        <v>659</v>
      </c>
      <c r="R63" s="126" t="s">
        <v>659</v>
      </c>
      <c r="S63" s="126">
        <v>124000000</v>
      </c>
      <c r="T63" s="126">
        <v>100333365.69893517</v>
      </c>
      <c r="U63" s="127">
        <v>138743988.08945853</v>
      </c>
      <c r="V63" s="126" t="s">
        <v>75</v>
      </c>
      <c r="W63" s="126" t="s">
        <v>209</v>
      </c>
      <c r="X63" s="126" t="s">
        <v>75</v>
      </c>
      <c r="Y63" s="126" t="s">
        <v>210</v>
      </c>
      <c r="Z63" s="126" t="s">
        <v>75</v>
      </c>
      <c r="AA63" s="126">
        <v>0</v>
      </c>
      <c r="AB63" s="141" t="s">
        <v>78</v>
      </c>
      <c r="AC63" s="126">
        <v>0</v>
      </c>
      <c r="AD63" s="139" t="s">
        <v>78</v>
      </c>
      <c r="AE63" s="126">
        <v>3</v>
      </c>
      <c r="AF63" s="126" t="s">
        <v>211</v>
      </c>
      <c r="AG63" s="126">
        <v>3</v>
      </c>
      <c r="AH63" s="142" t="s">
        <v>81</v>
      </c>
      <c r="AI63" s="142">
        <v>0</v>
      </c>
      <c r="AJ63" s="142" t="s">
        <v>75</v>
      </c>
      <c r="AK63" s="142" t="s">
        <v>212</v>
      </c>
      <c r="AL63" s="142" t="s">
        <v>121</v>
      </c>
      <c r="AM63" s="142" t="s">
        <v>75</v>
      </c>
      <c r="AN63" s="142" t="s">
        <v>81</v>
      </c>
      <c r="AO63" s="142" t="s">
        <v>84</v>
      </c>
      <c r="AP63" s="142" t="s">
        <v>81</v>
      </c>
      <c r="AQ63" s="142">
        <v>1</v>
      </c>
      <c r="AR63" s="142" t="s">
        <v>104</v>
      </c>
    </row>
    <row r="64" spans="1:44" s="143" customFormat="1" ht="25.05" customHeight="1" x14ac:dyDescent="0.3">
      <c r="A64" s="126" t="s">
        <v>303</v>
      </c>
      <c r="B64" s="126" t="s">
        <v>304</v>
      </c>
      <c r="C64" s="139">
        <v>2020</v>
      </c>
      <c r="D64" s="139" t="s">
        <v>305</v>
      </c>
      <c r="E64" s="139">
        <v>0</v>
      </c>
      <c r="F64" s="139" t="s">
        <v>1855</v>
      </c>
      <c r="G64" s="139" t="s">
        <v>522</v>
      </c>
      <c r="H64" s="139" t="s">
        <v>216</v>
      </c>
      <c r="I64" s="126" t="s">
        <v>101</v>
      </c>
      <c r="J64" s="126" t="s">
        <v>90</v>
      </c>
      <c r="K64" s="126" t="s">
        <v>81</v>
      </c>
      <c r="L64" s="126" t="s">
        <v>74</v>
      </c>
      <c r="M64" s="126">
        <v>15000000</v>
      </c>
      <c r="N64" s="126">
        <v>15000000</v>
      </c>
      <c r="O64" s="126">
        <v>20742450</v>
      </c>
      <c r="P64" s="126" t="s">
        <v>659</v>
      </c>
      <c r="Q64" s="126" t="s">
        <v>659</v>
      </c>
      <c r="R64" s="126" t="s">
        <v>659</v>
      </c>
      <c r="S64" s="126">
        <v>5000000</v>
      </c>
      <c r="T64" s="126">
        <v>5000000</v>
      </c>
      <c r="U64" s="127">
        <v>6914150</v>
      </c>
      <c r="V64" s="126" t="s">
        <v>75</v>
      </c>
      <c r="W64" s="126" t="s">
        <v>306</v>
      </c>
      <c r="X64" s="126" t="s">
        <v>81</v>
      </c>
      <c r="Y64" s="126" t="s">
        <v>307</v>
      </c>
      <c r="Z64" s="126" t="s">
        <v>75</v>
      </c>
      <c r="AA64" s="126">
        <v>0</v>
      </c>
      <c r="AB64" s="141" t="s">
        <v>78</v>
      </c>
      <c r="AC64" s="126">
        <v>1</v>
      </c>
      <c r="AD64" s="139" t="s">
        <v>308</v>
      </c>
      <c r="AE64" s="126">
        <v>2</v>
      </c>
      <c r="AF64" s="126" t="s">
        <v>309</v>
      </c>
      <c r="AG64" s="126">
        <v>3</v>
      </c>
      <c r="AH64" s="142" t="s">
        <v>75</v>
      </c>
      <c r="AI64" s="142" t="s">
        <v>310</v>
      </c>
      <c r="AJ64" s="142" t="s">
        <v>75</v>
      </c>
      <c r="AK64" s="142" t="s">
        <v>311</v>
      </c>
      <c r="AL64" s="142" t="s">
        <v>132</v>
      </c>
      <c r="AM64" s="142" t="s">
        <v>75</v>
      </c>
      <c r="AN64" s="142" t="s">
        <v>75</v>
      </c>
      <c r="AO64" s="142" t="s">
        <v>84</v>
      </c>
      <c r="AP64" s="142" t="s">
        <v>81</v>
      </c>
      <c r="AQ64" s="142">
        <v>1</v>
      </c>
      <c r="AR64" s="142" t="s">
        <v>74</v>
      </c>
    </row>
    <row r="65" spans="1:44" s="143" customFormat="1" ht="25.05" customHeight="1" x14ac:dyDescent="0.3">
      <c r="A65" s="126" t="s">
        <v>200</v>
      </c>
      <c r="B65" s="126" t="s">
        <v>201</v>
      </c>
      <c r="C65" s="139">
        <v>2020</v>
      </c>
      <c r="D65" s="139" t="s">
        <v>99</v>
      </c>
      <c r="E65" s="139">
        <v>0</v>
      </c>
      <c r="F65" s="139" t="s">
        <v>532</v>
      </c>
      <c r="G65" s="139" t="s">
        <v>520</v>
      </c>
      <c r="H65" s="139" t="s">
        <v>125</v>
      </c>
      <c r="I65" s="126" t="s">
        <v>72</v>
      </c>
      <c r="J65" s="126" t="s">
        <v>103</v>
      </c>
      <c r="K65" s="126" t="s">
        <v>81</v>
      </c>
      <c r="L65" s="126" t="s">
        <v>74</v>
      </c>
      <c r="M65" s="126">
        <v>24000000</v>
      </c>
      <c r="N65" s="126">
        <v>24000000</v>
      </c>
      <c r="O65" s="126">
        <v>33187920</v>
      </c>
      <c r="P65" s="126" t="s">
        <v>659</v>
      </c>
      <c r="Q65" s="126" t="s">
        <v>659</v>
      </c>
      <c r="R65" s="126" t="s">
        <v>659</v>
      </c>
      <c r="S65" s="126">
        <v>30000000</v>
      </c>
      <c r="T65" s="126">
        <v>24274201.378774635</v>
      </c>
      <c r="U65" s="127">
        <v>33567093.89261093</v>
      </c>
      <c r="V65" s="126" t="s">
        <v>75</v>
      </c>
      <c r="W65" s="126" t="s">
        <v>202</v>
      </c>
      <c r="X65" s="126" t="s">
        <v>75</v>
      </c>
      <c r="Y65" s="126" t="s">
        <v>203</v>
      </c>
      <c r="Z65" s="126" t="s">
        <v>75</v>
      </c>
      <c r="AA65" s="126">
        <v>0</v>
      </c>
      <c r="AB65" s="141" t="s">
        <v>78</v>
      </c>
      <c r="AC65" s="126">
        <v>0</v>
      </c>
      <c r="AD65" s="139" t="s">
        <v>78</v>
      </c>
      <c r="AE65" s="126">
        <v>1</v>
      </c>
      <c r="AF65" s="126" t="s">
        <v>204</v>
      </c>
      <c r="AG65" s="126">
        <v>1</v>
      </c>
      <c r="AH65" s="142" t="s">
        <v>81</v>
      </c>
      <c r="AI65" s="142">
        <v>0</v>
      </c>
      <c r="AJ65" s="142" t="s">
        <v>75</v>
      </c>
      <c r="AK65" s="142" t="s">
        <v>205</v>
      </c>
      <c r="AL65" s="142" t="s">
        <v>121</v>
      </c>
      <c r="AM65" s="142" t="s">
        <v>75</v>
      </c>
      <c r="AN65" s="142" t="s">
        <v>81</v>
      </c>
      <c r="AO65" s="142" t="s">
        <v>84</v>
      </c>
      <c r="AP65" s="142" t="s">
        <v>81</v>
      </c>
      <c r="AQ65" s="142">
        <v>1</v>
      </c>
      <c r="AR65" s="142" t="s">
        <v>104</v>
      </c>
    </row>
    <row r="66" spans="1:44" s="143" customFormat="1" ht="25.05" customHeight="1" x14ac:dyDescent="0.3">
      <c r="A66" s="126" t="s">
        <v>143</v>
      </c>
      <c r="B66" s="126" t="s">
        <v>144</v>
      </c>
      <c r="C66" s="139">
        <v>2020</v>
      </c>
      <c r="D66" s="139" t="s">
        <v>145</v>
      </c>
      <c r="E66" s="139">
        <v>0</v>
      </c>
      <c r="F66" s="139" t="s">
        <v>543</v>
      </c>
      <c r="G66" s="139" t="s">
        <v>522</v>
      </c>
      <c r="H66" s="139" t="s">
        <v>125</v>
      </c>
      <c r="I66" s="126" t="s">
        <v>72</v>
      </c>
      <c r="J66" s="126" t="s">
        <v>103</v>
      </c>
      <c r="K66" s="126" t="s">
        <v>81</v>
      </c>
      <c r="L66" s="126" t="s">
        <v>74</v>
      </c>
      <c r="M66" s="126">
        <v>693782353</v>
      </c>
      <c r="N66" s="126">
        <v>693782353</v>
      </c>
      <c r="O66" s="126">
        <v>959383051.19898999</v>
      </c>
      <c r="P66" s="126" t="s">
        <v>659</v>
      </c>
      <c r="Q66" s="126" t="s">
        <v>659</v>
      </c>
      <c r="R66" s="126" t="s">
        <v>659</v>
      </c>
      <c r="S66" s="126">
        <v>188000000</v>
      </c>
      <c r="T66" s="126">
        <v>152118328.64032105</v>
      </c>
      <c r="U66" s="127">
        <v>210353788.39369515</v>
      </c>
      <c r="V66" s="126" t="s">
        <v>81</v>
      </c>
      <c r="W66" s="126">
        <v>0</v>
      </c>
      <c r="X66" s="126" t="s">
        <v>75</v>
      </c>
      <c r="Y66" s="126" t="s">
        <v>146</v>
      </c>
      <c r="Z66" s="126" t="s">
        <v>75</v>
      </c>
      <c r="AA66" s="126">
        <v>0</v>
      </c>
      <c r="AB66" s="141" t="s">
        <v>78</v>
      </c>
      <c r="AC66" s="126">
        <v>1</v>
      </c>
      <c r="AD66" s="139" t="s">
        <v>147</v>
      </c>
      <c r="AE66" s="126">
        <v>1</v>
      </c>
      <c r="AF66" s="126" t="s">
        <v>148</v>
      </c>
      <c r="AG66" s="126">
        <v>2</v>
      </c>
      <c r="AH66" s="142" t="s">
        <v>81</v>
      </c>
      <c r="AI66" s="142">
        <v>0</v>
      </c>
      <c r="AJ66" s="142" t="s">
        <v>81</v>
      </c>
      <c r="AK66" s="142">
        <v>0</v>
      </c>
      <c r="AL66" s="142" t="s">
        <v>121</v>
      </c>
      <c r="AM66" s="142" t="s">
        <v>75</v>
      </c>
      <c r="AN66" s="142" t="s">
        <v>81</v>
      </c>
      <c r="AO66" s="142" t="s">
        <v>84</v>
      </c>
      <c r="AP66" s="142" t="s">
        <v>81</v>
      </c>
      <c r="AQ66" s="142">
        <v>1</v>
      </c>
      <c r="AR66" s="142" t="s">
        <v>104</v>
      </c>
    </row>
    <row r="67" spans="1:44" s="143" customFormat="1" ht="25.05" customHeight="1" x14ac:dyDescent="0.3">
      <c r="A67" s="126" t="s">
        <v>189</v>
      </c>
      <c r="B67" s="126" t="s">
        <v>144</v>
      </c>
      <c r="C67" s="139">
        <v>2020</v>
      </c>
      <c r="D67" s="139" t="s">
        <v>87</v>
      </c>
      <c r="E67" s="139" t="s">
        <v>190</v>
      </c>
      <c r="F67" s="139" t="s">
        <v>1848</v>
      </c>
      <c r="G67" s="139" t="s">
        <v>87</v>
      </c>
      <c r="H67" s="139" t="s">
        <v>125</v>
      </c>
      <c r="I67" s="126" t="s">
        <v>72</v>
      </c>
      <c r="J67" s="126" t="s">
        <v>180</v>
      </c>
      <c r="K67" s="126" t="s">
        <v>81</v>
      </c>
      <c r="L67" s="126" t="s">
        <v>74</v>
      </c>
      <c r="M67" s="126">
        <v>7000000</v>
      </c>
      <c r="N67" s="126">
        <v>7000000</v>
      </c>
      <c r="O67" s="126">
        <v>9679810</v>
      </c>
      <c r="P67" s="126" t="s">
        <v>659</v>
      </c>
      <c r="Q67" s="126" t="s">
        <v>659</v>
      </c>
      <c r="R67" s="126" t="s">
        <v>659</v>
      </c>
      <c r="S67" s="126">
        <v>7000000</v>
      </c>
      <c r="T67" s="126">
        <v>7000000</v>
      </c>
      <c r="U67" s="127">
        <v>9679810</v>
      </c>
      <c r="V67" s="126" t="s">
        <v>81</v>
      </c>
      <c r="W67" s="126">
        <v>0</v>
      </c>
      <c r="X67" s="126" t="s">
        <v>75</v>
      </c>
      <c r="Y67" s="126" t="s">
        <v>191</v>
      </c>
      <c r="Z67" s="126" t="s">
        <v>81</v>
      </c>
      <c r="AA67" s="126">
        <v>0</v>
      </c>
      <c r="AB67" s="141">
        <v>0</v>
      </c>
      <c r="AC67" s="126">
        <v>0</v>
      </c>
      <c r="AD67" s="139">
        <v>0</v>
      </c>
      <c r="AE67" s="126">
        <v>0</v>
      </c>
      <c r="AF67" s="126">
        <v>0</v>
      </c>
      <c r="AG67" s="126">
        <v>0</v>
      </c>
      <c r="AH67" s="142" t="s">
        <v>75</v>
      </c>
      <c r="AI67" s="142" t="s">
        <v>192</v>
      </c>
      <c r="AJ67" s="142" t="s">
        <v>81</v>
      </c>
      <c r="AK67" s="142">
        <v>0</v>
      </c>
      <c r="AL67" s="142" t="s">
        <v>121</v>
      </c>
      <c r="AM67" s="142" t="s">
        <v>75</v>
      </c>
      <c r="AN67" s="142" t="s">
        <v>81</v>
      </c>
      <c r="AO67" s="142" t="s">
        <v>84</v>
      </c>
      <c r="AP67" s="142" t="s">
        <v>81</v>
      </c>
      <c r="AQ67" s="142">
        <v>1</v>
      </c>
      <c r="AR67" s="142" t="s">
        <v>74</v>
      </c>
    </row>
    <row r="68" spans="1:44" s="143" customFormat="1" ht="25.05" customHeight="1" x14ac:dyDescent="0.3">
      <c r="A68" s="126" t="s">
        <v>182</v>
      </c>
      <c r="B68" s="126" t="s">
        <v>183</v>
      </c>
      <c r="C68" s="139">
        <v>2020</v>
      </c>
      <c r="D68" s="139" t="s">
        <v>184</v>
      </c>
      <c r="E68" s="139">
        <v>0</v>
      </c>
      <c r="F68" s="139" t="s">
        <v>554</v>
      </c>
      <c r="G68" s="139" t="s">
        <v>520</v>
      </c>
      <c r="H68" s="139" t="s">
        <v>136</v>
      </c>
      <c r="I68" s="126" t="s">
        <v>72</v>
      </c>
      <c r="J68" s="126" t="s">
        <v>103</v>
      </c>
      <c r="K68" s="126" t="s">
        <v>81</v>
      </c>
      <c r="L68" s="126" t="s">
        <v>126</v>
      </c>
      <c r="M68" s="126">
        <v>5188500000</v>
      </c>
      <c r="N68" s="126">
        <v>3752088109.1674318</v>
      </c>
      <c r="O68" s="126">
        <v>5188500000</v>
      </c>
      <c r="P68" s="126" t="s">
        <v>659</v>
      </c>
      <c r="Q68" s="126" t="s">
        <v>659</v>
      </c>
      <c r="R68" s="126" t="s">
        <v>659</v>
      </c>
      <c r="S68" s="126">
        <v>288500000</v>
      </c>
      <c r="T68" s="126">
        <v>208630128.07069561</v>
      </c>
      <c r="U68" s="127">
        <v>288500000</v>
      </c>
      <c r="V68" s="126" t="s">
        <v>75</v>
      </c>
      <c r="W68" s="126" t="s">
        <v>185</v>
      </c>
      <c r="X68" s="126" t="s">
        <v>75</v>
      </c>
      <c r="Y68" s="126" t="s">
        <v>186</v>
      </c>
      <c r="Z68" s="126" t="s">
        <v>75</v>
      </c>
      <c r="AA68" s="126">
        <v>0</v>
      </c>
      <c r="AB68" s="141" t="s">
        <v>78</v>
      </c>
      <c r="AC68" s="126">
        <v>0</v>
      </c>
      <c r="AD68" s="139" t="s">
        <v>78</v>
      </c>
      <c r="AE68" s="126">
        <v>1</v>
      </c>
      <c r="AF68" s="126" t="s">
        <v>187</v>
      </c>
      <c r="AG68" s="126">
        <v>1</v>
      </c>
      <c r="AH68" s="142" t="s">
        <v>81</v>
      </c>
      <c r="AI68" s="142">
        <v>0</v>
      </c>
      <c r="AJ68" s="142" t="s">
        <v>75</v>
      </c>
      <c r="AK68" s="142" t="s">
        <v>188</v>
      </c>
      <c r="AL68" s="142" t="s">
        <v>121</v>
      </c>
      <c r="AM68" s="142" t="s">
        <v>75</v>
      </c>
      <c r="AN68" s="142" t="s">
        <v>81</v>
      </c>
      <c r="AO68" s="142" t="s">
        <v>84</v>
      </c>
      <c r="AP68" s="142" t="s">
        <v>81</v>
      </c>
      <c r="AQ68" s="142">
        <v>1</v>
      </c>
      <c r="AR68" s="142" t="s">
        <v>126</v>
      </c>
    </row>
    <row r="69" spans="1:44" s="143" customFormat="1" ht="25.05" customHeight="1" x14ac:dyDescent="0.3">
      <c r="A69" s="126" t="s">
        <v>133</v>
      </c>
      <c r="B69" s="126" t="s">
        <v>134</v>
      </c>
      <c r="C69" s="139">
        <v>2020</v>
      </c>
      <c r="D69" s="139" t="s">
        <v>135</v>
      </c>
      <c r="E69" s="139">
        <v>0</v>
      </c>
      <c r="F69" s="139" t="s">
        <v>530</v>
      </c>
      <c r="G69" s="139" t="s">
        <v>520</v>
      </c>
      <c r="H69" s="139" t="s">
        <v>136</v>
      </c>
      <c r="I69" s="126" t="s">
        <v>72</v>
      </c>
      <c r="J69" s="126" t="s">
        <v>137</v>
      </c>
      <c r="K69" s="126" t="s">
        <v>81</v>
      </c>
      <c r="L69" s="126" t="s">
        <v>104</v>
      </c>
      <c r="M69" s="126">
        <v>315405494</v>
      </c>
      <c r="N69" s="126">
        <v>255207215.91092986</v>
      </c>
      <c r="O69" s="126">
        <v>352908194.37811112</v>
      </c>
      <c r="P69" s="126" t="s">
        <v>659</v>
      </c>
      <c r="Q69" s="126" t="s">
        <v>659</v>
      </c>
      <c r="R69" s="126" t="s">
        <v>659</v>
      </c>
      <c r="S69" s="126">
        <v>103147300</v>
      </c>
      <c r="T69" s="126">
        <v>83460611.062562704</v>
      </c>
      <c r="U69" s="127">
        <v>115411836.79564358</v>
      </c>
      <c r="V69" s="126" t="s">
        <v>75</v>
      </c>
      <c r="W69" s="126" t="s">
        <v>138</v>
      </c>
      <c r="X69" s="126" t="s">
        <v>75</v>
      </c>
      <c r="Y69" s="126" t="s">
        <v>139</v>
      </c>
      <c r="Z69" s="126" t="s">
        <v>75</v>
      </c>
      <c r="AA69" s="126">
        <v>0</v>
      </c>
      <c r="AB69" s="141" t="s">
        <v>78</v>
      </c>
      <c r="AC69" s="126">
        <v>1</v>
      </c>
      <c r="AD69" s="139" t="s">
        <v>140</v>
      </c>
      <c r="AE69" s="126">
        <v>2</v>
      </c>
      <c r="AF69" s="126" t="s">
        <v>141</v>
      </c>
      <c r="AG69" s="126">
        <v>3</v>
      </c>
      <c r="AH69" s="142" t="s">
        <v>81</v>
      </c>
      <c r="AI69" s="142">
        <v>0</v>
      </c>
      <c r="AJ69" s="142" t="s">
        <v>75</v>
      </c>
      <c r="AK69" s="142" t="s">
        <v>142</v>
      </c>
      <c r="AL69" s="142" t="s">
        <v>121</v>
      </c>
      <c r="AM69" s="142" t="s">
        <v>75</v>
      </c>
      <c r="AN69" s="142" t="s">
        <v>75</v>
      </c>
      <c r="AO69" s="142" t="s">
        <v>84</v>
      </c>
      <c r="AP69" s="142" t="s">
        <v>75</v>
      </c>
      <c r="AQ69" s="142">
        <v>1</v>
      </c>
      <c r="AR69" s="142" t="s">
        <v>104</v>
      </c>
    </row>
    <row r="70" spans="1:44" s="143" customFormat="1" ht="25.05" customHeight="1" x14ac:dyDescent="0.3">
      <c r="A70" s="126" t="s">
        <v>149</v>
      </c>
      <c r="B70" s="126" t="s">
        <v>150</v>
      </c>
      <c r="C70" s="139">
        <v>2020</v>
      </c>
      <c r="D70" s="139" t="s">
        <v>151</v>
      </c>
      <c r="E70" s="139"/>
      <c r="F70" s="139" t="s">
        <v>546</v>
      </c>
      <c r="G70" s="139" t="s">
        <v>1860</v>
      </c>
      <c r="H70" s="139" t="s">
        <v>125</v>
      </c>
      <c r="I70" s="126" t="s">
        <v>72</v>
      </c>
      <c r="J70" s="126" t="s">
        <v>116</v>
      </c>
      <c r="K70" s="126" t="s">
        <v>81</v>
      </c>
      <c r="L70" s="126" t="s">
        <v>104</v>
      </c>
      <c r="M70" s="126">
        <v>264000000</v>
      </c>
      <c r="N70" s="126">
        <v>213612972</v>
      </c>
      <c r="O70" s="126">
        <v>295390426</v>
      </c>
      <c r="P70" s="126"/>
      <c r="Q70" s="126"/>
      <c r="R70" s="126"/>
      <c r="S70" s="126">
        <v>264000000</v>
      </c>
      <c r="T70" s="126">
        <v>213612972</v>
      </c>
      <c r="U70" s="127">
        <v>295390426</v>
      </c>
      <c r="V70" s="126" t="s">
        <v>81</v>
      </c>
      <c r="W70" s="126">
        <v>0</v>
      </c>
      <c r="X70" s="126" t="s">
        <v>81</v>
      </c>
      <c r="Y70" s="126">
        <v>0</v>
      </c>
      <c r="Z70" s="126" t="s">
        <v>81</v>
      </c>
      <c r="AA70" s="126">
        <v>0</v>
      </c>
      <c r="AB70" s="141" t="s">
        <v>78</v>
      </c>
      <c r="AC70" s="126">
        <v>0</v>
      </c>
      <c r="AD70" s="139">
        <v>0</v>
      </c>
      <c r="AE70" s="126">
        <v>1</v>
      </c>
      <c r="AF70" s="126">
        <v>0</v>
      </c>
      <c r="AG70" s="126">
        <v>0</v>
      </c>
      <c r="AH70" s="142" t="s">
        <v>81</v>
      </c>
      <c r="AI70" s="142">
        <v>0</v>
      </c>
      <c r="AJ70" s="142" t="s">
        <v>81</v>
      </c>
      <c r="AK70" s="142">
        <v>0</v>
      </c>
      <c r="AL70" s="142" t="s">
        <v>121</v>
      </c>
      <c r="AM70" s="142" t="s">
        <v>75</v>
      </c>
      <c r="AN70" s="142" t="s">
        <v>81</v>
      </c>
      <c r="AO70" s="142" t="s">
        <v>84</v>
      </c>
      <c r="AP70" s="142" t="s">
        <v>81</v>
      </c>
      <c r="AQ70" s="142">
        <v>1</v>
      </c>
      <c r="AR70" s="142" t="s">
        <v>104</v>
      </c>
    </row>
    <row r="71" spans="1:44" s="143" customFormat="1" ht="25.05" customHeight="1" x14ac:dyDescent="0.3">
      <c r="A71" s="126" t="s">
        <v>850</v>
      </c>
      <c r="B71" s="125" t="s">
        <v>851</v>
      </c>
      <c r="C71" s="139">
        <v>2018</v>
      </c>
      <c r="D71" s="139" t="s">
        <v>314</v>
      </c>
      <c r="E71" s="139" t="s">
        <v>78</v>
      </c>
      <c r="F71" s="139" t="s">
        <v>557</v>
      </c>
      <c r="G71" s="139" t="s">
        <v>522</v>
      </c>
      <c r="H71" s="139" t="s">
        <v>585</v>
      </c>
      <c r="I71" s="126" t="s">
        <v>228</v>
      </c>
      <c r="J71" s="126" t="s">
        <v>689</v>
      </c>
      <c r="K71" s="126" t="s">
        <v>81</v>
      </c>
      <c r="L71" s="140" t="s">
        <v>126</v>
      </c>
      <c r="M71" s="140">
        <v>100000000</v>
      </c>
      <c r="N71" s="126">
        <v>70218308.721816137</v>
      </c>
      <c r="O71" s="126">
        <v>100000000.00000001</v>
      </c>
      <c r="P71" s="126">
        <v>28929116.43</v>
      </c>
      <c r="Q71" s="126">
        <v>28929116.43</v>
      </c>
      <c r="R71" s="126">
        <v>41198822.581455894</v>
      </c>
      <c r="S71" s="126">
        <v>28929116.43</v>
      </c>
      <c r="T71" s="126">
        <v>28929116.43</v>
      </c>
      <c r="U71" s="127">
        <v>41198822.581455894</v>
      </c>
      <c r="V71" s="140" t="s">
        <v>81</v>
      </c>
      <c r="W71" s="126" t="s">
        <v>78</v>
      </c>
      <c r="X71" s="126" t="s">
        <v>81</v>
      </c>
      <c r="Y71" s="126" t="s">
        <v>78</v>
      </c>
      <c r="Z71" s="126" t="s">
        <v>81</v>
      </c>
      <c r="AA71" s="126">
        <v>0</v>
      </c>
      <c r="AB71" s="141" t="s">
        <v>78</v>
      </c>
      <c r="AC71" s="126">
        <v>0</v>
      </c>
      <c r="AD71" s="139" t="s">
        <v>78</v>
      </c>
      <c r="AE71" s="126">
        <v>0</v>
      </c>
      <c r="AF71" s="126" t="s">
        <v>78</v>
      </c>
      <c r="AG71" s="126">
        <v>0</v>
      </c>
      <c r="AH71" s="142" t="s">
        <v>81</v>
      </c>
      <c r="AI71" s="142" t="s">
        <v>78</v>
      </c>
      <c r="AJ71" s="142" t="s">
        <v>81</v>
      </c>
      <c r="AK71" s="142" t="s">
        <v>78</v>
      </c>
      <c r="AL71" s="142" t="s">
        <v>78</v>
      </c>
      <c r="AM71" s="142" t="s">
        <v>81</v>
      </c>
      <c r="AN71" s="142" t="s">
        <v>81</v>
      </c>
      <c r="AO71" s="142" t="s">
        <v>78</v>
      </c>
      <c r="AP71" s="142" t="s">
        <v>81</v>
      </c>
      <c r="AQ71" s="142">
        <v>1</v>
      </c>
      <c r="AR71" s="142" t="s">
        <v>126</v>
      </c>
    </row>
    <row r="72" spans="1:44" s="143" customFormat="1" ht="25.05" customHeight="1" x14ac:dyDescent="0.3">
      <c r="A72" s="126" t="s">
        <v>1224</v>
      </c>
      <c r="B72" s="125" t="s">
        <v>1225</v>
      </c>
      <c r="C72" s="139">
        <v>2016</v>
      </c>
      <c r="D72" s="139" t="s">
        <v>514</v>
      </c>
      <c r="E72" s="139" t="s">
        <v>78</v>
      </c>
      <c r="F72" s="139" t="s">
        <v>567</v>
      </c>
      <c r="G72" s="139" t="s">
        <v>522</v>
      </c>
      <c r="H72" s="139" t="s">
        <v>593</v>
      </c>
      <c r="I72" s="126" t="s">
        <v>101</v>
      </c>
      <c r="J72" s="126" t="s">
        <v>679</v>
      </c>
      <c r="K72" s="126" t="s">
        <v>75</v>
      </c>
      <c r="L72" s="140" t="s">
        <v>126</v>
      </c>
      <c r="M72" s="140">
        <v>1500000</v>
      </c>
      <c r="N72" s="126">
        <v>1082461.9514624062</v>
      </c>
      <c r="O72" s="126">
        <v>1500000</v>
      </c>
      <c r="P72" s="126">
        <v>1084841.8700000001</v>
      </c>
      <c r="Q72" s="126">
        <v>1084841.8700000001</v>
      </c>
      <c r="R72" s="126">
        <v>1503297.9245151</v>
      </c>
      <c r="S72" s="126">
        <v>0</v>
      </c>
      <c r="T72" s="126">
        <v>0</v>
      </c>
      <c r="U72" s="127">
        <v>0</v>
      </c>
      <c r="V72" s="140" t="s">
        <v>81</v>
      </c>
      <c r="W72" s="126" t="s">
        <v>78</v>
      </c>
      <c r="X72" s="126" t="s">
        <v>81</v>
      </c>
      <c r="Y72" s="126" t="s">
        <v>78</v>
      </c>
      <c r="Z72" s="126" t="s">
        <v>81</v>
      </c>
      <c r="AA72" s="126">
        <v>0</v>
      </c>
      <c r="AB72" s="141" t="s">
        <v>78</v>
      </c>
      <c r="AC72" s="126">
        <v>0</v>
      </c>
      <c r="AD72" s="139" t="s">
        <v>78</v>
      </c>
      <c r="AE72" s="126">
        <v>0</v>
      </c>
      <c r="AF72" s="126" t="s">
        <v>78</v>
      </c>
      <c r="AG72" s="126">
        <v>0</v>
      </c>
      <c r="AH72" s="142" t="s">
        <v>81</v>
      </c>
      <c r="AI72" s="142" t="s">
        <v>78</v>
      </c>
      <c r="AJ72" s="142" t="s">
        <v>81</v>
      </c>
      <c r="AK72" s="142" t="s">
        <v>78</v>
      </c>
      <c r="AL72" s="142" t="s">
        <v>78</v>
      </c>
      <c r="AM72" s="142" t="s">
        <v>81</v>
      </c>
      <c r="AN72" s="142" t="s">
        <v>81</v>
      </c>
      <c r="AO72" s="142" t="s">
        <v>78</v>
      </c>
      <c r="AP72" s="142" t="s">
        <v>81</v>
      </c>
      <c r="AQ72" s="142">
        <v>1</v>
      </c>
      <c r="AR72" s="142" t="s">
        <v>126</v>
      </c>
    </row>
    <row r="73" spans="1:44" s="143" customFormat="1" ht="25.05" customHeight="1" x14ac:dyDescent="0.3">
      <c r="A73" s="126" t="s">
        <v>1736</v>
      </c>
      <c r="B73" s="126" t="s">
        <v>1737</v>
      </c>
      <c r="C73" s="139">
        <v>2019</v>
      </c>
      <c r="D73" s="139" t="s">
        <v>502</v>
      </c>
      <c r="E73" s="139" t="s">
        <v>78</v>
      </c>
      <c r="F73" s="139" t="s">
        <v>548</v>
      </c>
      <c r="G73" s="139" t="s">
        <v>520</v>
      </c>
      <c r="H73" s="139" t="s">
        <v>584</v>
      </c>
      <c r="I73" s="126" t="s">
        <v>228</v>
      </c>
      <c r="J73" s="126" t="s">
        <v>679</v>
      </c>
      <c r="K73" s="126" t="s">
        <v>75</v>
      </c>
      <c r="L73" s="126" t="s">
        <v>74</v>
      </c>
      <c r="M73" s="126">
        <v>37400000</v>
      </c>
      <c r="N73" s="126">
        <v>37400000</v>
      </c>
      <c r="O73" s="126">
        <v>52015546</v>
      </c>
      <c r="P73" s="126">
        <v>10500000</v>
      </c>
      <c r="Q73" s="126">
        <v>10500000</v>
      </c>
      <c r="R73" s="126">
        <v>14603295</v>
      </c>
      <c r="S73" s="126">
        <v>0</v>
      </c>
      <c r="T73" s="126">
        <v>0</v>
      </c>
      <c r="U73" s="127">
        <v>0</v>
      </c>
      <c r="V73" s="126" t="s">
        <v>75</v>
      </c>
      <c r="W73" s="126" t="s">
        <v>1738</v>
      </c>
      <c r="X73" s="126" t="s">
        <v>75</v>
      </c>
      <c r="Y73" s="126" t="s">
        <v>1739</v>
      </c>
      <c r="Z73" s="126" t="s">
        <v>75</v>
      </c>
      <c r="AA73" s="126">
        <v>0</v>
      </c>
      <c r="AB73" s="141" t="s">
        <v>78</v>
      </c>
      <c r="AC73" s="126">
        <v>999</v>
      </c>
      <c r="AD73" s="139" t="s">
        <v>1740</v>
      </c>
      <c r="AE73" s="126">
        <v>0</v>
      </c>
      <c r="AF73" s="126" t="s">
        <v>78</v>
      </c>
      <c r="AG73" s="126">
        <v>1</v>
      </c>
      <c r="AH73" s="142" t="s">
        <v>81</v>
      </c>
      <c r="AI73" s="142" t="s">
        <v>78</v>
      </c>
      <c r="AJ73" s="142" t="s">
        <v>75</v>
      </c>
      <c r="AK73" s="142" t="s">
        <v>1735</v>
      </c>
      <c r="AL73" s="142" t="s">
        <v>121</v>
      </c>
      <c r="AM73" s="142" t="s">
        <v>75</v>
      </c>
      <c r="AN73" s="142" t="s">
        <v>75</v>
      </c>
      <c r="AO73" s="142" t="s">
        <v>78</v>
      </c>
      <c r="AP73" s="142" t="s">
        <v>75</v>
      </c>
      <c r="AQ73" s="142">
        <v>1</v>
      </c>
      <c r="AR73" s="142" t="s">
        <v>74</v>
      </c>
    </row>
    <row r="74" spans="1:44" s="143" customFormat="1" ht="25.05" customHeight="1" x14ac:dyDescent="0.3">
      <c r="A74" s="126" t="s">
        <v>1102</v>
      </c>
      <c r="B74" s="125" t="s">
        <v>1103</v>
      </c>
      <c r="C74" s="139">
        <v>2016</v>
      </c>
      <c r="D74" s="139" t="s">
        <v>87</v>
      </c>
      <c r="E74" s="139" t="s">
        <v>1101</v>
      </c>
      <c r="F74" s="139" t="s">
        <v>1848</v>
      </c>
      <c r="G74" s="139" t="s">
        <v>87</v>
      </c>
      <c r="H74" s="139" t="s">
        <v>585</v>
      </c>
      <c r="I74" s="126" t="s">
        <v>228</v>
      </c>
      <c r="J74" s="126" t="s">
        <v>679</v>
      </c>
      <c r="K74" s="126" t="s">
        <v>75</v>
      </c>
      <c r="L74" s="140" t="s">
        <v>126</v>
      </c>
      <c r="M74" s="140">
        <v>5484000</v>
      </c>
      <c r="N74" s="126">
        <v>3957480.8945465568</v>
      </c>
      <c r="O74" s="126">
        <v>5484000</v>
      </c>
      <c r="P74" s="126">
        <v>3966181.86</v>
      </c>
      <c r="Q74" s="126">
        <v>3966181.86</v>
      </c>
      <c r="R74" s="126">
        <v>5496057.1888577994</v>
      </c>
      <c r="S74" s="126">
        <v>0</v>
      </c>
      <c r="T74" s="126">
        <v>0</v>
      </c>
      <c r="U74" s="127">
        <v>0</v>
      </c>
      <c r="V74" s="140" t="s">
        <v>81</v>
      </c>
      <c r="W74" s="126" t="s">
        <v>78</v>
      </c>
      <c r="X74" s="126" t="s">
        <v>81</v>
      </c>
      <c r="Y74" s="126" t="s">
        <v>78</v>
      </c>
      <c r="Z74" s="126" t="s">
        <v>81</v>
      </c>
      <c r="AA74" s="126">
        <v>0</v>
      </c>
      <c r="AB74" s="141" t="s">
        <v>78</v>
      </c>
      <c r="AC74" s="126">
        <v>0</v>
      </c>
      <c r="AD74" s="139" t="s">
        <v>78</v>
      </c>
      <c r="AE74" s="126">
        <v>0</v>
      </c>
      <c r="AF74" s="126" t="s">
        <v>78</v>
      </c>
      <c r="AG74" s="126">
        <v>0</v>
      </c>
      <c r="AH74" s="142" t="s">
        <v>81</v>
      </c>
      <c r="AI74" s="142" t="s">
        <v>78</v>
      </c>
      <c r="AJ74" s="142" t="s">
        <v>81</v>
      </c>
      <c r="AK74" s="142" t="s">
        <v>78</v>
      </c>
      <c r="AL74" s="142" t="s">
        <v>78</v>
      </c>
      <c r="AM74" s="142" t="s">
        <v>81</v>
      </c>
      <c r="AN74" s="142" t="s">
        <v>81</v>
      </c>
      <c r="AO74" s="142" t="s">
        <v>78</v>
      </c>
      <c r="AP74" s="142" t="s">
        <v>81</v>
      </c>
      <c r="AQ74" s="142">
        <v>1</v>
      </c>
      <c r="AR74" s="142" t="s">
        <v>126</v>
      </c>
    </row>
    <row r="75" spans="1:44" s="143" customFormat="1" ht="25.05" customHeight="1" x14ac:dyDescent="0.3">
      <c r="A75" s="126" t="s">
        <v>1390</v>
      </c>
      <c r="B75" s="126" t="s">
        <v>1066</v>
      </c>
      <c r="C75" s="139">
        <v>2019</v>
      </c>
      <c r="D75" s="139" t="s">
        <v>172</v>
      </c>
      <c r="E75" s="139" t="s">
        <v>78</v>
      </c>
      <c r="F75" s="139" t="s">
        <v>537</v>
      </c>
      <c r="G75" s="139" t="s">
        <v>521</v>
      </c>
      <c r="H75" s="139" t="s">
        <v>587</v>
      </c>
      <c r="I75" s="126" t="s">
        <v>256</v>
      </c>
      <c r="J75" s="126" t="s">
        <v>1391</v>
      </c>
      <c r="K75" s="126" t="s">
        <v>81</v>
      </c>
      <c r="L75" s="126" t="s">
        <v>74</v>
      </c>
      <c r="M75" s="126">
        <v>96950000</v>
      </c>
      <c r="N75" s="126">
        <v>96950000</v>
      </c>
      <c r="O75" s="126">
        <v>134837090.5</v>
      </c>
      <c r="P75" s="126">
        <v>60702180.93</v>
      </c>
      <c r="Q75" s="126">
        <v>60702180.93</v>
      </c>
      <c r="R75" s="126">
        <v>84423986.215634704</v>
      </c>
      <c r="S75" s="126">
        <v>60702180.93</v>
      </c>
      <c r="T75" s="126">
        <v>60702180.93</v>
      </c>
      <c r="U75" s="127">
        <v>84423986.215634704</v>
      </c>
      <c r="V75" s="126" t="s">
        <v>75</v>
      </c>
      <c r="W75" s="126" t="s">
        <v>1392</v>
      </c>
      <c r="X75" s="126" t="s">
        <v>75</v>
      </c>
      <c r="Y75" s="126" t="s">
        <v>1393</v>
      </c>
      <c r="Z75" s="126" t="s">
        <v>75</v>
      </c>
      <c r="AA75" s="126">
        <v>0</v>
      </c>
      <c r="AB75" s="141" t="s">
        <v>78</v>
      </c>
      <c r="AC75" s="126">
        <v>999</v>
      </c>
      <c r="AD75" s="139" t="s">
        <v>1394</v>
      </c>
      <c r="AE75" s="126">
        <v>0</v>
      </c>
      <c r="AF75" s="126" t="s">
        <v>78</v>
      </c>
      <c r="AG75" s="126">
        <v>1</v>
      </c>
      <c r="AH75" s="142" t="s">
        <v>81</v>
      </c>
      <c r="AI75" s="142" t="s">
        <v>78</v>
      </c>
      <c r="AJ75" s="142" t="s">
        <v>75</v>
      </c>
      <c r="AK75" s="142" t="s">
        <v>1395</v>
      </c>
      <c r="AL75" s="142" t="s">
        <v>121</v>
      </c>
      <c r="AM75" s="142" t="s">
        <v>75</v>
      </c>
      <c r="AN75" s="142" t="s">
        <v>81</v>
      </c>
      <c r="AO75" s="142" t="s">
        <v>78</v>
      </c>
      <c r="AP75" s="142" t="s">
        <v>75</v>
      </c>
      <c r="AQ75" s="142">
        <v>1</v>
      </c>
      <c r="AR75" s="142" t="s">
        <v>74</v>
      </c>
    </row>
    <row r="76" spans="1:44" s="143" customFormat="1" ht="25.05" customHeight="1" x14ac:dyDescent="0.3">
      <c r="A76" s="126" t="s">
        <v>841</v>
      </c>
      <c r="B76" s="125" t="s">
        <v>842</v>
      </c>
      <c r="C76" s="139">
        <v>2018</v>
      </c>
      <c r="D76" s="139" t="s">
        <v>445</v>
      </c>
      <c r="E76" s="139" t="s">
        <v>78</v>
      </c>
      <c r="F76" s="139" t="s">
        <v>552</v>
      </c>
      <c r="G76" s="139" t="s">
        <v>519</v>
      </c>
      <c r="H76" s="139" t="s">
        <v>228</v>
      </c>
      <c r="I76" s="126" t="s">
        <v>228</v>
      </c>
      <c r="J76" s="126" t="s">
        <v>676</v>
      </c>
      <c r="K76" s="126" t="s">
        <v>81</v>
      </c>
      <c r="L76" s="140" t="s">
        <v>74</v>
      </c>
      <c r="M76" s="140">
        <v>11000000</v>
      </c>
      <c r="N76" s="126">
        <v>11000000</v>
      </c>
      <c r="O76" s="126">
        <v>15665429.999999998</v>
      </c>
      <c r="P76" s="126">
        <v>10000000</v>
      </c>
      <c r="Q76" s="126">
        <v>10000000</v>
      </c>
      <c r="R76" s="126">
        <v>14241299.999999998</v>
      </c>
      <c r="S76" s="126">
        <v>10000000</v>
      </c>
      <c r="T76" s="126">
        <v>10000000</v>
      </c>
      <c r="U76" s="127">
        <v>14241299.999999998</v>
      </c>
      <c r="V76" s="140" t="s">
        <v>81</v>
      </c>
      <c r="W76" s="126" t="s">
        <v>78</v>
      </c>
      <c r="X76" s="126" t="s">
        <v>81</v>
      </c>
      <c r="Y76" s="126" t="s">
        <v>78</v>
      </c>
      <c r="Z76" s="126" t="s">
        <v>81</v>
      </c>
      <c r="AA76" s="126">
        <v>0</v>
      </c>
      <c r="AB76" s="141" t="s">
        <v>78</v>
      </c>
      <c r="AC76" s="126">
        <v>0</v>
      </c>
      <c r="AD76" s="139" t="s">
        <v>78</v>
      </c>
      <c r="AE76" s="126">
        <v>0</v>
      </c>
      <c r="AF76" s="126" t="s">
        <v>78</v>
      </c>
      <c r="AG76" s="126">
        <v>0</v>
      </c>
      <c r="AH76" s="142" t="s">
        <v>75</v>
      </c>
      <c r="AI76" s="142" t="s">
        <v>826</v>
      </c>
      <c r="AJ76" s="142" t="s">
        <v>81</v>
      </c>
      <c r="AK76" s="142" t="s">
        <v>78</v>
      </c>
      <c r="AL76" s="142" t="s">
        <v>78</v>
      </c>
      <c r="AM76" s="142" t="s">
        <v>81</v>
      </c>
      <c r="AN76" s="142" t="s">
        <v>81</v>
      </c>
      <c r="AO76" s="142" t="s">
        <v>78</v>
      </c>
      <c r="AP76" s="142" t="s">
        <v>81</v>
      </c>
      <c r="AQ76" s="142">
        <v>1</v>
      </c>
      <c r="AR76" s="142" t="s">
        <v>74</v>
      </c>
    </row>
    <row r="77" spans="1:44" s="143" customFormat="1" ht="25.05" customHeight="1" x14ac:dyDescent="0.3">
      <c r="A77" s="126" t="s">
        <v>1675</v>
      </c>
      <c r="B77" s="126" t="s">
        <v>1676</v>
      </c>
      <c r="C77" s="139">
        <v>2019</v>
      </c>
      <c r="D77" s="139" t="s">
        <v>496</v>
      </c>
      <c r="E77" s="139" t="s">
        <v>78</v>
      </c>
      <c r="F77" s="139" t="s">
        <v>535</v>
      </c>
      <c r="G77" s="139" t="s">
        <v>522</v>
      </c>
      <c r="H77" s="139" t="s">
        <v>585</v>
      </c>
      <c r="I77" s="126" t="s">
        <v>228</v>
      </c>
      <c r="J77" s="126" t="s">
        <v>679</v>
      </c>
      <c r="K77" s="126" t="s">
        <v>81</v>
      </c>
      <c r="L77" s="126" t="s">
        <v>74</v>
      </c>
      <c r="M77" s="126">
        <v>19135000</v>
      </c>
      <c r="N77" s="126">
        <v>19135000</v>
      </c>
      <c r="O77" s="126">
        <v>26612766.649999999</v>
      </c>
      <c r="P77" s="126">
        <v>17488000</v>
      </c>
      <c r="Q77" s="126">
        <v>17488000</v>
      </c>
      <c r="R77" s="126">
        <v>24322135.52</v>
      </c>
      <c r="S77" s="126">
        <v>15000000</v>
      </c>
      <c r="T77" s="126">
        <v>15000000</v>
      </c>
      <c r="U77" s="127">
        <v>20861850</v>
      </c>
      <c r="V77" s="126" t="s">
        <v>75</v>
      </c>
      <c r="W77" s="126" t="s">
        <v>1677</v>
      </c>
      <c r="X77" s="126" t="s">
        <v>75</v>
      </c>
      <c r="Y77" s="126" t="s">
        <v>1678</v>
      </c>
      <c r="Z77" s="126" t="s">
        <v>75</v>
      </c>
      <c r="AA77" s="126">
        <v>999</v>
      </c>
      <c r="AB77" s="141" t="s">
        <v>1679</v>
      </c>
      <c r="AC77" s="126">
        <v>999</v>
      </c>
      <c r="AD77" s="139" t="s">
        <v>1680</v>
      </c>
      <c r="AE77" s="126">
        <v>999</v>
      </c>
      <c r="AF77" s="126" t="s">
        <v>1681</v>
      </c>
      <c r="AG77" s="126">
        <v>3</v>
      </c>
      <c r="AH77" s="142" t="s">
        <v>81</v>
      </c>
      <c r="AI77" s="142" t="s">
        <v>78</v>
      </c>
      <c r="AJ77" s="142" t="s">
        <v>75</v>
      </c>
      <c r="AK77" s="142" t="s">
        <v>1682</v>
      </c>
      <c r="AL77" s="142" t="s">
        <v>121</v>
      </c>
      <c r="AM77" s="142" t="s">
        <v>75</v>
      </c>
      <c r="AN77" s="142" t="s">
        <v>75</v>
      </c>
      <c r="AO77" s="142" t="s">
        <v>78</v>
      </c>
      <c r="AP77" s="142" t="s">
        <v>75</v>
      </c>
      <c r="AQ77" s="142">
        <v>1</v>
      </c>
      <c r="AR77" s="142" t="s">
        <v>74</v>
      </c>
    </row>
    <row r="78" spans="1:44" s="143" customFormat="1" ht="25.05" customHeight="1" x14ac:dyDescent="0.3">
      <c r="A78" s="126" t="s">
        <v>1020</v>
      </c>
      <c r="B78" s="125" t="s">
        <v>1021</v>
      </c>
      <c r="C78" s="139">
        <v>2017</v>
      </c>
      <c r="D78" s="139" t="s">
        <v>496</v>
      </c>
      <c r="E78" s="139" t="s">
        <v>78</v>
      </c>
      <c r="F78" s="139" t="s">
        <v>535</v>
      </c>
      <c r="G78" s="139" t="s">
        <v>522</v>
      </c>
      <c r="H78" s="139" t="s">
        <v>585</v>
      </c>
      <c r="I78" s="126" t="s">
        <v>228</v>
      </c>
      <c r="J78" s="126" t="s">
        <v>676</v>
      </c>
      <c r="K78" s="126" t="s">
        <v>81</v>
      </c>
      <c r="L78" s="140" t="s">
        <v>74</v>
      </c>
      <c r="M78" s="140">
        <v>5310000</v>
      </c>
      <c r="N78" s="126">
        <v>5310000</v>
      </c>
      <c r="O78" s="126">
        <v>7138392.2999999998</v>
      </c>
      <c r="P78" s="126">
        <v>5310000</v>
      </c>
      <c r="Q78" s="126">
        <v>5310000</v>
      </c>
      <c r="R78" s="126">
        <v>7138392.2999999998</v>
      </c>
      <c r="S78" s="126">
        <v>5310000</v>
      </c>
      <c r="T78" s="126">
        <v>5310000</v>
      </c>
      <c r="U78" s="127">
        <v>7138392.2999999998</v>
      </c>
      <c r="V78" s="140" t="s">
        <v>75</v>
      </c>
      <c r="W78" s="126" t="s">
        <v>1022</v>
      </c>
      <c r="X78" s="126" t="s">
        <v>75</v>
      </c>
      <c r="Y78" s="126" t="s">
        <v>1023</v>
      </c>
      <c r="Z78" s="126" t="s">
        <v>75</v>
      </c>
      <c r="AA78" s="126">
        <v>0</v>
      </c>
      <c r="AB78" s="141" t="s">
        <v>78</v>
      </c>
      <c r="AC78" s="126">
        <v>999</v>
      </c>
      <c r="AD78" s="139" t="s">
        <v>1024</v>
      </c>
      <c r="AE78" s="144">
        <v>0</v>
      </c>
      <c r="AF78" s="126" t="s">
        <v>78</v>
      </c>
      <c r="AG78" s="126">
        <v>1</v>
      </c>
      <c r="AH78" s="142" t="s">
        <v>75</v>
      </c>
      <c r="AI78" s="142" t="s">
        <v>1025</v>
      </c>
      <c r="AJ78" s="142" t="s">
        <v>75</v>
      </c>
      <c r="AK78" s="142" t="s">
        <v>228</v>
      </c>
      <c r="AL78" s="142" t="s">
        <v>704</v>
      </c>
      <c r="AM78" s="142" t="s">
        <v>81</v>
      </c>
      <c r="AN78" s="142" t="s">
        <v>81</v>
      </c>
      <c r="AO78" s="142" t="s">
        <v>78</v>
      </c>
      <c r="AP78" s="142" t="s">
        <v>75</v>
      </c>
      <c r="AQ78" s="142">
        <v>1</v>
      </c>
      <c r="AR78" s="142" t="s">
        <v>74</v>
      </c>
    </row>
    <row r="79" spans="1:44" s="143" customFormat="1" ht="25.05" customHeight="1" x14ac:dyDescent="0.3">
      <c r="A79" s="126" t="s">
        <v>1179</v>
      </c>
      <c r="B79" s="125" t="s">
        <v>1180</v>
      </c>
      <c r="C79" s="139">
        <v>2016</v>
      </c>
      <c r="D79" s="139" t="s">
        <v>87</v>
      </c>
      <c r="E79" s="139" t="s">
        <v>937</v>
      </c>
      <c r="F79" s="139" t="s">
        <v>1848</v>
      </c>
      <c r="G79" s="139" t="s">
        <v>87</v>
      </c>
      <c r="H79" s="139" t="s">
        <v>466</v>
      </c>
      <c r="I79" s="126" t="s">
        <v>466</v>
      </c>
      <c r="J79" s="126" t="s">
        <v>676</v>
      </c>
      <c r="K79" s="126" t="s">
        <v>81</v>
      </c>
      <c r="L79" s="140" t="s">
        <v>74</v>
      </c>
      <c r="M79" s="140">
        <v>2730000</v>
      </c>
      <c r="N79" s="126">
        <v>2730000</v>
      </c>
      <c r="O79" s="126">
        <v>3783042.9</v>
      </c>
      <c r="P79" s="126">
        <v>2730000</v>
      </c>
      <c r="Q79" s="126">
        <v>2730000</v>
      </c>
      <c r="R79" s="126">
        <v>3783042.9</v>
      </c>
      <c r="S79" s="126">
        <v>2730000</v>
      </c>
      <c r="T79" s="126">
        <v>2730000</v>
      </c>
      <c r="U79" s="127">
        <v>3783042.9</v>
      </c>
      <c r="V79" s="140" t="s">
        <v>81</v>
      </c>
      <c r="W79" s="126" t="s">
        <v>78</v>
      </c>
      <c r="X79" s="126" t="s">
        <v>81</v>
      </c>
      <c r="Y79" s="126" t="s">
        <v>78</v>
      </c>
      <c r="Z79" s="126" t="s">
        <v>81</v>
      </c>
      <c r="AA79" s="126">
        <v>0</v>
      </c>
      <c r="AB79" s="141" t="s">
        <v>78</v>
      </c>
      <c r="AC79" s="126">
        <v>0</v>
      </c>
      <c r="AD79" s="139" t="s">
        <v>78</v>
      </c>
      <c r="AE79" s="126">
        <v>0</v>
      </c>
      <c r="AF79" s="126" t="s">
        <v>78</v>
      </c>
      <c r="AG79" s="126">
        <v>0</v>
      </c>
      <c r="AH79" s="142" t="s">
        <v>81</v>
      </c>
      <c r="AI79" s="142" t="s">
        <v>78</v>
      </c>
      <c r="AJ79" s="142" t="s">
        <v>81</v>
      </c>
      <c r="AK79" s="142" t="s">
        <v>78</v>
      </c>
      <c r="AL79" s="142" t="s">
        <v>78</v>
      </c>
      <c r="AM79" s="142" t="s">
        <v>81</v>
      </c>
      <c r="AN79" s="142" t="s">
        <v>81</v>
      </c>
      <c r="AO79" s="142" t="s">
        <v>78</v>
      </c>
      <c r="AP79" s="142" t="s">
        <v>81</v>
      </c>
      <c r="AQ79" s="142">
        <v>1</v>
      </c>
      <c r="AR79" s="142" t="s">
        <v>74</v>
      </c>
    </row>
    <row r="80" spans="1:44" s="143" customFormat="1" ht="25.05" customHeight="1" x14ac:dyDescent="0.3">
      <c r="A80" s="126" t="s">
        <v>915</v>
      </c>
      <c r="B80" s="125" t="s">
        <v>916</v>
      </c>
      <c r="C80" s="139">
        <v>2017</v>
      </c>
      <c r="D80" s="139" t="s">
        <v>509</v>
      </c>
      <c r="E80" s="139" t="s">
        <v>78</v>
      </c>
      <c r="F80" s="139" t="s">
        <v>560</v>
      </c>
      <c r="G80" s="139" t="s">
        <v>522</v>
      </c>
      <c r="H80" s="139" t="s">
        <v>599</v>
      </c>
      <c r="I80" s="126" t="s">
        <v>101</v>
      </c>
      <c r="J80" s="126" t="s">
        <v>676</v>
      </c>
      <c r="K80" s="126" t="s">
        <v>81</v>
      </c>
      <c r="L80" s="140" t="s">
        <v>74</v>
      </c>
      <c r="M80" s="140">
        <v>5500000</v>
      </c>
      <c r="N80" s="126">
        <v>5500000</v>
      </c>
      <c r="O80" s="126">
        <v>7393815</v>
      </c>
      <c r="P80" s="126">
        <v>5500000</v>
      </c>
      <c r="Q80" s="126">
        <v>5500000</v>
      </c>
      <c r="R80" s="126">
        <v>7393815</v>
      </c>
      <c r="S80" s="126">
        <v>5500000</v>
      </c>
      <c r="T80" s="126">
        <v>5500000</v>
      </c>
      <c r="U80" s="127">
        <v>7393815</v>
      </c>
      <c r="V80" s="140" t="s">
        <v>81</v>
      </c>
      <c r="W80" s="126" t="s">
        <v>78</v>
      </c>
      <c r="X80" s="126" t="s">
        <v>81</v>
      </c>
      <c r="Y80" s="126" t="s">
        <v>78</v>
      </c>
      <c r="Z80" s="126" t="s">
        <v>81</v>
      </c>
      <c r="AA80" s="126">
        <v>0</v>
      </c>
      <c r="AB80" s="141" t="s">
        <v>78</v>
      </c>
      <c r="AC80" s="126">
        <v>0</v>
      </c>
      <c r="AD80" s="139" t="s">
        <v>78</v>
      </c>
      <c r="AE80" s="126">
        <v>0</v>
      </c>
      <c r="AF80" s="126" t="s">
        <v>78</v>
      </c>
      <c r="AG80" s="126">
        <v>0</v>
      </c>
      <c r="AH80" s="142" t="s">
        <v>81</v>
      </c>
      <c r="AI80" s="142" t="s">
        <v>78</v>
      </c>
      <c r="AJ80" s="142" t="s">
        <v>81</v>
      </c>
      <c r="AK80" s="142" t="s">
        <v>78</v>
      </c>
      <c r="AL80" s="142" t="s">
        <v>78</v>
      </c>
      <c r="AM80" s="142" t="s">
        <v>81</v>
      </c>
      <c r="AN80" s="142" t="s">
        <v>81</v>
      </c>
      <c r="AO80" s="142" t="s">
        <v>78</v>
      </c>
      <c r="AP80" s="142" t="s">
        <v>81</v>
      </c>
      <c r="AQ80" s="142">
        <v>1</v>
      </c>
      <c r="AR80" s="142" t="s">
        <v>74</v>
      </c>
    </row>
    <row r="81" spans="1:44" s="143" customFormat="1" ht="25.05" customHeight="1" x14ac:dyDescent="0.3">
      <c r="A81" s="126" t="s">
        <v>1741</v>
      </c>
      <c r="B81" s="126" t="s">
        <v>1742</v>
      </c>
      <c r="C81" s="139">
        <v>2019</v>
      </c>
      <c r="D81" s="139" t="s">
        <v>135</v>
      </c>
      <c r="E81" s="139" t="s">
        <v>78</v>
      </c>
      <c r="F81" s="139" t="s">
        <v>530</v>
      </c>
      <c r="G81" s="139" t="s">
        <v>520</v>
      </c>
      <c r="H81" s="139" t="s">
        <v>597</v>
      </c>
      <c r="I81" s="126" t="s">
        <v>101</v>
      </c>
      <c r="J81" s="126" t="s">
        <v>679</v>
      </c>
      <c r="K81" s="126" t="s">
        <v>81</v>
      </c>
      <c r="L81" s="126" t="s">
        <v>104</v>
      </c>
      <c r="M81" s="126">
        <v>175846576</v>
      </c>
      <c r="N81" s="126">
        <v>144820279.35169324</v>
      </c>
      <c r="O81" s="126">
        <v>201414596.31954145</v>
      </c>
      <c r="P81" s="126">
        <v>61767031.229999997</v>
      </c>
      <c r="Q81" s="126">
        <v>61767031.229999997</v>
      </c>
      <c r="R81" s="126">
        <v>85904969.364371687</v>
      </c>
      <c r="S81" s="126">
        <v>61767031.229999997</v>
      </c>
      <c r="T81" s="126">
        <v>61767031.229999997</v>
      </c>
      <c r="U81" s="127">
        <v>85904969.364371687</v>
      </c>
      <c r="V81" s="126" t="s">
        <v>75</v>
      </c>
      <c r="W81" s="126" t="s">
        <v>1743</v>
      </c>
      <c r="X81" s="126" t="s">
        <v>75</v>
      </c>
      <c r="Y81" s="126" t="s">
        <v>1744</v>
      </c>
      <c r="Z81" s="126" t="s">
        <v>75</v>
      </c>
      <c r="AA81" s="126">
        <v>0</v>
      </c>
      <c r="AB81" s="141" t="s">
        <v>78</v>
      </c>
      <c r="AC81" s="126">
        <v>999</v>
      </c>
      <c r="AD81" s="139" t="s">
        <v>1745</v>
      </c>
      <c r="AE81" s="126">
        <v>999</v>
      </c>
      <c r="AF81" s="126" t="s">
        <v>1746</v>
      </c>
      <c r="AG81" s="126">
        <v>3</v>
      </c>
      <c r="AH81" s="142" t="s">
        <v>75</v>
      </c>
      <c r="AI81" s="142" t="s">
        <v>1747</v>
      </c>
      <c r="AJ81" s="142" t="s">
        <v>75</v>
      </c>
      <c r="AK81" s="142" t="s">
        <v>1748</v>
      </c>
      <c r="AL81" s="142" t="s">
        <v>286</v>
      </c>
      <c r="AM81" s="142" t="s">
        <v>75</v>
      </c>
      <c r="AN81" s="142" t="s">
        <v>75</v>
      </c>
      <c r="AO81" s="142" t="s">
        <v>78</v>
      </c>
      <c r="AP81" s="142" t="s">
        <v>75</v>
      </c>
      <c r="AQ81" s="142">
        <v>1</v>
      </c>
      <c r="AR81" s="142" t="s">
        <v>104</v>
      </c>
    </row>
    <row r="82" spans="1:44" s="143" customFormat="1" ht="25.05" customHeight="1" x14ac:dyDescent="0.3">
      <c r="A82" s="126" t="s">
        <v>1072</v>
      </c>
      <c r="B82" s="125" t="s">
        <v>1073</v>
      </c>
      <c r="C82" s="139">
        <v>2017</v>
      </c>
      <c r="D82" s="139" t="s">
        <v>500</v>
      </c>
      <c r="E82" s="139" t="s">
        <v>78</v>
      </c>
      <c r="F82" s="139" t="s">
        <v>547</v>
      </c>
      <c r="G82" s="139" t="s">
        <v>519</v>
      </c>
      <c r="H82" s="139" t="s">
        <v>597</v>
      </c>
      <c r="I82" s="126" t="s">
        <v>101</v>
      </c>
      <c r="J82" s="126" t="s">
        <v>676</v>
      </c>
      <c r="K82" s="126" t="s">
        <v>81</v>
      </c>
      <c r="L82" s="140" t="s">
        <v>74</v>
      </c>
      <c r="M82" s="140">
        <v>10000000</v>
      </c>
      <c r="N82" s="126">
        <v>10000000</v>
      </c>
      <c r="O82" s="126">
        <v>13443300</v>
      </c>
      <c r="P82" s="126">
        <v>10000000</v>
      </c>
      <c r="Q82" s="126">
        <v>10000000</v>
      </c>
      <c r="R82" s="126">
        <v>13443300</v>
      </c>
      <c r="S82" s="126">
        <v>10000000</v>
      </c>
      <c r="T82" s="126">
        <v>10000000</v>
      </c>
      <c r="U82" s="127">
        <v>13443300</v>
      </c>
      <c r="V82" s="140" t="s">
        <v>75</v>
      </c>
      <c r="W82" s="126" t="s">
        <v>1074</v>
      </c>
      <c r="X82" s="126" t="s">
        <v>81</v>
      </c>
      <c r="Y82" s="126" t="s">
        <v>78</v>
      </c>
      <c r="Z82" s="126" t="s">
        <v>81</v>
      </c>
      <c r="AA82" s="126">
        <v>0</v>
      </c>
      <c r="AB82" s="141" t="s">
        <v>78</v>
      </c>
      <c r="AC82" s="126">
        <v>0</v>
      </c>
      <c r="AD82" s="139" t="s">
        <v>78</v>
      </c>
      <c r="AE82" s="126">
        <v>0</v>
      </c>
      <c r="AF82" s="126" t="s">
        <v>78</v>
      </c>
      <c r="AG82" s="126">
        <v>0</v>
      </c>
      <c r="AH82" s="142" t="s">
        <v>81</v>
      </c>
      <c r="AI82" s="142" t="s">
        <v>78</v>
      </c>
      <c r="AJ82" s="142" t="s">
        <v>75</v>
      </c>
      <c r="AK82" s="142" t="s">
        <v>256</v>
      </c>
      <c r="AL82" s="142" t="s">
        <v>78</v>
      </c>
      <c r="AM82" s="142" t="s">
        <v>81</v>
      </c>
      <c r="AN82" s="142" t="s">
        <v>81</v>
      </c>
      <c r="AO82" s="142" t="s">
        <v>78</v>
      </c>
      <c r="AP82" s="142" t="s">
        <v>81</v>
      </c>
      <c r="AQ82" s="142">
        <v>1</v>
      </c>
      <c r="AR82" s="142" t="s">
        <v>74</v>
      </c>
    </row>
    <row r="83" spans="1:44" s="143" customFormat="1" ht="25.05" customHeight="1" x14ac:dyDescent="0.3">
      <c r="A83" s="126" t="s">
        <v>1277</v>
      </c>
      <c r="B83" s="125" t="s">
        <v>1278</v>
      </c>
      <c r="C83" s="139">
        <v>2016</v>
      </c>
      <c r="D83" s="139" t="s">
        <v>353</v>
      </c>
      <c r="E83" s="139" t="s">
        <v>78</v>
      </c>
      <c r="F83" s="139" t="s">
        <v>78</v>
      </c>
      <c r="G83" s="139" t="s">
        <v>519</v>
      </c>
      <c r="H83" s="139" t="s">
        <v>597</v>
      </c>
      <c r="I83" s="126" t="s">
        <v>101</v>
      </c>
      <c r="J83" s="126" t="s">
        <v>689</v>
      </c>
      <c r="K83" s="126" t="s">
        <v>81</v>
      </c>
      <c r="L83" s="140" t="s">
        <v>616</v>
      </c>
      <c r="M83" s="140">
        <v>3000000000</v>
      </c>
      <c r="N83" s="126">
        <v>139268007.35335079</v>
      </c>
      <c r="O83" s="126">
        <v>192987855.82975876</v>
      </c>
      <c r="P83" s="126">
        <v>151402746.5</v>
      </c>
      <c r="Q83" s="126">
        <v>151402746.5</v>
      </c>
      <c r="R83" s="126">
        <v>209803327.90744498</v>
      </c>
      <c r="S83" s="126">
        <v>151402746.5</v>
      </c>
      <c r="T83" s="126">
        <v>151402746.5</v>
      </c>
      <c r="U83" s="127">
        <v>209803327.90744498</v>
      </c>
      <c r="V83" s="140" t="s">
        <v>81</v>
      </c>
      <c r="W83" s="126" t="s">
        <v>78</v>
      </c>
      <c r="X83" s="126" t="s">
        <v>81</v>
      </c>
      <c r="Y83" s="126" t="s">
        <v>78</v>
      </c>
      <c r="Z83" s="126" t="s">
        <v>81</v>
      </c>
      <c r="AA83" s="126">
        <v>0</v>
      </c>
      <c r="AB83" s="141" t="s">
        <v>78</v>
      </c>
      <c r="AC83" s="126">
        <v>0</v>
      </c>
      <c r="AD83" s="139" t="s">
        <v>78</v>
      </c>
      <c r="AE83" s="126">
        <v>0</v>
      </c>
      <c r="AF83" s="126" t="s">
        <v>78</v>
      </c>
      <c r="AG83" s="126">
        <v>0</v>
      </c>
      <c r="AH83" s="142" t="s">
        <v>81</v>
      </c>
      <c r="AI83" s="142" t="s">
        <v>78</v>
      </c>
      <c r="AJ83" s="142" t="s">
        <v>81</v>
      </c>
      <c r="AK83" s="142" t="s">
        <v>78</v>
      </c>
      <c r="AL83" s="142" t="s">
        <v>78</v>
      </c>
      <c r="AM83" s="142" t="s">
        <v>81</v>
      </c>
      <c r="AN83" s="142" t="s">
        <v>81</v>
      </c>
      <c r="AO83" s="142" t="s">
        <v>78</v>
      </c>
      <c r="AP83" s="142" t="s">
        <v>81</v>
      </c>
      <c r="AQ83" s="142">
        <v>1</v>
      </c>
      <c r="AR83" s="142" t="s">
        <v>616</v>
      </c>
    </row>
    <row r="84" spans="1:44" s="143" customFormat="1" ht="25.05" customHeight="1" x14ac:dyDescent="0.3">
      <c r="A84" s="126" t="s">
        <v>977</v>
      </c>
      <c r="B84" s="125" t="s">
        <v>978</v>
      </c>
      <c r="C84" s="139">
        <v>2017</v>
      </c>
      <c r="D84" s="139" t="s">
        <v>353</v>
      </c>
      <c r="E84" s="139" t="s">
        <v>78</v>
      </c>
      <c r="F84" s="139" t="s">
        <v>78</v>
      </c>
      <c r="G84" s="139" t="s">
        <v>519</v>
      </c>
      <c r="H84" s="139" t="s">
        <v>596</v>
      </c>
      <c r="I84" s="126" t="s">
        <v>101</v>
      </c>
      <c r="J84" s="126" t="s">
        <v>689</v>
      </c>
      <c r="K84" s="126" t="s">
        <v>81</v>
      </c>
      <c r="L84" s="140" t="s">
        <v>74</v>
      </c>
      <c r="M84" s="140">
        <v>166572275.69999999</v>
      </c>
      <c r="N84" s="126">
        <v>166572275.69999999</v>
      </c>
      <c r="O84" s="126">
        <v>223928107.391781</v>
      </c>
      <c r="P84" s="126">
        <v>151402746.5</v>
      </c>
      <c r="Q84" s="126">
        <v>151402746.5</v>
      </c>
      <c r="R84" s="126">
        <v>203535254.20234501</v>
      </c>
      <c r="S84" s="126">
        <v>151402746.5</v>
      </c>
      <c r="T84" s="126">
        <v>151402746.5</v>
      </c>
      <c r="U84" s="127">
        <v>203535254.20234501</v>
      </c>
      <c r="V84" s="140" t="s">
        <v>81</v>
      </c>
      <c r="W84" s="126" t="s">
        <v>78</v>
      </c>
      <c r="X84" s="126" t="s">
        <v>81</v>
      </c>
      <c r="Y84" s="126" t="s">
        <v>78</v>
      </c>
      <c r="Z84" s="126" t="s">
        <v>81</v>
      </c>
      <c r="AA84" s="126">
        <v>0</v>
      </c>
      <c r="AB84" s="141" t="s">
        <v>78</v>
      </c>
      <c r="AC84" s="126">
        <v>0</v>
      </c>
      <c r="AD84" s="139" t="s">
        <v>78</v>
      </c>
      <c r="AE84" s="126">
        <v>0</v>
      </c>
      <c r="AF84" s="126" t="s">
        <v>78</v>
      </c>
      <c r="AG84" s="126">
        <v>0</v>
      </c>
      <c r="AH84" s="142" t="s">
        <v>81</v>
      </c>
      <c r="AI84" s="142" t="s">
        <v>78</v>
      </c>
      <c r="AJ84" s="142" t="s">
        <v>81</v>
      </c>
      <c r="AK84" s="142" t="s">
        <v>78</v>
      </c>
      <c r="AL84" s="142" t="s">
        <v>78</v>
      </c>
      <c r="AM84" s="142" t="s">
        <v>81</v>
      </c>
      <c r="AN84" s="142" t="s">
        <v>81</v>
      </c>
      <c r="AO84" s="142" t="s">
        <v>78</v>
      </c>
      <c r="AP84" s="142" t="s">
        <v>81</v>
      </c>
      <c r="AQ84" s="142">
        <v>1</v>
      </c>
      <c r="AR84" s="142" t="s">
        <v>74</v>
      </c>
    </row>
    <row r="85" spans="1:44" s="143" customFormat="1" ht="25.05" customHeight="1" x14ac:dyDescent="0.3">
      <c r="A85" s="126" t="s">
        <v>1111</v>
      </c>
      <c r="B85" s="125" t="s">
        <v>1112</v>
      </c>
      <c r="C85" s="139">
        <v>2016</v>
      </c>
      <c r="D85" s="139" t="s">
        <v>226</v>
      </c>
      <c r="E85" s="139" t="s">
        <v>78</v>
      </c>
      <c r="F85" s="139" t="s">
        <v>534</v>
      </c>
      <c r="G85" s="139" t="s">
        <v>518</v>
      </c>
      <c r="H85" s="139" t="s">
        <v>596</v>
      </c>
      <c r="I85" s="126" t="s">
        <v>101</v>
      </c>
      <c r="J85" s="126" t="s">
        <v>689</v>
      </c>
      <c r="K85" s="126" t="s">
        <v>81</v>
      </c>
      <c r="L85" s="140" t="s">
        <v>126</v>
      </c>
      <c r="M85" s="140">
        <v>500000000</v>
      </c>
      <c r="N85" s="126">
        <v>360820650.48746872</v>
      </c>
      <c r="O85" s="126">
        <v>500000000</v>
      </c>
      <c r="P85" s="126">
        <v>361613955.39999998</v>
      </c>
      <c r="Q85" s="126">
        <v>361613955.39999998</v>
      </c>
      <c r="R85" s="126">
        <v>501099306.41644192</v>
      </c>
      <c r="S85" s="126">
        <v>361613955.39999998</v>
      </c>
      <c r="T85" s="126">
        <v>361613955.39999998</v>
      </c>
      <c r="U85" s="127">
        <v>501099306.41644192</v>
      </c>
      <c r="V85" s="140" t="s">
        <v>81</v>
      </c>
      <c r="W85" s="126" t="s">
        <v>78</v>
      </c>
      <c r="X85" s="126" t="s">
        <v>81</v>
      </c>
      <c r="Y85" s="126" t="s">
        <v>78</v>
      </c>
      <c r="Z85" s="126" t="s">
        <v>81</v>
      </c>
      <c r="AA85" s="126">
        <v>0</v>
      </c>
      <c r="AB85" s="141" t="s">
        <v>78</v>
      </c>
      <c r="AC85" s="126">
        <v>0</v>
      </c>
      <c r="AD85" s="139" t="s">
        <v>78</v>
      </c>
      <c r="AE85" s="126">
        <v>999</v>
      </c>
      <c r="AF85" s="126" t="s">
        <v>78</v>
      </c>
      <c r="AG85" s="126">
        <v>0</v>
      </c>
      <c r="AH85" s="142" t="s">
        <v>81</v>
      </c>
      <c r="AI85" s="142" t="s">
        <v>78</v>
      </c>
      <c r="AJ85" s="142" t="s">
        <v>81</v>
      </c>
      <c r="AK85" s="142" t="s">
        <v>78</v>
      </c>
      <c r="AL85" s="142" t="s">
        <v>78</v>
      </c>
      <c r="AM85" s="142" t="s">
        <v>81</v>
      </c>
      <c r="AN85" s="142" t="s">
        <v>81</v>
      </c>
      <c r="AO85" s="142" t="s">
        <v>78</v>
      </c>
      <c r="AP85" s="142" t="s">
        <v>81</v>
      </c>
      <c r="AQ85" s="142">
        <v>1</v>
      </c>
      <c r="AR85" s="142" t="s">
        <v>126</v>
      </c>
    </row>
    <row r="86" spans="1:44" s="143" customFormat="1" ht="25.05" customHeight="1" x14ac:dyDescent="0.3">
      <c r="A86" s="126" t="s">
        <v>1289</v>
      </c>
      <c r="B86" s="125" t="s">
        <v>1290</v>
      </c>
      <c r="C86" s="139">
        <v>2016</v>
      </c>
      <c r="D86" s="139" t="s">
        <v>226</v>
      </c>
      <c r="E86" s="139" t="s">
        <v>78</v>
      </c>
      <c r="F86" s="139" t="s">
        <v>534</v>
      </c>
      <c r="G86" s="139" t="s">
        <v>518</v>
      </c>
      <c r="H86" s="139" t="s">
        <v>596</v>
      </c>
      <c r="I86" s="126" t="s">
        <v>101</v>
      </c>
      <c r="J86" s="126" t="s">
        <v>689</v>
      </c>
      <c r="K86" s="126" t="s">
        <v>81</v>
      </c>
      <c r="L86" s="140" t="s">
        <v>126</v>
      </c>
      <c r="M86" s="140">
        <v>500000000</v>
      </c>
      <c r="N86" s="126">
        <v>360820650.48746872</v>
      </c>
      <c r="O86" s="126">
        <v>500000000</v>
      </c>
      <c r="P86" s="126">
        <v>361613955.39999998</v>
      </c>
      <c r="Q86" s="126">
        <v>361613955.39999998</v>
      </c>
      <c r="R86" s="126">
        <v>501099306.41644192</v>
      </c>
      <c r="S86" s="126">
        <v>361613955.39999998</v>
      </c>
      <c r="T86" s="126">
        <v>361613955.39999998</v>
      </c>
      <c r="U86" s="127">
        <v>501099306.41644192</v>
      </c>
      <c r="V86" s="140" t="s">
        <v>81</v>
      </c>
      <c r="W86" s="126" t="s">
        <v>78</v>
      </c>
      <c r="X86" s="126" t="s">
        <v>81</v>
      </c>
      <c r="Y86" s="126" t="s">
        <v>78</v>
      </c>
      <c r="Z86" s="126" t="s">
        <v>81</v>
      </c>
      <c r="AA86" s="126">
        <v>0</v>
      </c>
      <c r="AB86" s="141" t="s">
        <v>78</v>
      </c>
      <c r="AC86" s="126">
        <v>0</v>
      </c>
      <c r="AD86" s="139" t="s">
        <v>78</v>
      </c>
      <c r="AE86" s="126">
        <v>0</v>
      </c>
      <c r="AF86" s="126" t="s">
        <v>78</v>
      </c>
      <c r="AG86" s="126">
        <v>0</v>
      </c>
      <c r="AH86" s="142" t="s">
        <v>81</v>
      </c>
      <c r="AI86" s="142" t="s">
        <v>78</v>
      </c>
      <c r="AJ86" s="142" t="s">
        <v>81</v>
      </c>
      <c r="AK86" s="142" t="s">
        <v>78</v>
      </c>
      <c r="AL86" s="142" t="s">
        <v>78</v>
      </c>
      <c r="AM86" s="142" t="s">
        <v>81</v>
      </c>
      <c r="AN86" s="142" t="s">
        <v>81</v>
      </c>
      <c r="AO86" s="142" t="s">
        <v>78</v>
      </c>
      <c r="AP86" s="142" t="s">
        <v>81</v>
      </c>
      <c r="AQ86" s="142">
        <v>1</v>
      </c>
      <c r="AR86" s="142" t="s">
        <v>126</v>
      </c>
    </row>
    <row r="87" spans="1:44" s="143" customFormat="1" ht="25.05" customHeight="1" x14ac:dyDescent="0.3">
      <c r="A87" s="126" t="s">
        <v>366</v>
      </c>
      <c r="B87" s="126" t="s">
        <v>367</v>
      </c>
      <c r="C87" s="139">
        <v>2021</v>
      </c>
      <c r="D87" s="139" t="s">
        <v>273</v>
      </c>
      <c r="E87" s="139">
        <v>0</v>
      </c>
      <c r="F87" s="139" t="s">
        <v>549</v>
      </c>
      <c r="G87" s="139" t="s">
        <v>518</v>
      </c>
      <c r="H87" s="139" t="s">
        <v>368</v>
      </c>
      <c r="I87" s="126" t="s">
        <v>101</v>
      </c>
      <c r="J87" s="126" t="s">
        <v>73</v>
      </c>
      <c r="K87" s="126" t="s">
        <v>81</v>
      </c>
      <c r="L87" s="126" t="s">
        <v>74</v>
      </c>
      <c r="M87" s="126">
        <v>3300000</v>
      </c>
      <c r="N87" s="126">
        <v>3300000</v>
      </c>
      <c r="O87" s="126">
        <v>4752891</v>
      </c>
      <c r="P87" s="126" t="s">
        <v>659</v>
      </c>
      <c r="Q87" s="126" t="s">
        <v>659</v>
      </c>
      <c r="R87" s="126" t="s">
        <v>659</v>
      </c>
      <c r="S87" s="126">
        <v>3000000</v>
      </c>
      <c r="T87" s="126">
        <v>3000000</v>
      </c>
      <c r="U87" s="127">
        <v>4320810</v>
      </c>
      <c r="V87" s="126" t="s">
        <v>81</v>
      </c>
      <c r="W87" s="126">
        <v>0</v>
      </c>
      <c r="X87" s="126" t="s">
        <v>81</v>
      </c>
      <c r="Y87" s="126">
        <v>0</v>
      </c>
      <c r="Z87" s="126" t="s">
        <v>81</v>
      </c>
      <c r="AA87" s="126">
        <v>0</v>
      </c>
      <c r="AB87" s="141">
        <v>0</v>
      </c>
      <c r="AC87" s="126">
        <v>0</v>
      </c>
      <c r="AD87" s="139">
        <v>0</v>
      </c>
      <c r="AE87" s="126">
        <v>0</v>
      </c>
      <c r="AF87" s="126">
        <v>0</v>
      </c>
      <c r="AG87" s="126">
        <v>0</v>
      </c>
      <c r="AH87" s="142" t="s">
        <v>81</v>
      </c>
      <c r="AI87" s="142">
        <v>0</v>
      </c>
      <c r="AJ87" s="142" t="s">
        <v>81</v>
      </c>
      <c r="AK87" s="142">
        <v>0</v>
      </c>
      <c r="AL87" s="142" t="s">
        <v>121</v>
      </c>
      <c r="AM87" s="142" t="s">
        <v>75</v>
      </c>
      <c r="AN87" s="142" t="s">
        <v>75</v>
      </c>
      <c r="AO87" s="142" t="s">
        <v>84</v>
      </c>
      <c r="AP87" s="142" t="s">
        <v>81</v>
      </c>
      <c r="AQ87" s="142">
        <v>1</v>
      </c>
      <c r="AR87" s="142" t="s">
        <v>74</v>
      </c>
    </row>
    <row r="88" spans="1:44" s="143" customFormat="1" ht="25.05" customHeight="1" x14ac:dyDescent="0.3">
      <c r="A88" s="126" t="s">
        <v>730</v>
      </c>
      <c r="B88" s="125" t="s">
        <v>731</v>
      </c>
      <c r="C88" s="139">
        <v>2018</v>
      </c>
      <c r="D88" s="139" t="s">
        <v>377</v>
      </c>
      <c r="E88" s="139" t="s">
        <v>78</v>
      </c>
      <c r="F88" s="139" t="s">
        <v>544</v>
      </c>
      <c r="G88" s="139" t="s">
        <v>520</v>
      </c>
      <c r="H88" s="139" t="s">
        <v>597</v>
      </c>
      <c r="I88" s="126" t="s">
        <v>101</v>
      </c>
      <c r="J88" s="126" t="s">
        <v>689</v>
      </c>
      <c r="K88" s="126" t="s">
        <v>81</v>
      </c>
      <c r="L88" s="140" t="s">
        <v>74</v>
      </c>
      <c r="M88" s="140">
        <v>7000000</v>
      </c>
      <c r="N88" s="126">
        <v>7000000</v>
      </c>
      <c r="O88" s="126">
        <v>9968910</v>
      </c>
      <c r="P88" s="126">
        <v>7000000</v>
      </c>
      <c r="Q88" s="126">
        <v>7000000</v>
      </c>
      <c r="R88" s="126">
        <v>9968910</v>
      </c>
      <c r="S88" s="126">
        <v>7000000</v>
      </c>
      <c r="T88" s="126">
        <v>7000000</v>
      </c>
      <c r="U88" s="127">
        <v>9968910</v>
      </c>
      <c r="V88" s="140" t="s">
        <v>81</v>
      </c>
      <c r="W88" s="126" t="s">
        <v>78</v>
      </c>
      <c r="X88" s="126" t="s">
        <v>81</v>
      </c>
      <c r="Y88" s="126" t="s">
        <v>78</v>
      </c>
      <c r="Z88" s="126" t="s">
        <v>81</v>
      </c>
      <c r="AA88" s="126">
        <v>0</v>
      </c>
      <c r="AB88" s="141" t="s">
        <v>78</v>
      </c>
      <c r="AC88" s="126">
        <v>0</v>
      </c>
      <c r="AD88" s="139" t="s">
        <v>78</v>
      </c>
      <c r="AE88" s="126">
        <v>0</v>
      </c>
      <c r="AF88" s="126" t="s">
        <v>78</v>
      </c>
      <c r="AG88" s="126">
        <v>0</v>
      </c>
      <c r="AH88" s="142" t="s">
        <v>81</v>
      </c>
      <c r="AI88" s="142" t="s">
        <v>78</v>
      </c>
      <c r="AJ88" s="142" t="s">
        <v>81</v>
      </c>
      <c r="AK88" s="142" t="s">
        <v>78</v>
      </c>
      <c r="AL88" s="142" t="s">
        <v>78</v>
      </c>
      <c r="AM88" s="142" t="s">
        <v>81</v>
      </c>
      <c r="AN88" s="142" t="s">
        <v>81</v>
      </c>
      <c r="AO88" s="142" t="s">
        <v>78</v>
      </c>
      <c r="AP88" s="142" t="s">
        <v>81</v>
      </c>
      <c r="AQ88" s="142">
        <v>1</v>
      </c>
      <c r="AR88" s="142" t="s">
        <v>74</v>
      </c>
    </row>
    <row r="89" spans="1:44" s="143" customFormat="1" ht="25.05" customHeight="1" x14ac:dyDescent="0.3">
      <c r="A89" s="126" t="s">
        <v>1148</v>
      </c>
      <c r="B89" s="125" t="s">
        <v>1149</v>
      </c>
      <c r="C89" s="139">
        <v>2016</v>
      </c>
      <c r="D89" s="139" t="s">
        <v>184</v>
      </c>
      <c r="E89" s="139" t="s">
        <v>78</v>
      </c>
      <c r="F89" s="139" t="s">
        <v>554</v>
      </c>
      <c r="G89" s="139" t="s">
        <v>520</v>
      </c>
      <c r="H89" s="139" t="s">
        <v>597</v>
      </c>
      <c r="I89" s="126" t="s">
        <v>101</v>
      </c>
      <c r="J89" s="126" t="s">
        <v>689</v>
      </c>
      <c r="K89" s="126" t="s">
        <v>81</v>
      </c>
      <c r="L89" s="140" t="s">
        <v>126</v>
      </c>
      <c r="M89" s="140">
        <v>600000000</v>
      </c>
      <c r="N89" s="126">
        <v>432984780.58496249</v>
      </c>
      <c r="O89" s="126">
        <v>600000000</v>
      </c>
      <c r="P89" s="126">
        <v>433936746.5</v>
      </c>
      <c r="Q89" s="126">
        <v>433936746.5</v>
      </c>
      <c r="R89" s="126">
        <v>601319167.72744501</v>
      </c>
      <c r="S89" s="126">
        <v>433936746.5</v>
      </c>
      <c r="T89" s="126">
        <v>433936746.5</v>
      </c>
      <c r="U89" s="127">
        <v>601319167.72744501</v>
      </c>
      <c r="V89" s="140" t="s">
        <v>81</v>
      </c>
      <c r="W89" s="126" t="s">
        <v>78</v>
      </c>
      <c r="X89" s="126" t="s">
        <v>81</v>
      </c>
      <c r="Y89" s="126" t="s">
        <v>78</v>
      </c>
      <c r="Z89" s="126" t="s">
        <v>81</v>
      </c>
      <c r="AA89" s="126">
        <v>0</v>
      </c>
      <c r="AB89" s="141" t="s">
        <v>78</v>
      </c>
      <c r="AC89" s="126">
        <v>0</v>
      </c>
      <c r="AD89" s="139" t="s">
        <v>78</v>
      </c>
      <c r="AE89" s="126">
        <v>0</v>
      </c>
      <c r="AF89" s="126" t="s">
        <v>78</v>
      </c>
      <c r="AG89" s="126">
        <v>0</v>
      </c>
      <c r="AH89" s="142" t="s">
        <v>81</v>
      </c>
      <c r="AI89" s="142" t="s">
        <v>78</v>
      </c>
      <c r="AJ89" s="142" t="s">
        <v>81</v>
      </c>
      <c r="AK89" s="142" t="s">
        <v>78</v>
      </c>
      <c r="AL89" s="142" t="s">
        <v>78</v>
      </c>
      <c r="AM89" s="142" t="s">
        <v>81</v>
      </c>
      <c r="AN89" s="142" t="s">
        <v>81</v>
      </c>
      <c r="AO89" s="142" t="s">
        <v>78</v>
      </c>
      <c r="AP89" s="142" t="s">
        <v>81</v>
      </c>
      <c r="AQ89" s="142">
        <v>1</v>
      </c>
      <c r="AR89" s="142" t="s">
        <v>126</v>
      </c>
    </row>
    <row r="90" spans="1:44" s="143" customFormat="1" ht="25.05" customHeight="1" x14ac:dyDescent="0.3">
      <c r="A90" s="126" t="s">
        <v>411</v>
      </c>
      <c r="B90" s="126" t="s">
        <v>412</v>
      </c>
      <c r="C90" s="139">
        <v>2021</v>
      </c>
      <c r="D90" s="139" t="s">
        <v>113</v>
      </c>
      <c r="E90" s="139">
        <v>0</v>
      </c>
      <c r="F90" s="139" t="s">
        <v>565</v>
      </c>
      <c r="G90" s="139" t="s">
        <v>518</v>
      </c>
      <c r="H90" s="139" t="s">
        <v>216</v>
      </c>
      <c r="I90" s="126" t="s">
        <v>101</v>
      </c>
      <c r="J90" s="126" t="s">
        <v>103</v>
      </c>
      <c r="K90" s="126" t="s">
        <v>81</v>
      </c>
      <c r="L90" s="126" t="s">
        <v>104</v>
      </c>
      <c r="M90" s="126">
        <v>0</v>
      </c>
      <c r="N90" s="126">
        <v>0</v>
      </c>
      <c r="O90" s="126">
        <v>0</v>
      </c>
      <c r="P90" s="126" t="s">
        <v>659</v>
      </c>
      <c r="Q90" s="126" t="s">
        <v>659</v>
      </c>
      <c r="R90" s="126" t="s">
        <v>659</v>
      </c>
      <c r="S90" s="126">
        <v>60000000</v>
      </c>
      <c r="T90" s="126">
        <v>50682096.549393922</v>
      </c>
      <c r="U90" s="127">
        <v>72995903.197195575</v>
      </c>
      <c r="V90" s="126" t="s">
        <v>81</v>
      </c>
      <c r="W90" s="126">
        <v>0</v>
      </c>
      <c r="X90" s="126" t="s">
        <v>81</v>
      </c>
      <c r="Y90" s="126">
        <v>0</v>
      </c>
      <c r="Z90" s="126" t="s">
        <v>81</v>
      </c>
      <c r="AA90" s="126">
        <v>0</v>
      </c>
      <c r="AB90" s="141">
        <v>0</v>
      </c>
      <c r="AC90" s="126">
        <v>0</v>
      </c>
      <c r="AD90" s="139">
        <v>0</v>
      </c>
      <c r="AE90" s="126">
        <v>0</v>
      </c>
      <c r="AF90" s="126">
        <v>0</v>
      </c>
      <c r="AG90" s="126">
        <v>0</v>
      </c>
      <c r="AH90" s="142" t="s">
        <v>81</v>
      </c>
      <c r="AI90" s="142">
        <v>0</v>
      </c>
      <c r="AJ90" s="142" t="s">
        <v>81</v>
      </c>
      <c r="AK90" s="142">
        <v>0</v>
      </c>
      <c r="AL90" s="142" t="s">
        <v>121</v>
      </c>
      <c r="AM90" s="142" t="s">
        <v>75</v>
      </c>
      <c r="AN90" s="142" t="s">
        <v>75</v>
      </c>
      <c r="AO90" s="142" t="s">
        <v>84</v>
      </c>
      <c r="AP90" s="142" t="s">
        <v>81</v>
      </c>
      <c r="AQ90" s="142">
        <v>1</v>
      </c>
      <c r="AR90" s="142" t="s">
        <v>104</v>
      </c>
    </row>
    <row r="91" spans="1:44" s="143" customFormat="1" ht="25.05" customHeight="1" x14ac:dyDescent="0.3">
      <c r="A91" s="126" t="s">
        <v>1722</v>
      </c>
      <c r="B91" s="126" t="s">
        <v>1723</v>
      </c>
      <c r="C91" s="139">
        <v>2019</v>
      </c>
      <c r="D91" s="139" t="s">
        <v>314</v>
      </c>
      <c r="E91" s="139" t="s">
        <v>78</v>
      </c>
      <c r="F91" s="139" t="s">
        <v>557</v>
      </c>
      <c r="G91" s="139" t="s">
        <v>522</v>
      </c>
      <c r="H91" s="139" t="s">
        <v>585</v>
      </c>
      <c r="I91" s="126" t="s">
        <v>228</v>
      </c>
      <c r="J91" s="126" t="s">
        <v>1722</v>
      </c>
      <c r="K91" s="126" t="s">
        <v>81</v>
      </c>
      <c r="L91" s="126" t="s">
        <v>126</v>
      </c>
      <c r="M91" s="126">
        <v>60000000</v>
      </c>
      <c r="N91" s="126">
        <v>43140948.669461243</v>
      </c>
      <c r="O91" s="126">
        <v>60000000</v>
      </c>
      <c r="P91" s="126">
        <v>43703110</v>
      </c>
      <c r="Q91" s="126">
        <v>43703110</v>
      </c>
      <c r="R91" s="126">
        <v>60781848.356899999</v>
      </c>
      <c r="S91" s="126">
        <v>43703110</v>
      </c>
      <c r="T91" s="126">
        <v>43703110</v>
      </c>
      <c r="U91" s="127">
        <v>60781848.356899999</v>
      </c>
      <c r="V91" s="126" t="s">
        <v>81</v>
      </c>
      <c r="W91" s="126" t="s">
        <v>78</v>
      </c>
      <c r="X91" s="126" t="s">
        <v>75</v>
      </c>
      <c r="Y91" s="126" t="s">
        <v>1724</v>
      </c>
      <c r="Z91" s="126" t="s">
        <v>75</v>
      </c>
      <c r="AA91" s="126">
        <v>0</v>
      </c>
      <c r="AB91" s="141" t="s">
        <v>78</v>
      </c>
      <c r="AC91" s="126">
        <v>999</v>
      </c>
      <c r="AD91" s="139" t="s">
        <v>1725</v>
      </c>
      <c r="AE91" s="126">
        <v>0</v>
      </c>
      <c r="AF91" s="126" t="s">
        <v>78</v>
      </c>
      <c r="AG91" s="126">
        <v>1</v>
      </c>
      <c r="AH91" s="142" t="s">
        <v>81</v>
      </c>
      <c r="AI91" s="142" t="s">
        <v>78</v>
      </c>
      <c r="AJ91" s="142" t="s">
        <v>81</v>
      </c>
      <c r="AK91" s="142" t="s">
        <v>1423</v>
      </c>
      <c r="AL91" s="142" t="s">
        <v>397</v>
      </c>
      <c r="AM91" s="142" t="s">
        <v>75</v>
      </c>
      <c r="AN91" s="142" t="s">
        <v>81</v>
      </c>
      <c r="AO91" s="142" t="s">
        <v>78</v>
      </c>
      <c r="AP91" s="142" t="s">
        <v>81</v>
      </c>
      <c r="AQ91" s="142">
        <v>1</v>
      </c>
      <c r="AR91" s="142" t="s">
        <v>126</v>
      </c>
    </row>
    <row r="92" spans="1:44" s="143" customFormat="1" ht="25.05" customHeight="1" x14ac:dyDescent="0.3">
      <c r="A92" s="126" t="s">
        <v>1168</v>
      </c>
      <c r="B92" s="125" t="s">
        <v>1169</v>
      </c>
      <c r="C92" s="139">
        <v>2016</v>
      </c>
      <c r="D92" s="139" t="s">
        <v>371</v>
      </c>
      <c r="E92" s="139" t="s">
        <v>78</v>
      </c>
      <c r="F92" s="139" t="s">
        <v>542</v>
      </c>
      <c r="G92" s="139" t="s">
        <v>520</v>
      </c>
      <c r="H92" s="139" t="s">
        <v>72</v>
      </c>
      <c r="I92" s="126" t="s">
        <v>72</v>
      </c>
      <c r="J92" s="126" t="s">
        <v>689</v>
      </c>
      <c r="K92" s="126" t="s">
        <v>81</v>
      </c>
      <c r="L92" s="140" t="s">
        <v>126</v>
      </c>
      <c r="M92" s="140">
        <v>1000000</v>
      </c>
      <c r="N92" s="126">
        <v>721641.30097493739</v>
      </c>
      <c r="O92" s="126">
        <v>999999.99999999988</v>
      </c>
      <c r="P92" s="126">
        <v>723227.91</v>
      </c>
      <c r="Q92" s="126">
        <v>723227.91</v>
      </c>
      <c r="R92" s="126">
        <v>1002198.6117243</v>
      </c>
      <c r="S92" s="126">
        <v>723227.91</v>
      </c>
      <c r="T92" s="126">
        <v>723227.91</v>
      </c>
      <c r="U92" s="127">
        <v>1002198.6117243</v>
      </c>
      <c r="V92" s="140" t="s">
        <v>75</v>
      </c>
      <c r="W92" s="126" t="s">
        <v>1170</v>
      </c>
      <c r="X92" s="126" t="s">
        <v>81</v>
      </c>
      <c r="Y92" s="126" t="s">
        <v>78</v>
      </c>
      <c r="Z92" s="126" t="s">
        <v>75</v>
      </c>
      <c r="AA92" s="126">
        <v>999</v>
      </c>
      <c r="AB92" s="141" t="s">
        <v>1171</v>
      </c>
      <c r="AC92" s="126">
        <v>999</v>
      </c>
      <c r="AD92" s="139" t="s">
        <v>1172</v>
      </c>
      <c r="AE92" s="126">
        <v>0</v>
      </c>
      <c r="AF92" s="126" t="s">
        <v>78</v>
      </c>
      <c r="AG92" s="126">
        <v>2</v>
      </c>
      <c r="AH92" s="142" t="s">
        <v>75</v>
      </c>
      <c r="AI92" s="142" t="s">
        <v>1173</v>
      </c>
      <c r="AJ92" s="142" t="s">
        <v>75</v>
      </c>
      <c r="AK92" s="142" t="s">
        <v>72</v>
      </c>
      <c r="AL92" s="142" t="s">
        <v>1174</v>
      </c>
      <c r="AM92" s="142" t="s">
        <v>81</v>
      </c>
      <c r="AN92" s="142" t="s">
        <v>81</v>
      </c>
      <c r="AO92" s="142" t="s">
        <v>78</v>
      </c>
      <c r="AP92" s="142" t="s">
        <v>81</v>
      </c>
      <c r="AQ92" s="142">
        <v>1</v>
      </c>
      <c r="AR92" s="142" t="s">
        <v>126</v>
      </c>
    </row>
    <row r="93" spans="1:44" s="143" customFormat="1" ht="25.05" customHeight="1" x14ac:dyDescent="0.3">
      <c r="A93" s="126" t="s">
        <v>1140</v>
      </c>
      <c r="B93" s="125" t="s">
        <v>1141</v>
      </c>
      <c r="C93" s="139">
        <v>2016</v>
      </c>
      <c r="D93" s="139" t="s">
        <v>184</v>
      </c>
      <c r="E93" s="139" t="s">
        <v>78</v>
      </c>
      <c r="F93" s="139" t="s">
        <v>554</v>
      </c>
      <c r="G93" s="139" t="s">
        <v>520</v>
      </c>
      <c r="H93" s="139" t="s">
        <v>577</v>
      </c>
      <c r="I93" s="126" t="s">
        <v>115</v>
      </c>
      <c r="J93" s="126" t="s">
        <v>689</v>
      </c>
      <c r="K93" s="126" t="s">
        <v>81</v>
      </c>
      <c r="L93" s="140" t="s">
        <v>126</v>
      </c>
      <c r="M93" s="140">
        <v>1000000</v>
      </c>
      <c r="N93" s="126">
        <v>721641.30097493739</v>
      </c>
      <c r="O93" s="126">
        <v>999999.99999999988</v>
      </c>
      <c r="P93" s="126">
        <v>723227.91</v>
      </c>
      <c r="Q93" s="126">
        <v>723227.91</v>
      </c>
      <c r="R93" s="126">
        <v>1002198.6117243</v>
      </c>
      <c r="S93" s="126">
        <v>723227.91</v>
      </c>
      <c r="T93" s="126">
        <v>723227.91</v>
      </c>
      <c r="U93" s="127">
        <v>1002198.6117243</v>
      </c>
      <c r="V93" s="140" t="s">
        <v>75</v>
      </c>
      <c r="W93" s="126" t="s">
        <v>1142</v>
      </c>
      <c r="X93" s="126" t="s">
        <v>75</v>
      </c>
      <c r="Y93" s="126" t="s">
        <v>1143</v>
      </c>
      <c r="Z93" s="126" t="s">
        <v>75</v>
      </c>
      <c r="AA93" s="126">
        <v>0</v>
      </c>
      <c r="AB93" s="141" t="s">
        <v>78</v>
      </c>
      <c r="AC93" s="126">
        <v>999</v>
      </c>
      <c r="AD93" s="139" t="s">
        <v>1144</v>
      </c>
      <c r="AE93" s="126">
        <v>999</v>
      </c>
      <c r="AF93" s="126" t="s">
        <v>1145</v>
      </c>
      <c r="AG93" s="126">
        <v>2</v>
      </c>
      <c r="AH93" s="142" t="s">
        <v>75</v>
      </c>
      <c r="AI93" s="142" t="s">
        <v>1146</v>
      </c>
      <c r="AJ93" s="142" t="s">
        <v>75</v>
      </c>
      <c r="AK93" s="142" t="s">
        <v>72</v>
      </c>
      <c r="AL93" s="142" t="s">
        <v>1147</v>
      </c>
      <c r="AM93" s="142" t="s">
        <v>81</v>
      </c>
      <c r="AN93" s="142" t="s">
        <v>75</v>
      </c>
      <c r="AO93" s="142" t="s">
        <v>78</v>
      </c>
      <c r="AP93" s="142" t="s">
        <v>75</v>
      </c>
      <c r="AQ93" s="142">
        <v>1</v>
      </c>
      <c r="AR93" s="142" t="s">
        <v>126</v>
      </c>
    </row>
    <row r="94" spans="1:44" s="143" customFormat="1" ht="25.05" customHeight="1" x14ac:dyDescent="0.3">
      <c r="A94" s="126" t="s">
        <v>1624</v>
      </c>
      <c r="B94" s="126" t="s">
        <v>1625</v>
      </c>
      <c r="C94" s="139">
        <v>2019</v>
      </c>
      <c r="D94" s="139" t="s">
        <v>514</v>
      </c>
      <c r="E94" s="139" t="s">
        <v>78</v>
      </c>
      <c r="F94" s="139" t="s">
        <v>567</v>
      </c>
      <c r="G94" s="139" t="s">
        <v>522</v>
      </c>
      <c r="H94" s="139" t="s">
        <v>576</v>
      </c>
      <c r="I94" s="126" t="s">
        <v>72</v>
      </c>
      <c r="J94" s="126" t="s">
        <v>679</v>
      </c>
      <c r="K94" s="126" t="s">
        <v>81</v>
      </c>
      <c r="L94" s="126" t="s">
        <v>126</v>
      </c>
      <c r="M94" s="126">
        <v>1000000</v>
      </c>
      <c r="N94" s="126">
        <v>719015.81115768733</v>
      </c>
      <c r="O94" s="126">
        <v>1000000</v>
      </c>
      <c r="P94" s="126">
        <v>714408.18</v>
      </c>
      <c r="Q94" s="126">
        <v>714408.18</v>
      </c>
      <c r="R94" s="126">
        <v>993591.75266220002</v>
      </c>
      <c r="S94" s="126">
        <v>714408.18</v>
      </c>
      <c r="T94" s="126">
        <v>714408.18</v>
      </c>
      <c r="U94" s="127">
        <v>993591.75266220002</v>
      </c>
      <c r="V94" s="126" t="s">
        <v>75</v>
      </c>
      <c r="W94" s="126" t="s">
        <v>1626</v>
      </c>
      <c r="X94" s="126" t="s">
        <v>75</v>
      </c>
      <c r="Y94" s="126" t="s">
        <v>1627</v>
      </c>
      <c r="Z94" s="126" t="s">
        <v>75</v>
      </c>
      <c r="AA94" s="126">
        <v>0</v>
      </c>
      <c r="AB94" s="141" t="s">
        <v>78</v>
      </c>
      <c r="AC94" s="126">
        <v>999</v>
      </c>
      <c r="AD94" s="139" t="s">
        <v>1628</v>
      </c>
      <c r="AE94" s="126">
        <v>0</v>
      </c>
      <c r="AF94" s="126" t="s">
        <v>78</v>
      </c>
      <c r="AG94" s="126">
        <v>1</v>
      </c>
      <c r="AH94" s="142" t="s">
        <v>75</v>
      </c>
      <c r="AI94" s="142" t="s">
        <v>1629</v>
      </c>
      <c r="AJ94" s="142" t="s">
        <v>75</v>
      </c>
      <c r="AK94" s="142" t="s">
        <v>1630</v>
      </c>
      <c r="AL94" s="142" t="s">
        <v>121</v>
      </c>
      <c r="AM94" s="142" t="s">
        <v>81</v>
      </c>
      <c r="AN94" s="142" t="s">
        <v>81</v>
      </c>
      <c r="AO94" s="142" t="s">
        <v>78</v>
      </c>
      <c r="AP94" s="142" t="s">
        <v>75</v>
      </c>
      <c r="AQ94" s="142">
        <v>1</v>
      </c>
      <c r="AR94" s="142" t="s">
        <v>126</v>
      </c>
    </row>
    <row r="95" spans="1:44" s="143" customFormat="1" ht="25.05" customHeight="1" x14ac:dyDescent="0.3">
      <c r="A95" s="126" t="s">
        <v>800</v>
      </c>
      <c r="B95" s="125" t="s">
        <v>801</v>
      </c>
      <c r="C95" s="139">
        <v>2018</v>
      </c>
      <c r="D95" s="139" t="s">
        <v>314</v>
      </c>
      <c r="E95" s="139" t="s">
        <v>78</v>
      </c>
      <c r="F95" s="139" t="s">
        <v>557</v>
      </c>
      <c r="G95" s="139" t="s">
        <v>522</v>
      </c>
      <c r="H95" s="139" t="s">
        <v>115</v>
      </c>
      <c r="I95" s="126" t="s">
        <v>115</v>
      </c>
      <c r="J95" s="126" t="s">
        <v>689</v>
      </c>
      <c r="K95" s="126" t="s">
        <v>81</v>
      </c>
      <c r="L95" s="140" t="s">
        <v>126</v>
      </c>
      <c r="M95" s="140">
        <v>1000000</v>
      </c>
      <c r="N95" s="126">
        <v>702183.08721816132</v>
      </c>
      <c r="O95" s="126">
        <v>1000000</v>
      </c>
      <c r="P95" s="126">
        <v>723227.91</v>
      </c>
      <c r="Q95" s="126">
        <v>723227.91</v>
      </c>
      <c r="R95" s="126">
        <v>1029970.5634682999</v>
      </c>
      <c r="S95" s="126">
        <v>723227.91</v>
      </c>
      <c r="T95" s="126">
        <v>723227.91</v>
      </c>
      <c r="U95" s="127">
        <v>1029970.5634682999</v>
      </c>
      <c r="V95" s="140" t="s">
        <v>75</v>
      </c>
      <c r="W95" s="126" t="s">
        <v>802</v>
      </c>
      <c r="X95" s="126" t="s">
        <v>81</v>
      </c>
      <c r="Y95" s="126" t="s">
        <v>78</v>
      </c>
      <c r="Z95" s="126" t="s">
        <v>75</v>
      </c>
      <c r="AA95" s="126">
        <v>0</v>
      </c>
      <c r="AB95" s="141" t="s">
        <v>78</v>
      </c>
      <c r="AC95" s="126">
        <v>999</v>
      </c>
      <c r="AD95" s="139" t="s">
        <v>803</v>
      </c>
      <c r="AE95" s="126">
        <v>999</v>
      </c>
      <c r="AF95" s="126" t="s">
        <v>804</v>
      </c>
      <c r="AG95" s="126">
        <v>2</v>
      </c>
      <c r="AH95" s="142" t="s">
        <v>81</v>
      </c>
      <c r="AI95" s="142" t="s">
        <v>78</v>
      </c>
      <c r="AJ95" s="142" t="s">
        <v>81</v>
      </c>
      <c r="AK95" s="142" t="s">
        <v>78</v>
      </c>
      <c r="AL95" s="142" t="s">
        <v>78</v>
      </c>
      <c r="AM95" s="142" t="s">
        <v>81</v>
      </c>
      <c r="AN95" s="142" t="s">
        <v>81</v>
      </c>
      <c r="AO95" s="142" t="s">
        <v>78</v>
      </c>
      <c r="AP95" s="142" t="s">
        <v>81</v>
      </c>
      <c r="AQ95" s="142">
        <v>1</v>
      </c>
      <c r="AR95" s="142" t="s">
        <v>126</v>
      </c>
    </row>
    <row r="96" spans="1:44" s="143" customFormat="1" ht="25.05" customHeight="1" x14ac:dyDescent="0.3">
      <c r="A96" s="126" t="s">
        <v>153</v>
      </c>
      <c r="B96" s="126" t="s">
        <v>154</v>
      </c>
      <c r="C96" s="139">
        <v>2020</v>
      </c>
      <c r="D96" s="139" t="s">
        <v>155</v>
      </c>
      <c r="E96" s="139">
        <v>0</v>
      </c>
      <c r="F96" s="139" t="s">
        <v>559</v>
      </c>
      <c r="G96" s="139" t="s">
        <v>520</v>
      </c>
      <c r="H96" s="139" t="s">
        <v>125</v>
      </c>
      <c r="I96" s="126" t="s">
        <v>72</v>
      </c>
      <c r="J96" s="126" t="s">
        <v>103</v>
      </c>
      <c r="K96" s="126" t="s">
        <v>81</v>
      </c>
      <c r="L96" s="126" t="s">
        <v>74</v>
      </c>
      <c r="M96" s="126">
        <v>70000000</v>
      </c>
      <c r="N96" s="126">
        <v>70000000</v>
      </c>
      <c r="O96" s="126">
        <v>96798100</v>
      </c>
      <c r="P96" s="126" t="s">
        <v>659</v>
      </c>
      <c r="Q96" s="126" t="s">
        <v>659</v>
      </c>
      <c r="R96" s="126" t="s">
        <v>659</v>
      </c>
      <c r="S96" s="126">
        <v>88000000</v>
      </c>
      <c r="T96" s="126">
        <v>71204324.044405594</v>
      </c>
      <c r="U96" s="127">
        <v>98463475.418325394</v>
      </c>
      <c r="V96" s="126" t="s">
        <v>75</v>
      </c>
      <c r="W96" s="126" t="s">
        <v>156</v>
      </c>
      <c r="X96" s="126" t="s">
        <v>75</v>
      </c>
      <c r="Y96" s="126" t="s">
        <v>157</v>
      </c>
      <c r="Z96" s="126" t="s">
        <v>75</v>
      </c>
      <c r="AA96" s="126">
        <v>0</v>
      </c>
      <c r="AB96" s="141" t="s">
        <v>78</v>
      </c>
      <c r="AC96" s="126">
        <v>0</v>
      </c>
      <c r="AD96" s="139" t="s">
        <v>78</v>
      </c>
      <c r="AE96" s="126">
        <v>2</v>
      </c>
      <c r="AF96" s="126" t="s">
        <v>158</v>
      </c>
      <c r="AG96" s="126">
        <v>2</v>
      </c>
      <c r="AH96" s="142" t="s">
        <v>81</v>
      </c>
      <c r="AI96" s="142">
        <v>0</v>
      </c>
      <c r="AJ96" s="142" t="s">
        <v>75</v>
      </c>
      <c r="AK96" s="142" t="s">
        <v>159</v>
      </c>
      <c r="AL96" s="142" t="s">
        <v>160</v>
      </c>
      <c r="AM96" s="142" t="s">
        <v>75</v>
      </c>
      <c r="AN96" s="142" t="s">
        <v>81</v>
      </c>
      <c r="AO96" s="142" t="s">
        <v>84</v>
      </c>
      <c r="AP96" s="142" t="s">
        <v>81</v>
      </c>
      <c r="AQ96" s="142">
        <v>1</v>
      </c>
      <c r="AR96" s="142" t="s">
        <v>104</v>
      </c>
    </row>
    <row r="97" spans="1:44" s="143" customFormat="1" ht="25.05" customHeight="1" x14ac:dyDescent="0.3">
      <c r="A97" s="126" t="s">
        <v>1571</v>
      </c>
      <c r="B97" s="126" t="s">
        <v>1572</v>
      </c>
      <c r="C97" s="139">
        <v>2019</v>
      </c>
      <c r="D97" s="139" t="s">
        <v>481</v>
      </c>
      <c r="E97" s="139" t="s">
        <v>78</v>
      </c>
      <c r="F97" s="139" t="s">
        <v>524</v>
      </c>
      <c r="G97" s="139" t="s">
        <v>519</v>
      </c>
      <c r="H97" s="139" t="s">
        <v>228</v>
      </c>
      <c r="I97" s="126" t="s">
        <v>228</v>
      </c>
      <c r="J97" s="126" t="s">
        <v>676</v>
      </c>
      <c r="K97" s="126" t="s">
        <v>75</v>
      </c>
      <c r="L97" s="126" t="s">
        <v>126</v>
      </c>
      <c r="M97" s="126">
        <v>1000000</v>
      </c>
      <c r="N97" s="126">
        <v>719015.81115768733</v>
      </c>
      <c r="O97" s="126">
        <v>1000000</v>
      </c>
      <c r="P97" s="126">
        <v>719015.8112</v>
      </c>
      <c r="Q97" s="126">
        <v>719015.8112</v>
      </c>
      <c r="R97" s="126">
        <v>1000000.0000588479</v>
      </c>
      <c r="S97" s="126">
        <v>0</v>
      </c>
      <c r="T97" s="126">
        <v>0</v>
      </c>
      <c r="U97" s="127">
        <v>0</v>
      </c>
      <c r="V97" s="126" t="s">
        <v>75</v>
      </c>
      <c r="W97" s="126" t="s">
        <v>1573</v>
      </c>
      <c r="X97" s="126" t="s">
        <v>75</v>
      </c>
      <c r="Y97" s="126" t="s">
        <v>1574</v>
      </c>
      <c r="Z97" s="126" t="s">
        <v>75</v>
      </c>
      <c r="AA97" s="126">
        <v>999</v>
      </c>
      <c r="AB97" s="141" t="s">
        <v>1575</v>
      </c>
      <c r="AC97" s="126">
        <v>999</v>
      </c>
      <c r="AD97" s="139" t="s">
        <v>1576</v>
      </c>
      <c r="AE97" s="126">
        <v>999</v>
      </c>
      <c r="AF97" s="126" t="s">
        <v>1577</v>
      </c>
      <c r="AG97" s="126">
        <v>3</v>
      </c>
      <c r="AH97" s="142" t="s">
        <v>75</v>
      </c>
      <c r="AI97" s="142" t="s">
        <v>1578</v>
      </c>
      <c r="AJ97" s="142" t="s">
        <v>75</v>
      </c>
      <c r="AK97" s="142" t="s">
        <v>1579</v>
      </c>
      <c r="AL97" s="142" t="s">
        <v>132</v>
      </c>
      <c r="AM97" s="142" t="s">
        <v>75</v>
      </c>
      <c r="AN97" s="142" t="s">
        <v>75</v>
      </c>
      <c r="AO97" s="142" t="s">
        <v>78</v>
      </c>
      <c r="AP97" s="142" t="s">
        <v>75</v>
      </c>
      <c r="AQ97" s="142">
        <v>1</v>
      </c>
      <c r="AR97" s="142" t="s">
        <v>126</v>
      </c>
    </row>
    <row r="98" spans="1:44" s="143" customFormat="1" ht="25.05" customHeight="1" x14ac:dyDescent="0.3">
      <c r="A98" s="126" t="s">
        <v>1321</v>
      </c>
      <c r="B98" s="125" t="s">
        <v>1322</v>
      </c>
      <c r="C98" s="139">
        <v>2015</v>
      </c>
      <c r="D98" s="145" t="s">
        <v>254</v>
      </c>
      <c r="E98" s="139" t="s">
        <v>78</v>
      </c>
      <c r="F98" s="139" t="s">
        <v>555</v>
      </c>
      <c r="G98" s="139" t="s">
        <v>522</v>
      </c>
      <c r="H98" s="139" t="s">
        <v>585</v>
      </c>
      <c r="I98" s="126" t="s">
        <v>228</v>
      </c>
      <c r="J98" s="126" t="s">
        <v>689</v>
      </c>
      <c r="K98" s="126" t="s">
        <v>81</v>
      </c>
      <c r="L98" s="140" t="s">
        <v>126</v>
      </c>
      <c r="M98" s="140">
        <v>1000000</v>
      </c>
      <c r="N98" s="126">
        <v>690221.6301654462</v>
      </c>
      <c r="O98" s="126">
        <v>1000000.0000000001</v>
      </c>
      <c r="P98" s="126">
        <v>723227.91</v>
      </c>
      <c r="Q98" s="126">
        <v>723227.91</v>
      </c>
      <c r="R98" s="126">
        <v>1047819.8282871</v>
      </c>
      <c r="S98" s="126">
        <v>723227.91</v>
      </c>
      <c r="T98" s="126">
        <v>723227.91</v>
      </c>
      <c r="U98" s="127">
        <v>1047819.8282871</v>
      </c>
      <c r="V98" s="140" t="s">
        <v>81</v>
      </c>
      <c r="W98" s="126" t="s">
        <v>78</v>
      </c>
      <c r="X98" s="126" t="s">
        <v>81</v>
      </c>
      <c r="Y98" s="126" t="s">
        <v>78</v>
      </c>
      <c r="Z98" s="126" t="s">
        <v>81</v>
      </c>
      <c r="AA98" s="126">
        <v>0</v>
      </c>
      <c r="AB98" s="141" t="s">
        <v>78</v>
      </c>
      <c r="AC98" s="126">
        <v>0</v>
      </c>
      <c r="AD98" s="139" t="s">
        <v>78</v>
      </c>
      <c r="AE98" s="126">
        <v>0</v>
      </c>
      <c r="AF98" s="126" t="s">
        <v>78</v>
      </c>
      <c r="AG98" s="126">
        <v>0</v>
      </c>
      <c r="AH98" s="142" t="s">
        <v>81</v>
      </c>
      <c r="AI98" s="142" t="s">
        <v>78</v>
      </c>
      <c r="AJ98" s="142" t="s">
        <v>81</v>
      </c>
      <c r="AK98" s="142" t="s">
        <v>78</v>
      </c>
      <c r="AL98" s="142" t="s">
        <v>78</v>
      </c>
      <c r="AM98" s="142" t="s">
        <v>81</v>
      </c>
      <c r="AN98" s="142" t="s">
        <v>81</v>
      </c>
      <c r="AO98" s="142" t="s">
        <v>78</v>
      </c>
      <c r="AP98" s="142" t="s">
        <v>81</v>
      </c>
      <c r="AQ98" s="142">
        <v>1</v>
      </c>
      <c r="AR98" s="142" t="s">
        <v>126</v>
      </c>
    </row>
    <row r="99" spans="1:44" s="143" customFormat="1" ht="25.05" customHeight="1" x14ac:dyDescent="0.3">
      <c r="A99" s="126" t="s">
        <v>1000</v>
      </c>
      <c r="B99" s="125" t="s">
        <v>1001</v>
      </c>
      <c r="C99" s="139">
        <v>2017</v>
      </c>
      <c r="D99" s="139" t="s">
        <v>179</v>
      </c>
      <c r="E99" s="139" t="s">
        <v>78</v>
      </c>
      <c r="F99" s="139" t="s">
        <v>561</v>
      </c>
      <c r="G99" s="139" t="s">
        <v>522</v>
      </c>
      <c r="H99" s="139" t="s">
        <v>228</v>
      </c>
      <c r="I99" s="126" t="s">
        <v>228</v>
      </c>
      <c r="J99" s="126" t="s">
        <v>689</v>
      </c>
      <c r="K99" s="126" t="s">
        <v>81</v>
      </c>
      <c r="L99" s="140" t="s">
        <v>126</v>
      </c>
      <c r="M99" s="140">
        <v>1000000</v>
      </c>
      <c r="N99" s="126">
        <v>743864.97362998663</v>
      </c>
      <c r="O99" s="126">
        <v>1000000</v>
      </c>
      <c r="P99" s="126">
        <v>723227.91</v>
      </c>
      <c r="Q99" s="126">
        <v>723227.91</v>
      </c>
      <c r="R99" s="126">
        <v>972256.97625030007</v>
      </c>
      <c r="S99" s="126">
        <v>723227.91</v>
      </c>
      <c r="T99" s="126">
        <v>723227.91</v>
      </c>
      <c r="U99" s="127">
        <v>972256.97625030007</v>
      </c>
      <c r="V99" s="140" t="s">
        <v>75</v>
      </c>
      <c r="W99" s="126" t="s">
        <v>1002</v>
      </c>
      <c r="X99" s="126" t="s">
        <v>75</v>
      </c>
      <c r="Y99" s="126" t="s">
        <v>1003</v>
      </c>
      <c r="Z99" s="126" t="s">
        <v>75</v>
      </c>
      <c r="AA99" s="126">
        <v>999</v>
      </c>
      <c r="AB99" s="141" t="s">
        <v>1004</v>
      </c>
      <c r="AC99" s="126">
        <v>0</v>
      </c>
      <c r="AD99" s="139" t="s">
        <v>78</v>
      </c>
      <c r="AE99" s="126">
        <v>0</v>
      </c>
      <c r="AF99" s="126" t="s">
        <v>78</v>
      </c>
      <c r="AG99" s="126">
        <v>1</v>
      </c>
      <c r="AH99" s="142" t="s">
        <v>75</v>
      </c>
      <c r="AI99" s="142" t="s">
        <v>1005</v>
      </c>
      <c r="AJ99" s="142" t="s">
        <v>75</v>
      </c>
      <c r="AK99" s="142" t="s">
        <v>795</v>
      </c>
      <c r="AL99" s="142" t="s">
        <v>704</v>
      </c>
      <c r="AM99" s="142" t="s">
        <v>81</v>
      </c>
      <c r="AN99" s="142" t="s">
        <v>81</v>
      </c>
      <c r="AO99" s="142" t="s">
        <v>78</v>
      </c>
      <c r="AP99" s="142" t="s">
        <v>75</v>
      </c>
      <c r="AQ99" s="142">
        <v>1</v>
      </c>
      <c r="AR99" s="142" t="s">
        <v>126</v>
      </c>
    </row>
    <row r="100" spans="1:44" s="143" customFormat="1" ht="25.05" customHeight="1" x14ac:dyDescent="0.3">
      <c r="A100" s="126" t="s">
        <v>1187</v>
      </c>
      <c r="B100" s="125" t="s">
        <v>1188</v>
      </c>
      <c r="C100" s="139">
        <v>2016</v>
      </c>
      <c r="D100" s="139" t="s">
        <v>419</v>
      </c>
      <c r="E100" s="139" t="s">
        <v>78</v>
      </c>
      <c r="F100" s="139" t="s">
        <v>563</v>
      </c>
      <c r="G100" s="139" t="s">
        <v>519</v>
      </c>
      <c r="H100" s="139" t="s">
        <v>228</v>
      </c>
      <c r="I100" s="126" t="s">
        <v>228</v>
      </c>
      <c r="J100" s="126" t="s">
        <v>689</v>
      </c>
      <c r="K100" s="126" t="s">
        <v>81</v>
      </c>
      <c r="L100" s="140" t="s">
        <v>126</v>
      </c>
      <c r="M100" s="140">
        <v>1000000</v>
      </c>
      <c r="N100" s="126">
        <v>721641.30097493739</v>
      </c>
      <c r="O100" s="126">
        <v>999999.99999999988</v>
      </c>
      <c r="P100" s="126">
        <v>723227.91</v>
      </c>
      <c r="Q100" s="126">
        <v>723227.91</v>
      </c>
      <c r="R100" s="126">
        <v>1002198.6117243</v>
      </c>
      <c r="S100" s="126">
        <v>723227.91</v>
      </c>
      <c r="T100" s="126">
        <v>723227.91</v>
      </c>
      <c r="U100" s="127">
        <v>1002198.6117243</v>
      </c>
      <c r="V100" s="140" t="s">
        <v>75</v>
      </c>
      <c r="W100" s="126" t="s">
        <v>1189</v>
      </c>
      <c r="X100" s="126" t="s">
        <v>75</v>
      </c>
      <c r="Y100" s="126" t="s">
        <v>1190</v>
      </c>
      <c r="Z100" s="126" t="s">
        <v>75</v>
      </c>
      <c r="AA100" s="126">
        <v>0</v>
      </c>
      <c r="AB100" s="141" t="s">
        <v>78</v>
      </c>
      <c r="AC100" s="126">
        <v>999</v>
      </c>
      <c r="AD100" s="139" t="s">
        <v>1191</v>
      </c>
      <c r="AE100" s="126">
        <v>999</v>
      </c>
      <c r="AF100" s="126" t="s">
        <v>1192</v>
      </c>
      <c r="AG100" s="126">
        <v>2</v>
      </c>
      <c r="AH100" s="142" t="s">
        <v>75</v>
      </c>
      <c r="AI100" s="142" t="s">
        <v>1193</v>
      </c>
      <c r="AJ100" s="142" t="s">
        <v>75</v>
      </c>
      <c r="AK100" s="142" t="s">
        <v>795</v>
      </c>
      <c r="AL100" s="142" t="s">
        <v>796</v>
      </c>
      <c r="AM100" s="142" t="s">
        <v>81</v>
      </c>
      <c r="AN100" s="142" t="s">
        <v>81</v>
      </c>
      <c r="AO100" s="142" t="s">
        <v>78</v>
      </c>
      <c r="AP100" s="142" t="s">
        <v>75</v>
      </c>
      <c r="AQ100" s="142">
        <v>1</v>
      </c>
      <c r="AR100" s="142" t="s">
        <v>126</v>
      </c>
    </row>
    <row r="101" spans="1:44" s="143" customFormat="1" ht="25.05" customHeight="1" x14ac:dyDescent="0.3">
      <c r="A101" s="126" t="s">
        <v>979</v>
      </c>
      <c r="B101" s="125" t="s">
        <v>980</v>
      </c>
      <c r="C101" s="139">
        <v>2017</v>
      </c>
      <c r="D101" s="139" t="s">
        <v>509</v>
      </c>
      <c r="E101" s="139" t="s">
        <v>78</v>
      </c>
      <c r="F101" s="139" t="s">
        <v>560</v>
      </c>
      <c r="G101" s="139" t="s">
        <v>522</v>
      </c>
      <c r="H101" s="139" t="s">
        <v>580</v>
      </c>
      <c r="I101" s="126" t="s">
        <v>115</v>
      </c>
      <c r="J101" s="126" t="s">
        <v>689</v>
      </c>
      <c r="K101" s="126" t="s">
        <v>81</v>
      </c>
      <c r="L101" s="140" t="s">
        <v>126</v>
      </c>
      <c r="M101" s="140">
        <v>1000000</v>
      </c>
      <c r="N101" s="126">
        <v>743864.97362998663</v>
      </c>
      <c r="O101" s="126">
        <v>1000000</v>
      </c>
      <c r="P101" s="126">
        <v>723227.91</v>
      </c>
      <c r="Q101" s="126">
        <v>723227.91</v>
      </c>
      <c r="R101" s="126">
        <v>972256.97625030007</v>
      </c>
      <c r="S101" s="126">
        <v>723227.91</v>
      </c>
      <c r="T101" s="126">
        <v>723227.91</v>
      </c>
      <c r="U101" s="127">
        <v>972256.97625030007</v>
      </c>
      <c r="V101" s="140" t="s">
        <v>75</v>
      </c>
      <c r="W101" s="126" t="s">
        <v>981</v>
      </c>
      <c r="X101" s="126" t="s">
        <v>75</v>
      </c>
      <c r="Y101" s="126" t="s">
        <v>982</v>
      </c>
      <c r="Z101" s="126" t="s">
        <v>75</v>
      </c>
      <c r="AA101" s="126">
        <v>999</v>
      </c>
      <c r="AB101" s="141" t="s">
        <v>983</v>
      </c>
      <c r="AC101" s="126">
        <v>0</v>
      </c>
      <c r="AD101" s="139" t="s">
        <v>78</v>
      </c>
      <c r="AE101" s="126">
        <v>0</v>
      </c>
      <c r="AF101" s="126" t="s">
        <v>78</v>
      </c>
      <c r="AG101" s="126">
        <v>1</v>
      </c>
      <c r="AH101" s="142" t="s">
        <v>75</v>
      </c>
      <c r="AI101" s="142" t="s">
        <v>984</v>
      </c>
      <c r="AJ101" s="142" t="s">
        <v>75</v>
      </c>
      <c r="AK101" s="142" t="s">
        <v>795</v>
      </c>
      <c r="AL101" s="142" t="s">
        <v>704</v>
      </c>
      <c r="AM101" s="142" t="s">
        <v>81</v>
      </c>
      <c r="AN101" s="142" t="s">
        <v>81</v>
      </c>
      <c r="AO101" s="142" t="s">
        <v>78</v>
      </c>
      <c r="AP101" s="142" t="s">
        <v>75</v>
      </c>
      <c r="AQ101" s="142">
        <v>1</v>
      </c>
      <c r="AR101" s="142" t="s">
        <v>126</v>
      </c>
    </row>
    <row r="102" spans="1:44" s="143" customFormat="1" ht="25.05" customHeight="1" x14ac:dyDescent="0.3">
      <c r="A102" s="126" t="s">
        <v>788</v>
      </c>
      <c r="B102" s="125" t="s">
        <v>789</v>
      </c>
      <c r="C102" s="139">
        <v>2018</v>
      </c>
      <c r="D102" s="139" t="s">
        <v>509</v>
      </c>
      <c r="E102" s="139" t="s">
        <v>78</v>
      </c>
      <c r="F102" s="139" t="s">
        <v>560</v>
      </c>
      <c r="G102" s="139" t="s">
        <v>522</v>
      </c>
      <c r="H102" s="139" t="s">
        <v>580</v>
      </c>
      <c r="I102" s="126" t="s">
        <v>115</v>
      </c>
      <c r="J102" s="126" t="s">
        <v>689</v>
      </c>
      <c r="K102" s="126" t="s">
        <v>81</v>
      </c>
      <c r="L102" s="140" t="s">
        <v>126</v>
      </c>
      <c r="M102" s="140">
        <v>1000000</v>
      </c>
      <c r="N102" s="126">
        <v>702183.08721816132</v>
      </c>
      <c r="O102" s="126">
        <v>1000000</v>
      </c>
      <c r="P102" s="126">
        <v>723227.91</v>
      </c>
      <c r="Q102" s="126">
        <v>723227.91</v>
      </c>
      <c r="R102" s="126">
        <v>1029970.5634682999</v>
      </c>
      <c r="S102" s="126">
        <v>723227.91</v>
      </c>
      <c r="T102" s="126">
        <v>723227.91</v>
      </c>
      <c r="U102" s="127">
        <v>1029970.5634682999</v>
      </c>
      <c r="V102" s="140" t="s">
        <v>75</v>
      </c>
      <c r="W102" s="126" t="s">
        <v>790</v>
      </c>
      <c r="X102" s="126" t="s">
        <v>75</v>
      </c>
      <c r="Y102" s="126" t="s">
        <v>791</v>
      </c>
      <c r="Z102" s="126" t="s">
        <v>75</v>
      </c>
      <c r="AA102" s="126">
        <v>0</v>
      </c>
      <c r="AB102" s="141" t="s">
        <v>78</v>
      </c>
      <c r="AC102" s="126">
        <v>999</v>
      </c>
      <c r="AD102" s="139" t="s">
        <v>792</v>
      </c>
      <c r="AE102" s="126">
        <v>999</v>
      </c>
      <c r="AF102" s="126" t="s">
        <v>793</v>
      </c>
      <c r="AG102" s="126">
        <v>3</v>
      </c>
      <c r="AH102" s="142" t="s">
        <v>75</v>
      </c>
      <c r="AI102" s="142" t="s">
        <v>794</v>
      </c>
      <c r="AJ102" s="142" t="s">
        <v>75</v>
      </c>
      <c r="AK102" s="142" t="s">
        <v>795</v>
      </c>
      <c r="AL102" s="142" t="s">
        <v>796</v>
      </c>
      <c r="AM102" s="142" t="s">
        <v>81</v>
      </c>
      <c r="AN102" s="142" t="s">
        <v>81</v>
      </c>
      <c r="AO102" s="142" t="s">
        <v>78</v>
      </c>
      <c r="AP102" s="142" t="s">
        <v>75</v>
      </c>
      <c r="AQ102" s="142">
        <v>1</v>
      </c>
      <c r="AR102" s="142" t="s">
        <v>126</v>
      </c>
    </row>
    <row r="103" spans="1:44" s="143" customFormat="1" ht="25.05" customHeight="1" x14ac:dyDescent="0.3">
      <c r="A103" s="126" t="s">
        <v>1194</v>
      </c>
      <c r="B103" s="125" t="s">
        <v>1195</v>
      </c>
      <c r="C103" s="139">
        <v>2016</v>
      </c>
      <c r="D103" s="139" t="s">
        <v>445</v>
      </c>
      <c r="E103" s="139" t="s">
        <v>78</v>
      </c>
      <c r="F103" s="139" t="s">
        <v>552</v>
      </c>
      <c r="G103" s="139" t="s">
        <v>519</v>
      </c>
      <c r="H103" s="139" t="s">
        <v>228</v>
      </c>
      <c r="I103" s="126" t="s">
        <v>228</v>
      </c>
      <c r="J103" s="126" t="s">
        <v>689</v>
      </c>
      <c r="K103" s="126" t="s">
        <v>81</v>
      </c>
      <c r="L103" s="140" t="s">
        <v>126</v>
      </c>
      <c r="M103" s="140">
        <v>1000000</v>
      </c>
      <c r="N103" s="126">
        <v>721641.30097493739</v>
      </c>
      <c r="O103" s="126">
        <v>999999.99999999988</v>
      </c>
      <c r="P103" s="126">
        <v>723227.91</v>
      </c>
      <c r="Q103" s="126">
        <v>723227.91</v>
      </c>
      <c r="R103" s="126">
        <v>1002198.6117243</v>
      </c>
      <c r="S103" s="126">
        <v>723227.91</v>
      </c>
      <c r="T103" s="126">
        <v>723227.91</v>
      </c>
      <c r="U103" s="127">
        <v>1002198.6117243</v>
      </c>
      <c r="V103" s="140" t="s">
        <v>81</v>
      </c>
      <c r="W103" s="126" t="s">
        <v>78</v>
      </c>
      <c r="X103" s="126" t="s">
        <v>81</v>
      </c>
      <c r="Y103" s="126" t="s">
        <v>78</v>
      </c>
      <c r="Z103" s="126" t="s">
        <v>81</v>
      </c>
      <c r="AA103" s="126">
        <v>0</v>
      </c>
      <c r="AB103" s="141" t="s">
        <v>78</v>
      </c>
      <c r="AC103" s="126">
        <v>0</v>
      </c>
      <c r="AD103" s="139" t="s">
        <v>78</v>
      </c>
      <c r="AE103" s="126">
        <v>0</v>
      </c>
      <c r="AF103" s="126" t="s">
        <v>78</v>
      </c>
      <c r="AG103" s="126">
        <v>0</v>
      </c>
      <c r="AH103" s="142" t="s">
        <v>81</v>
      </c>
      <c r="AI103" s="142" t="s">
        <v>78</v>
      </c>
      <c r="AJ103" s="142" t="s">
        <v>81</v>
      </c>
      <c r="AK103" s="142" t="s">
        <v>78</v>
      </c>
      <c r="AL103" s="142" t="s">
        <v>78</v>
      </c>
      <c r="AM103" s="142" t="s">
        <v>81</v>
      </c>
      <c r="AN103" s="142" t="s">
        <v>81</v>
      </c>
      <c r="AO103" s="142" t="s">
        <v>78</v>
      </c>
      <c r="AP103" s="142" t="s">
        <v>81</v>
      </c>
      <c r="AQ103" s="142">
        <v>1</v>
      </c>
      <c r="AR103" s="142" t="s">
        <v>126</v>
      </c>
    </row>
    <row r="104" spans="1:44" s="143" customFormat="1" ht="25.05" customHeight="1" x14ac:dyDescent="0.3">
      <c r="A104" s="126" t="s">
        <v>312</v>
      </c>
      <c r="B104" s="126" t="s">
        <v>313</v>
      </c>
      <c r="C104" s="139">
        <v>2020</v>
      </c>
      <c r="D104" s="139" t="s">
        <v>314</v>
      </c>
      <c r="E104" s="139">
        <v>0</v>
      </c>
      <c r="F104" s="139" t="s">
        <v>557</v>
      </c>
      <c r="G104" s="139" t="s">
        <v>522</v>
      </c>
      <c r="H104" s="139" t="s">
        <v>216</v>
      </c>
      <c r="I104" s="126" t="s">
        <v>101</v>
      </c>
      <c r="J104" s="126" t="s">
        <v>180</v>
      </c>
      <c r="K104" s="126" t="s">
        <v>81</v>
      </c>
      <c r="L104" s="126" t="s">
        <v>74</v>
      </c>
      <c r="M104" s="126">
        <v>20000000</v>
      </c>
      <c r="N104" s="126">
        <v>20000000</v>
      </c>
      <c r="O104" s="126">
        <v>27656600</v>
      </c>
      <c r="P104" s="126" t="s">
        <v>659</v>
      </c>
      <c r="Q104" s="126" t="s">
        <v>659</v>
      </c>
      <c r="R104" s="126" t="s">
        <v>659</v>
      </c>
      <c r="S104" s="126">
        <v>20000000</v>
      </c>
      <c r="T104" s="126">
        <v>20000000</v>
      </c>
      <c r="U104" s="127">
        <v>27656600</v>
      </c>
      <c r="V104" s="126" t="s">
        <v>81</v>
      </c>
      <c r="W104" s="126">
        <v>0</v>
      </c>
      <c r="X104" s="126" t="s">
        <v>81</v>
      </c>
      <c r="Y104" s="126">
        <v>0</v>
      </c>
      <c r="Z104" s="126" t="s">
        <v>81</v>
      </c>
      <c r="AA104" s="126">
        <v>0</v>
      </c>
      <c r="AB104" s="141">
        <v>0</v>
      </c>
      <c r="AC104" s="126">
        <v>0</v>
      </c>
      <c r="AD104" s="139">
        <v>0</v>
      </c>
      <c r="AE104" s="126">
        <v>0</v>
      </c>
      <c r="AF104" s="126">
        <v>0</v>
      </c>
      <c r="AG104" s="126">
        <v>0</v>
      </c>
      <c r="AH104" s="142" t="s">
        <v>81</v>
      </c>
      <c r="AI104" s="142">
        <v>0</v>
      </c>
      <c r="AJ104" s="142" t="s">
        <v>81</v>
      </c>
      <c r="AK104" s="142">
        <v>0</v>
      </c>
      <c r="AL104" s="142" t="s">
        <v>286</v>
      </c>
      <c r="AM104" s="142" t="s">
        <v>75</v>
      </c>
      <c r="AN104" s="142" t="s">
        <v>75</v>
      </c>
      <c r="AO104" s="142" t="s">
        <v>84</v>
      </c>
      <c r="AP104" s="142" t="s">
        <v>81</v>
      </c>
      <c r="AQ104" s="142">
        <v>1</v>
      </c>
      <c r="AR104" s="142" t="s">
        <v>74</v>
      </c>
    </row>
    <row r="105" spans="1:44" s="143" customFormat="1" ht="25.05" customHeight="1" x14ac:dyDescent="0.3">
      <c r="A105" s="126" t="s">
        <v>1177</v>
      </c>
      <c r="B105" s="125" t="s">
        <v>1178</v>
      </c>
      <c r="C105" s="139">
        <v>2016</v>
      </c>
      <c r="D105" s="139" t="s">
        <v>508</v>
      </c>
      <c r="E105" s="139" t="s">
        <v>78</v>
      </c>
      <c r="F105" s="139" t="s">
        <v>558</v>
      </c>
      <c r="G105" s="139" t="s">
        <v>520</v>
      </c>
      <c r="H105" s="139" t="s">
        <v>228</v>
      </c>
      <c r="I105" s="126" t="s">
        <v>228</v>
      </c>
      <c r="J105" s="126" t="s">
        <v>676</v>
      </c>
      <c r="K105" s="126" t="s">
        <v>81</v>
      </c>
      <c r="L105" s="140" t="s">
        <v>74</v>
      </c>
      <c r="M105" s="140">
        <v>545000</v>
      </c>
      <c r="N105" s="126">
        <v>545000</v>
      </c>
      <c r="O105" s="126">
        <v>755222.85</v>
      </c>
      <c r="P105" s="126">
        <v>544500</v>
      </c>
      <c r="Q105" s="126">
        <v>544500</v>
      </c>
      <c r="R105" s="126">
        <v>754529.98499999999</v>
      </c>
      <c r="S105" s="126">
        <v>544500</v>
      </c>
      <c r="T105" s="126">
        <v>544500</v>
      </c>
      <c r="U105" s="127">
        <v>754529.98499999999</v>
      </c>
      <c r="V105" s="140" t="s">
        <v>81</v>
      </c>
      <c r="W105" s="126" t="s">
        <v>78</v>
      </c>
      <c r="X105" s="126" t="s">
        <v>81</v>
      </c>
      <c r="Y105" s="126" t="s">
        <v>78</v>
      </c>
      <c r="Z105" s="126" t="s">
        <v>81</v>
      </c>
      <c r="AA105" s="126">
        <v>0</v>
      </c>
      <c r="AB105" s="141" t="s">
        <v>78</v>
      </c>
      <c r="AC105" s="126">
        <v>0</v>
      </c>
      <c r="AD105" s="139" t="s">
        <v>78</v>
      </c>
      <c r="AE105" s="126">
        <v>0</v>
      </c>
      <c r="AF105" s="126" t="s">
        <v>78</v>
      </c>
      <c r="AG105" s="126">
        <v>0</v>
      </c>
      <c r="AH105" s="142" t="s">
        <v>81</v>
      </c>
      <c r="AI105" s="142" t="s">
        <v>78</v>
      </c>
      <c r="AJ105" s="142" t="s">
        <v>81</v>
      </c>
      <c r="AK105" s="142" t="s">
        <v>78</v>
      </c>
      <c r="AL105" s="142" t="s">
        <v>78</v>
      </c>
      <c r="AM105" s="142" t="s">
        <v>81</v>
      </c>
      <c r="AN105" s="142" t="s">
        <v>81</v>
      </c>
      <c r="AO105" s="142" t="s">
        <v>78</v>
      </c>
      <c r="AP105" s="142" t="s">
        <v>81</v>
      </c>
      <c r="AQ105" s="142">
        <v>1</v>
      </c>
      <c r="AR105" s="142" t="s">
        <v>74</v>
      </c>
    </row>
    <row r="106" spans="1:44" s="143" customFormat="1" ht="25.05" customHeight="1" x14ac:dyDescent="0.3">
      <c r="A106" s="126" t="s">
        <v>1683</v>
      </c>
      <c r="B106" s="126" t="s">
        <v>1684</v>
      </c>
      <c r="C106" s="139">
        <v>2019</v>
      </c>
      <c r="D106" s="139" t="s">
        <v>496</v>
      </c>
      <c r="E106" s="139" t="s">
        <v>78</v>
      </c>
      <c r="F106" s="139" t="s">
        <v>535</v>
      </c>
      <c r="G106" s="139" t="s">
        <v>522</v>
      </c>
      <c r="H106" s="139" t="s">
        <v>585</v>
      </c>
      <c r="I106" s="126" t="s">
        <v>228</v>
      </c>
      <c r="J106" s="126" t="s">
        <v>1685</v>
      </c>
      <c r="K106" s="126" t="s">
        <v>75</v>
      </c>
      <c r="L106" s="126" t="s">
        <v>74</v>
      </c>
      <c r="M106" s="126">
        <v>12000000</v>
      </c>
      <c r="N106" s="126">
        <v>12000000</v>
      </c>
      <c r="O106" s="126">
        <v>16689480</v>
      </c>
      <c r="P106" s="126">
        <v>13120000</v>
      </c>
      <c r="Q106" s="126">
        <v>13120000</v>
      </c>
      <c r="R106" s="126">
        <v>18247164.800000001</v>
      </c>
      <c r="S106" s="126">
        <v>0</v>
      </c>
      <c r="T106" s="126">
        <v>0</v>
      </c>
      <c r="U106" s="127">
        <v>0</v>
      </c>
      <c r="V106" s="126" t="s">
        <v>81</v>
      </c>
      <c r="W106" s="126" t="s">
        <v>78</v>
      </c>
      <c r="X106" s="126" t="s">
        <v>81</v>
      </c>
      <c r="Y106" s="126" t="s">
        <v>1686</v>
      </c>
      <c r="Z106" s="126" t="s">
        <v>81</v>
      </c>
      <c r="AA106" s="126">
        <v>0</v>
      </c>
      <c r="AB106" s="141" t="s">
        <v>78</v>
      </c>
      <c r="AC106" s="126">
        <v>0</v>
      </c>
      <c r="AD106" s="139" t="s">
        <v>78</v>
      </c>
      <c r="AE106" s="126">
        <v>0</v>
      </c>
      <c r="AF106" s="126" t="s">
        <v>78</v>
      </c>
      <c r="AG106" s="126">
        <v>0</v>
      </c>
      <c r="AH106" s="142" t="s">
        <v>81</v>
      </c>
      <c r="AI106" s="142" t="s">
        <v>78</v>
      </c>
      <c r="AJ106" s="142" t="s">
        <v>81</v>
      </c>
      <c r="AK106" s="142" t="s">
        <v>1423</v>
      </c>
      <c r="AL106" s="142" t="s">
        <v>121</v>
      </c>
      <c r="AM106" s="142" t="s">
        <v>81</v>
      </c>
      <c r="AN106" s="142" t="s">
        <v>81</v>
      </c>
      <c r="AO106" s="142" t="s">
        <v>78</v>
      </c>
      <c r="AP106" s="142" t="s">
        <v>81</v>
      </c>
      <c r="AQ106" s="142">
        <v>1</v>
      </c>
      <c r="AR106" s="142" t="s">
        <v>74</v>
      </c>
    </row>
    <row r="107" spans="1:44" s="143" customFormat="1" ht="25.05" customHeight="1" x14ac:dyDescent="0.3">
      <c r="A107" s="126" t="s">
        <v>1109</v>
      </c>
      <c r="B107" s="125" t="s">
        <v>1110</v>
      </c>
      <c r="C107" s="139">
        <v>2016</v>
      </c>
      <c r="D107" s="139" t="s">
        <v>184</v>
      </c>
      <c r="E107" s="139" t="s">
        <v>78</v>
      </c>
      <c r="F107" s="139" t="s">
        <v>554</v>
      </c>
      <c r="G107" s="139" t="s">
        <v>520</v>
      </c>
      <c r="H107" s="139" t="s">
        <v>584</v>
      </c>
      <c r="I107" s="126" t="s">
        <v>228</v>
      </c>
      <c r="J107" s="126" t="s">
        <v>679</v>
      </c>
      <c r="K107" s="126" t="s">
        <v>81</v>
      </c>
      <c r="L107" s="140" t="s">
        <v>126</v>
      </c>
      <c r="M107" s="140">
        <v>280000000</v>
      </c>
      <c r="N107" s="126">
        <v>202059564.27298248</v>
      </c>
      <c r="O107" s="126">
        <v>280000000</v>
      </c>
      <c r="P107" s="126">
        <v>202503815</v>
      </c>
      <c r="Q107" s="126">
        <v>202503815</v>
      </c>
      <c r="R107" s="126">
        <v>280615611.55994999</v>
      </c>
      <c r="S107" s="126">
        <v>180806977.69999999</v>
      </c>
      <c r="T107" s="126">
        <v>180806977.69999999</v>
      </c>
      <c r="U107" s="127">
        <v>250549653.20822096</v>
      </c>
      <c r="V107" s="140" t="s">
        <v>81</v>
      </c>
      <c r="W107" s="126" t="s">
        <v>78</v>
      </c>
      <c r="X107" s="126" t="s">
        <v>81</v>
      </c>
      <c r="Y107" s="126" t="s">
        <v>78</v>
      </c>
      <c r="Z107" s="126" t="s">
        <v>81</v>
      </c>
      <c r="AA107" s="126">
        <v>0</v>
      </c>
      <c r="AB107" s="141" t="s">
        <v>78</v>
      </c>
      <c r="AC107" s="126">
        <v>0</v>
      </c>
      <c r="AD107" s="139" t="s">
        <v>78</v>
      </c>
      <c r="AE107" s="126">
        <v>999</v>
      </c>
      <c r="AF107" s="126" t="s">
        <v>78</v>
      </c>
      <c r="AG107" s="126">
        <v>0</v>
      </c>
      <c r="AH107" s="142" t="s">
        <v>81</v>
      </c>
      <c r="AI107" s="142" t="s">
        <v>78</v>
      </c>
      <c r="AJ107" s="142" t="s">
        <v>81</v>
      </c>
      <c r="AK107" s="142" t="s">
        <v>78</v>
      </c>
      <c r="AL107" s="142" t="s">
        <v>78</v>
      </c>
      <c r="AM107" s="142" t="s">
        <v>81</v>
      </c>
      <c r="AN107" s="142" t="s">
        <v>81</v>
      </c>
      <c r="AO107" s="142" t="s">
        <v>78</v>
      </c>
      <c r="AP107" s="142" t="s">
        <v>81</v>
      </c>
      <c r="AQ107" s="142">
        <v>1</v>
      </c>
      <c r="AR107" s="142" t="s">
        <v>126</v>
      </c>
    </row>
    <row r="108" spans="1:44" s="143" customFormat="1" ht="25.05" customHeight="1" x14ac:dyDescent="0.3">
      <c r="A108" s="126" t="s">
        <v>1119</v>
      </c>
      <c r="B108" s="125" t="s">
        <v>1120</v>
      </c>
      <c r="C108" s="139">
        <v>2016</v>
      </c>
      <c r="D108" s="139" t="s">
        <v>314</v>
      </c>
      <c r="E108" s="139" t="s">
        <v>78</v>
      </c>
      <c r="F108" s="139" t="s">
        <v>557</v>
      </c>
      <c r="G108" s="139" t="s">
        <v>522</v>
      </c>
      <c r="H108" s="139" t="s">
        <v>585</v>
      </c>
      <c r="I108" s="126" t="s">
        <v>228</v>
      </c>
      <c r="J108" s="126" t="s">
        <v>676</v>
      </c>
      <c r="K108" s="126" t="s">
        <v>81</v>
      </c>
      <c r="L108" s="140" t="s">
        <v>74</v>
      </c>
      <c r="M108" s="140">
        <v>23250000</v>
      </c>
      <c r="N108" s="126">
        <v>23250000</v>
      </c>
      <c r="O108" s="126">
        <v>32218222.499999996</v>
      </c>
      <c r="P108" s="126">
        <v>20950000</v>
      </c>
      <c r="Q108" s="126">
        <v>20950000</v>
      </c>
      <c r="R108" s="126">
        <v>29031043.499999996</v>
      </c>
      <c r="S108" s="126">
        <v>20950000</v>
      </c>
      <c r="T108" s="126">
        <v>20950000</v>
      </c>
      <c r="U108" s="127">
        <v>29031043.499999996</v>
      </c>
      <c r="V108" s="140" t="s">
        <v>75</v>
      </c>
      <c r="W108" s="126" t="s">
        <v>1121</v>
      </c>
      <c r="X108" s="126" t="s">
        <v>75</v>
      </c>
      <c r="Y108" s="126" t="s">
        <v>1122</v>
      </c>
      <c r="Z108" s="126" t="s">
        <v>81</v>
      </c>
      <c r="AA108" s="126">
        <v>0</v>
      </c>
      <c r="AB108" s="141" t="s">
        <v>78</v>
      </c>
      <c r="AC108" s="126">
        <v>0</v>
      </c>
      <c r="AD108" s="139" t="s">
        <v>78</v>
      </c>
      <c r="AE108" s="126">
        <v>0</v>
      </c>
      <c r="AF108" s="126" t="s">
        <v>78</v>
      </c>
      <c r="AG108" s="126">
        <v>0</v>
      </c>
      <c r="AH108" s="142" t="s">
        <v>75</v>
      </c>
      <c r="AI108" s="142" t="s">
        <v>1123</v>
      </c>
      <c r="AJ108" s="142" t="s">
        <v>75</v>
      </c>
      <c r="AK108" s="142" t="s">
        <v>795</v>
      </c>
      <c r="AL108" s="142" t="s">
        <v>934</v>
      </c>
      <c r="AM108" s="142" t="s">
        <v>75</v>
      </c>
      <c r="AN108" s="142" t="s">
        <v>81</v>
      </c>
      <c r="AO108" s="142" t="s">
        <v>78</v>
      </c>
      <c r="AP108" s="142" t="s">
        <v>81</v>
      </c>
      <c r="AQ108" s="142">
        <v>1</v>
      </c>
      <c r="AR108" s="142" t="s">
        <v>74</v>
      </c>
    </row>
    <row r="109" spans="1:44" s="143" customFormat="1" ht="25.05" customHeight="1" x14ac:dyDescent="0.3">
      <c r="A109" s="126" t="s">
        <v>969</v>
      </c>
      <c r="B109" s="125" t="s">
        <v>970</v>
      </c>
      <c r="C109" s="139">
        <v>2017</v>
      </c>
      <c r="D109" s="139" t="s">
        <v>87</v>
      </c>
      <c r="E109" s="139" t="s">
        <v>937</v>
      </c>
      <c r="F109" s="139" t="s">
        <v>1848</v>
      </c>
      <c r="G109" s="139" t="s">
        <v>87</v>
      </c>
      <c r="H109" s="139" t="s">
        <v>584</v>
      </c>
      <c r="I109" s="126" t="s">
        <v>228</v>
      </c>
      <c r="J109" s="126" t="s">
        <v>689</v>
      </c>
      <c r="K109" s="126" t="s">
        <v>81</v>
      </c>
      <c r="L109" s="140" t="s">
        <v>126</v>
      </c>
      <c r="M109" s="140">
        <v>100000000</v>
      </c>
      <c r="N109" s="126">
        <v>74386497.362998664</v>
      </c>
      <c r="O109" s="126">
        <v>100000000</v>
      </c>
      <c r="P109" s="126">
        <v>72322791.079999998</v>
      </c>
      <c r="Q109" s="126">
        <v>72322791.079999998</v>
      </c>
      <c r="R109" s="126">
        <v>97225697.7325764</v>
      </c>
      <c r="S109" s="126">
        <v>72322791.079999998</v>
      </c>
      <c r="T109" s="126">
        <v>72322791.079999998</v>
      </c>
      <c r="U109" s="127">
        <v>97225697.7325764</v>
      </c>
      <c r="V109" s="140" t="s">
        <v>81</v>
      </c>
      <c r="W109" s="126" t="s">
        <v>78</v>
      </c>
      <c r="X109" s="126" t="s">
        <v>81</v>
      </c>
      <c r="Y109" s="126" t="s">
        <v>78</v>
      </c>
      <c r="Z109" s="126" t="s">
        <v>81</v>
      </c>
      <c r="AA109" s="126">
        <v>0</v>
      </c>
      <c r="AB109" s="141" t="s">
        <v>78</v>
      </c>
      <c r="AC109" s="126">
        <v>0</v>
      </c>
      <c r="AD109" s="139" t="s">
        <v>78</v>
      </c>
      <c r="AE109" s="126">
        <v>0</v>
      </c>
      <c r="AF109" s="126" t="s">
        <v>78</v>
      </c>
      <c r="AG109" s="126">
        <v>0</v>
      </c>
      <c r="AH109" s="142" t="s">
        <v>81</v>
      </c>
      <c r="AI109" s="142" t="s">
        <v>78</v>
      </c>
      <c r="AJ109" s="142" t="s">
        <v>81</v>
      </c>
      <c r="AK109" s="142" t="s">
        <v>78</v>
      </c>
      <c r="AL109" s="142" t="s">
        <v>78</v>
      </c>
      <c r="AM109" s="142" t="s">
        <v>81</v>
      </c>
      <c r="AN109" s="142" t="s">
        <v>81</v>
      </c>
      <c r="AO109" s="142" t="s">
        <v>78</v>
      </c>
      <c r="AP109" s="142" t="s">
        <v>81</v>
      </c>
      <c r="AQ109" s="142">
        <v>1</v>
      </c>
      <c r="AR109" s="142" t="s">
        <v>126</v>
      </c>
    </row>
    <row r="110" spans="1:44" s="143" customFormat="1" ht="25.05" customHeight="1" x14ac:dyDescent="0.3">
      <c r="A110" s="126" t="s">
        <v>1249</v>
      </c>
      <c r="B110" s="125" t="s">
        <v>1250</v>
      </c>
      <c r="C110" s="139">
        <v>2016</v>
      </c>
      <c r="D110" s="139" t="s">
        <v>195</v>
      </c>
      <c r="E110" s="139" t="s">
        <v>78</v>
      </c>
      <c r="F110" s="139" t="s">
        <v>536</v>
      </c>
      <c r="G110" s="139" t="s">
        <v>522</v>
      </c>
      <c r="H110" s="139" t="s">
        <v>587</v>
      </c>
      <c r="I110" s="126" t="s">
        <v>256</v>
      </c>
      <c r="J110" s="126" t="s">
        <v>689</v>
      </c>
      <c r="K110" s="126" t="s">
        <v>81</v>
      </c>
      <c r="L110" s="140" t="s">
        <v>126</v>
      </c>
      <c r="M110" s="140">
        <v>113950000</v>
      </c>
      <c r="N110" s="126">
        <v>82231026.246094123</v>
      </c>
      <c r="O110" s="126">
        <v>113950000</v>
      </c>
      <c r="P110" s="126">
        <v>55044876.289999999</v>
      </c>
      <c r="Q110" s="126">
        <v>55044876.289999999</v>
      </c>
      <c r="R110" s="126">
        <v>76277336.421341687</v>
      </c>
      <c r="S110" s="126">
        <v>55044876.289999999</v>
      </c>
      <c r="T110" s="126">
        <v>55044876.289999999</v>
      </c>
      <c r="U110" s="127">
        <v>76277336.421341687</v>
      </c>
      <c r="V110" s="140" t="s">
        <v>81</v>
      </c>
      <c r="W110" s="126" t="s">
        <v>78</v>
      </c>
      <c r="X110" s="126" t="s">
        <v>81</v>
      </c>
      <c r="Y110" s="126" t="s">
        <v>78</v>
      </c>
      <c r="Z110" s="126" t="s">
        <v>81</v>
      </c>
      <c r="AA110" s="126">
        <v>0</v>
      </c>
      <c r="AB110" s="141" t="s">
        <v>78</v>
      </c>
      <c r="AC110" s="126">
        <v>0</v>
      </c>
      <c r="AD110" s="139" t="s">
        <v>78</v>
      </c>
      <c r="AE110" s="126">
        <v>0</v>
      </c>
      <c r="AF110" s="126" t="s">
        <v>78</v>
      </c>
      <c r="AG110" s="126">
        <v>0</v>
      </c>
      <c r="AH110" s="142" t="s">
        <v>81</v>
      </c>
      <c r="AI110" s="142" t="s">
        <v>78</v>
      </c>
      <c r="AJ110" s="142" t="s">
        <v>81</v>
      </c>
      <c r="AK110" s="142" t="s">
        <v>78</v>
      </c>
      <c r="AL110" s="142" t="s">
        <v>78</v>
      </c>
      <c r="AM110" s="142" t="s">
        <v>81</v>
      </c>
      <c r="AN110" s="142" t="s">
        <v>81</v>
      </c>
      <c r="AO110" s="142" t="s">
        <v>78</v>
      </c>
      <c r="AP110" s="142" t="s">
        <v>81</v>
      </c>
      <c r="AQ110" s="142">
        <v>1</v>
      </c>
      <c r="AR110" s="142" t="s">
        <v>126</v>
      </c>
    </row>
    <row r="111" spans="1:44" s="143" customFormat="1" ht="25.05" customHeight="1" x14ac:dyDescent="0.3">
      <c r="A111" s="126" t="s">
        <v>690</v>
      </c>
      <c r="B111" s="125" t="s">
        <v>691</v>
      </c>
      <c r="C111" s="139">
        <v>2018</v>
      </c>
      <c r="D111" s="139" t="s">
        <v>172</v>
      </c>
      <c r="E111" s="139" t="s">
        <v>78</v>
      </c>
      <c r="F111" s="139" t="s">
        <v>537</v>
      </c>
      <c r="G111" s="139" t="s">
        <v>521</v>
      </c>
      <c r="H111" s="139" t="s">
        <v>228</v>
      </c>
      <c r="I111" s="126" t="s">
        <v>466</v>
      </c>
      <c r="J111" s="126" t="s">
        <v>689</v>
      </c>
      <c r="K111" s="126" t="s">
        <v>81</v>
      </c>
      <c r="L111" s="140" t="s">
        <v>74</v>
      </c>
      <c r="M111" s="140">
        <v>1199000</v>
      </c>
      <c r="N111" s="126">
        <v>1199000</v>
      </c>
      <c r="O111" s="126">
        <v>1707531.8699999999</v>
      </c>
      <c r="P111" s="126">
        <v>1199000</v>
      </c>
      <c r="Q111" s="126">
        <v>1199000</v>
      </c>
      <c r="R111" s="126">
        <v>1707531.8699999999</v>
      </c>
      <c r="S111" s="126">
        <v>1199000</v>
      </c>
      <c r="T111" s="126">
        <v>1199000</v>
      </c>
      <c r="U111" s="127">
        <v>1707531.8699999999</v>
      </c>
      <c r="V111" s="140" t="s">
        <v>81</v>
      </c>
      <c r="W111" s="126" t="s">
        <v>78</v>
      </c>
      <c r="X111" s="126" t="s">
        <v>81</v>
      </c>
      <c r="Y111" s="126" t="s">
        <v>78</v>
      </c>
      <c r="Z111" s="126" t="s">
        <v>81</v>
      </c>
      <c r="AA111" s="126">
        <v>0</v>
      </c>
      <c r="AB111" s="141" t="s">
        <v>78</v>
      </c>
      <c r="AC111" s="126">
        <v>0</v>
      </c>
      <c r="AD111" s="139" t="s">
        <v>78</v>
      </c>
      <c r="AE111" s="126">
        <v>0</v>
      </c>
      <c r="AF111" s="126" t="s">
        <v>78</v>
      </c>
      <c r="AG111" s="126">
        <v>0</v>
      </c>
      <c r="AH111" s="142" t="s">
        <v>81</v>
      </c>
      <c r="AI111" s="142" t="s">
        <v>78</v>
      </c>
      <c r="AJ111" s="142" t="s">
        <v>81</v>
      </c>
      <c r="AK111" s="142" t="s">
        <v>78</v>
      </c>
      <c r="AL111" s="142" t="s">
        <v>78</v>
      </c>
      <c r="AM111" s="142" t="s">
        <v>81</v>
      </c>
      <c r="AN111" s="142" t="s">
        <v>81</v>
      </c>
      <c r="AO111" s="142" t="s">
        <v>78</v>
      </c>
      <c r="AP111" s="142" t="s">
        <v>81</v>
      </c>
      <c r="AQ111" s="142">
        <v>1</v>
      </c>
      <c r="AR111" s="142" t="s">
        <v>74</v>
      </c>
    </row>
    <row r="112" spans="1:44" s="143" customFormat="1" ht="25.05" customHeight="1" x14ac:dyDescent="0.3">
      <c r="A112" s="126" t="s">
        <v>1365</v>
      </c>
      <c r="B112" s="125" t="s">
        <v>1366</v>
      </c>
      <c r="C112" s="139">
        <v>2015</v>
      </c>
      <c r="D112" s="145" t="s">
        <v>507</v>
      </c>
      <c r="E112" s="139" t="s">
        <v>78</v>
      </c>
      <c r="F112" s="139" t="s">
        <v>562</v>
      </c>
      <c r="G112" s="139" t="s">
        <v>519</v>
      </c>
      <c r="H112" s="139" t="s">
        <v>596</v>
      </c>
      <c r="I112" s="126" t="s">
        <v>101</v>
      </c>
      <c r="J112" s="126" t="s">
        <v>689</v>
      </c>
      <c r="K112" s="126" t="s">
        <v>81</v>
      </c>
      <c r="L112" s="140" t="s">
        <v>74</v>
      </c>
      <c r="M112" s="140">
        <v>2160000</v>
      </c>
      <c r="N112" s="126">
        <v>2160000</v>
      </c>
      <c r="O112" s="126">
        <v>3129429.5999999996</v>
      </c>
      <c r="P112" s="126">
        <v>2000000</v>
      </c>
      <c r="Q112" s="126">
        <v>2000000</v>
      </c>
      <c r="R112" s="126">
        <v>2897620</v>
      </c>
      <c r="S112" s="126">
        <v>2000000</v>
      </c>
      <c r="T112" s="126">
        <v>2000000</v>
      </c>
      <c r="U112" s="127">
        <v>2897620</v>
      </c>
      <c r="V112" s="140" t="s">
        <v>81</v>
      </c>
      <c r="W112" s="126" t="s">
        <v>78</v>
      </c>
      <c r="X112" s="126" t="s">
        <v>81</v>
      </c>
      <c r="Y112" s="126" t="s">
        <v>78</v>
      </c>
      <c r="Z112" s="126" t="s">
        <v>81</v>
      </c>
      <c r="AA112" s="126">
        <v>0</v>
      </c>
      <c r="AB112" s="141" t="s">
        <v>78</v>
      </c>
      <c r="AC112" s="126">
        <v>0</v>
      </c>
      <c r="AD112" s="139" t="s">
        <v>78</v>
      </c>
      <c r="AE112" s="126">
        <v>0</v>
      </c>
      <c r="AF112" s="126" t="s">
        <v>78</v>
      </c>
      <c r="AG112" s="126">
        <v>0</v>
      </c>
      <c r="AH112" s="142" t="s">
        <v>81</v>
      </c>
      <c r="AI112" s="142" t="s">
        <v>78</v>
      </c>
      <c r="AJ112" s="142" t="s">
        <v>81</v>
      </c>
      <c r="AK112" s="142" t="s">
        <v>78</v>
      </c>
      <c r="AL112" s="142" t="s">
        <v>78</v>
      </c>
      <c r="AM112" s="142" t="s">
        <v>81</v>
      </c>
      <c r="AN112" s="142" t="s">
        <v>81</v>
      </c>
      <c r="AO112" s="142" t="s">
        <v>78</v>
      </c>
      <c r="AP112" s="142" t="s">
        <v>81</v>
      </c>
      <c r="AQ112" s="142">
        <v>1</v>
      </c>
      <c r="AR112" s="142" t="s">
        <v>74</v>
      </c>
    </row>
    <row r="113" spans="1:44" s="143" customFormat="1" ht="25.05" customHeight="1" x14ac:dyDescent="0.3">
      <c r="A113" s="126" t="s">
        <v>1059</v>
      </c>
      <c r="B113" s="125" t="s">
        <v>1060</v>
      </c>
      <c r="C113" s="139">
        <v>2017</v>
      </c>
      <c r="D113" s="139" t="s">
        <v>172</v>
      </c>
      <c r="E113" s="139" t="s">
        <v>78</v>
      </c>
      <c r="F113" s="139" t="s">
        <v>537</v>
      </c>
      <c r="G113" s="139" t="s">
        <v>521</v>
      </c>
      <c r="H113" s="139" t="s">
        <v>228</v>
      </c>
      <c r="I113" s="126" t="s">
        <v>228</v>
      </c>
      <c r="J113" s="126" t="s">
        <v>689</v>
      </c>
      <c r="K113" s="126" t="s">
        <v>81</v>
      </c>
      <c r="L113" s="140" t="s">
        <v>74</v>
      </c>
      <c r="M113" s="140">
        <v>991095</v>
      </c>
      <c r="N113" s="126">
        <v>991095</v>
      </c>
      <c r="O113" s="126">
        <v>1332358.74135</v>
      </c>
      <c r="P113" s="126">
        <v>991095</v>
      </c>
      <c r="Q113" s="126">
        <v>991095</v>
      </c>
      <c r="R113" s="126">
        <v>1332358.74135</v>
      </c>
      <c r="S113" s="126">
        <v>991095</v>
      </c>
      <c r="T113" s="126">
        <v>991095</v>
      </c>
      <c r="U113" s="127">
        <v>1332358.74135</v>
      </c>
      <c r="V113" s="140" t="s">
        <v>81</v>
      </c>
      <c r="W113" s="126" t="s">
        <v>78</v>
      </c>
      <c r="X113" s="126" t="s">
        <v>81</v>
      </c>
      <c r="Y113" s="126" t="s">
        <v>78</v>
      </c>
      <c r="Z113" s="126" t="s">
        <v>81</v>
      </c>
      <c r="AA113" s="126">
        <v>0</v>
      </c>
      <c r="AB113" s="141" t="s">
        <v>78</v>
      </c>
      <c r="AC113" s="126">
        <v>0</v>
      </c>
      <c r="AD113" s="139" t="s">
        <v>78</v>
      </c>
      <c r="AE113" s="126">
        <v>0</v>
      </c>
      <c r="AF113" s="126" t="s">
        <v>78</v>
      </c>
      <c r="AG113" s="126">
        <v>0</v>
      </c>
      <c r="AH113" s="142" t="s">
        <v>81</v>
      </c>
      <c r="AI113" s="142" t="s">
        <v>78</v>
      </c>
      <c r="AJ113" s="142" t="s">
        <v>81</v>
      </c>
      <c r="AK113" s="142" t="s">
        <v>78</v>
      </c>
      <c r="AL113" s="142" t="s">
        <v>78</v>
      </c>
      <c r="AM113" s="142" t="s">
        <v>81</v>
      </c>
      <c r="AN113" s="142" t="s">
        <v>81</v>
      </c>
      <c r="AO113" s="142" t="s">
        <v>78</v>
      </c>
      <c r="AP113" s="142" t="s">
        <v>81</v>
      </c>
      <c r="AQ113" s="142">
        <v>1</v>
      </c>
      <c r="AR113" s="142" t="s">
        <v>74</v>
      </c>
    </row>
    <row r="114" spans="1:44" s="143" customFormat="1" ht="25.05" customHeight="1" x14ac:dyDescent="0.3">
      <c r="A114" s="126" t="s">
        <v>241</v>
      </c>
      <c r="B114" s="126" t="s">
        <v>242</v>
      </c>
      <c r="C114" s="139">
        <v>2020</v>
      </c>
      <c r="D114" s="139" t="s">
        <v>87</v>
      </c>
      <c r="E114" s="139" t="s">
        <v>243</v>
      </c>
      <c r="F114" s="139" t="s">
        <v>1848</v>
      </c>
      <c r="G114" s="139" t="s">
        <v>87</v>
      </c>
      <c r="H114" s="139" t="s">
        <v>89</v>
      </c>
      <c r="I114" s="126" t="s">
        <v>72</v>
      </c>
      <c r="J114" s="126" t="s">
        <v>180</v>
      </c>
      <c r="K114" s="126" t="s">
        <v>81</v>
      </c>
      <c r="L114" s="126" t="s">
        <v>74</v>
      </c>
      <c r="M114" s="126">
        <v>16400000</v>
      </c>
      <c r="N114" s="126">
        <v>16400000</v>
      </c>
      <c r="O114" s="126">
        <v>22678412</v>
      </c>
      <c r="P114" s="126" t="s">
        <v>659</v>
      </c>
      <c r="Q114" s="126" t="s">
        <v>659</v>
      </c>
      <c r="R114" s="126" t="s">
        <v>659</v>
      </c>
      <c r="S114" s="126">
        <v>16400000</v>
      </c>
      <c r="T114" s="126">
        <v>16400000</v>
      </c>
      <c r="U114" s="127">
        <v>22678412</v>
      </c>
      <c r="V114" s="126" t="s">
        <v>81</v>
      </c>
      <c r="W114" s="126">
        <v>0</v>
      </c>
      <c r="X114" s="126" t="s">
        <v>81</v>
      </c>
      <c r="Y114" s="126">
        <v>0</v>
      </c>
      <c r="Z114" s="126" t="s">
        <v>81</v>
      </c>
      <c r="AA114" s="126">
        <v>0</v>
      </c>
      <c r="AB114" s="141">
        <v>0</v>
      </c>
      <c r="AC114" s="126">
        <v>0</v>
      </c>
      <c r="AD114" s="139">
        <v>0</v>
      </c>
      <c r="AE114" s="126">
        <v>0</v>
      </c>
      <c r="AF114" s="126">
        <v>0</v>
      </c>
      <c r="AG114" s="126">
        <v>0</v>
      </c>
      <c r="AH114" s="142" t="s">
        <v>81</v>
      </c>
      <c r="AI114" s="142">
        <v>0</v>
      </c>
      <c r="AJ114" s="142" t="s">
        <v>81</v>
      </c>
      <c r="AK114" s="142">
        <v>0</v>
      </c>
      <c r="AL114" s="142" t="s">
        <v>121</v>
      </c>
      <c r="AM114" s="142" t="s">
        <v>75</v>
      </c>
      <c r="AN114" s="142" t="s">
        <v>81</v>
      </c>
      <c r="AO114" s="142" t="s">
        <v>84</v>
      </c>
      <c r="AP114" s="142" t="s">
        <v>81</v>
      </c>
      <c r="AQ114" s="142">
        <v>1</v>
      </c>
      <c r="AR114" s="142" t="s">
        <v>74</v>
      </c>
    </row>
    <row r="115" spans="1:44" s="143" customFormat="1" ht="25.05" customHeight="1" x14ac:dyDescent="0.3">
      <c r="A115" s="126" t="s">
        <v>1166</v>
      </c>
      <c r="B115" s="125" t="s">
        <v>1167</v>
      </c>
      <c r="C115" s="139">
        <v>2016</v>
      </c>
      <c r="D115" s="139" t="s">
        <v>87</v>
      </c>
      <c r="E115" s="139" t="s">
        <v>937</v>
      </c>
      <c r="F115" s="139" t="s">
        <v>1848</v>
      </c>
      <c r="G115" s="139" t="s">
        <v>87</v>
      </c>
      <c r="H115" s="139" t="s">
        <v>585</v>
      </c>
      <c r="I115" s="126" t="s">
        <v>228</v>
      </c>
      <c r="J115" s="126" t="s">
        <v>679</v>
      </c>
      <c r="K115" s="126" t="s">
        <v>81</v>
      </c>
      <c r="L115" s="140" t="s">
        <v>126</v>
      </c>
      <c r="M115" s="140">
        <v>142000000</v>
      </c>
      <c r="N115" s="126">
        <v>102473064.73844112</v>
      </c>
      <c r="O115" s="126">
        <v>142000000</v>
      </c>
      <c r="P115" s="126">
        <v>96189312.140000001</v>
      </c>
      <c r="Q115" s="126">
        <v>96189312.140000001</v>
      </c>
      <c r="R115" s="126">
        <v>133292415.51176219</v>
      </c>
      <c r="S115" s="126">
        <v>72322791.079999998</v>
      </c>
      <c r="T115" s="126">
        <v>72322791.079999998</v>
      </c>
      <c r="U115" s="127">
        <v>100219861.28328839</v>
      </c>
      <c r="V115" s="140" t="s">
        <v>81</v>
      </c>
      <c r="W115" s="126" t="s">
        <v>78</v>
      </c>
      <c r="X115" s="126" t="s">
        <v>81</v>
      </c>
      <c r="Y115" s="126" t="s">
        <v>78</v>
      </c>
      <c r="Z115" s="126" t="s">
        <v>81</v>
      </c>
      <c r="AA115" s="126">
        <v>0</v>
      </c>
      <c r="AB115" s="141" t="s">
        <v>78</v>
      </c>
      <c r="AC115" s="126">
        <v>0</v>
      </c>
      <c r="AD115" s="139" t="s">
        <v>78</v>
      </c>
      <c r="AE115" s="126">
        <v>0</v>
      </c>
      <c r="AF115" s="126" t="s">
        <v>78</v>
      </c>
      <c r="AG115" s="126">
        <v>0</v>
      </c>
      <c r="AH115" s="142" t="s">
        <v>81</v>
      </c>
      <c r="AI115" s="142" t="s">
        <v>78</v>
      </c>
      <c r="AJ115" s="142" t="s">
        <v>81</v>
      </c>
      <c r="AK115" s="142" t="s">
        <v>78</v>
      </c>
      <c r="AL115" s="142" t="s">
        <v>78</v>
      </c>
      <c r="AM115" s="142" t="s">
        <v>81</v>
      </c>
      <c r="AN115" s="142" t="s">
        <v>81</v>
      </c>
      <c r="AO115" s="142" t="s">
        <v>78</v>
      </c>
      <c r="AP115" s="142" t="s">
        <v>81</v>
      </c>
      <c r="AQ115" s="142">
        <v>1</v>
      </c>
      <c r="AR115" s="142" t="s">
        <v>126</v>
      </c>
    </row>
    <row r="116" spans="1:44" s="143" customFormat="1" ht="25.05" customHeight="1" x14ac:dyDescent="0.3">
      <c r="A116" s="126" t="s">
        <v>1247</v>
      </c>
      <c r="B116" s="125" t="s">
        <v>1248</v>
      </c>
      <c r="C116" s="139">
        <v>2016</v>
      </c>
      <c r="D116" s="139" t="s">
        <v>514</v>
      </c>
      <c r="E116" s="139" t="s">
        <v>78</v>
      </c>
      <c r="F116" s="139" t="s">
        <v>567</v>
      </c>
      <c r="G116" s="139" t="s">
        <v>522</v>
      </c>
      <c r="H116" s="139" t="s">
        <v>228</v>
      </c>
      <c r="I116" s="126" t="s">
        <v>228</v>
      </c>
      <c r="J116" s="126" t="s">
        <v>689</v>
      </c>
      <c r="K116" s="126" t="s">
        <v>81</v>
      </c>
      <c r="L116" s="140" t="s">
        <v>126</v>
      </c>
      <c r="M116" s="140">
        <v>91430000</v>
      </c>
      <c r="N116" s="126">
        <v>65979664.148138531</v>
      </c>
      <c r="O116" s="126">
        <v>91430000</v>
      </c>
      <c r="P116" s="126">
        <v>55471580.759999998</v>
      </c>
      <c r="Q116" s="126">
        <v>55471580.759999998</v>
      </c>
      <c r="R116" s="126">
        <v>76868633.606554791</v>
      </c>
      <c r="S116" s="126">
        <v>55471580.759999998</v>
      </c>
      <c r="T116" s="126">
        <v>55471580.759999998</v>
      </c>
      <c r="U116" s="127">
        <v>76868633.606554791</v>
      </c>
      <c r="V116" s="140" t="s">
        <v>81</v>
      </c>
      <c r="W116" s="126" t="s">
        <v>78</v>
      </c>
      <c r="X116" s="126" t="s">
        <v>81</v>
      </c>
      <c r="Y116" s="126" t="s">
        <v>78</v>
      </c>
      <c r="Z116" s="126" t="s">
        <v>81</v>
      </c>
      <c r="AA116" s="126">
        <v>0</v>
      </c>
      <c r="AB116" s="141" t="s">
        <v>78</v>
      </c>
      <c r="AC116" s="126">
        <v>0</v>
      </c>
      <c r="AD116" s="139" t="s">
        <v>78</v>
      </c>
      <c r="AE116" s="126">
        <v>0</v>
      </c>
      <c r="AF116" s="126" t="s">
        <v>78</v>
      </c>
      <c r="AG116" s="126">
        <v>0</v>
      </c>
      <c r="AH116" s="142" t="s">
        <v>81</v>
      </c>
      <c r="AI116" s="142" t="s">
        <v>78</v>
      </c>
      <c r="AJ116" s="142" t="s">
        <v>81</v>
      </c>
      <c r="AK116" s="142" t="s">
        <v>78</v>
      </c>
      <c r="AL116" s="142" t="s">
        <v>78</v>
      </c>
      <c r="AM116" s="142" t="s">
        <v>81</v>
      </c>
      <c r="AN116" s="142" t="s">
        <v>81</v>
      </c>
      <c r="AO116" s="142" t="s">
        <v>78</v>
      </c>
      <c r="AP116" s="142" t="s">
        <v>81</v>
      </c>
      <c r="AQ116" s="142">
        <v>1</v>
      </c>
      <c r="AR116" s="142" t="s">
        <v>126</v>
      </c>
    </row>
    <row r="117" spans="1:44" s="143" customFormat="1" ht="25.05" customHeight="1" x14ac:dyDescent="0.3">
      <c r="A117" s="126" t="s">
        <v>752</v>
      </c>
      <c r="B117" s="125" t="s">
        <v>753</v>
      </c>
      <c r="C117" s="139">
        <v>2018</v>
      </c>
      <c r="D117" s="139" t="s">
        <v>184</v>
      </c>
      <c r="E117" s="139" t="s">
        <v>78</v>
      </c>
      <c r="F117" s="139" t="s">
        <v>554</v>
      </c>
      <c r="G117" s="139" t="s">
        <v>520</v>
      </c>
      <c r="H117" s="139" t="s">
        <v>584</v>
      </c>
      <c r="I117" s="126" t="s">
        <v>228</v>
      </c>
      <c r="J117" s="126" t="s">
        <v>689</v>
      </c>
      <c r="K117" s="126" t="s">
        <v>81</v>
      </c>
      <c r="L117" s="140" t="s">
        <v>126</v>
      </c>
      <c r="M117" s="140">
        <v>170000000</v>
      </c>
      <c r="N117" s="126">
        <v>119371124.82708742</v>
      </c>
      <c r="O117" s="126">
        <v>170000000</v>
      </c>
      <c r="P117" s="126">
        <v>54242093.310000002</v>
      </c>
      <c r="Q117" s="126">
        <v>54242093.310000002</v>
      </c>
      <c r="R117" s="126">
        <v>77247792.345570296</v>
      </c>
      <c r="S117" s="126">
        <v>54242093.310000002</v>
      </c>
      <c r="T117" s="126">
        <v>54242093.310000002</v>
      </c>
      <c r="U117" s="127">
        <v>77247792.345570296</v>
      </c>
      <c r="V117" s="140" t="s">
        <v>75</v>
      </c>
      <c r="W117" s="126" t="s">
        <v>754</v>
      </c>
      <c r="X117" s="126" t="s">
        <v>75</v>
      </c>
      <c r="Y117" s="126" t="s">
        <v>755</v>
      </c>
      <c r="Z117" s="126" t="s">
        <v>75</v>
      </c>
      <c r="AA117" s="126">
        <v>0</v>
      </c>
      <c r="AB117" s="141" t="s">
        <v>78</v>
      </c>
      <c r="AC117" s="126">
        <v>999</v>
      </c>
      <c r="AD117" s="139" t="s">
        <v>756</v>
      </c>
      <c r="AE117" s="126">
        <v>999</v>
      </c>
      <c r="AF117" s="126" t="s">
        <v>757</v>
      </c>
      <c r="AG117" s="126">
        <v>2</v>
      </c>
      <c r="AH117" s="142" t="s">
        <v>75</v>
      </c>
      <c r="AI117" s="142" t="s">
        <v>758</v>
      </c>
      <c r="AJ117" s="142" t="s">
        <v>75</v>
      </c>
      <c r="AK117" s="142" t="s">
        <v>228</v>
      </c>
      <c r="AL117" s="142" t="s">
        <v>78</v>
      </c>
      <c r="AM117" s="142" t="s">
        <v>81</v>
      </c>
      <c r="AN117" s="142" t="s">
        <v>81</v>
      </c>
      <c r="AO117" s="142" t="s">
        <v>78</v>
      </c>
      <c r="AP117" s="142" t="s">
        <v>75</v>
      </c>
      <c r="AQ117" s="142">
        <v>1</v>
      </c>
      <c r="AR117" s="142" t="s">
        <v>126</v>
      </c>
    </row>
    <row r="118" spans="1:44" s="143" customFormat="1" ht="25.05" customHeight="1" x14ac:dyDescent="0.3">
      <c r="A118" s="126" t="s">
        <v>1160</v>
      </c>
      <c r="B118" s="125" t="s">
        <v>1161</v>
      </c>
      <c r="C118" s="139">
        <v>2016</v>
      </c>
      <c r="D118" s="139" t="s">
        <v>497</v>
      </c>
      <c r="E118" s="139" t="s">
        <v>78</v>
      </c>
      <c r="F118" s="139" t="s">
        <v>538</v>
      </c>
      <c r="G118" s="139" t="s">
        <v>520</v>
      </c>
      <c r="H118" s="139" t="s">
        <v>228</v>
      </c>
      <c r="I118" s="126" t="s">
        <v>228</v>
      </c>
      <c r="J118" s="126" t="s">
        <v>679</v>
      </c>
      <c r="K118" s="126" t="s">
        <v>81</v>
      </c>
      <c r="L118" s="140" t="s">
        <v>126</v>
      </c>
      <c r="M118" s="140">
        <v>46416100</v>
      </c>
      <c r="N118" s="126">
        <v>33495774.790182795</v>
      </c>
      <c r="O118" s="126">
        <v>46416100</v>
      </c>
      <c r="P118" s="126">
        <v>18696598.670000002</v>
      </c>
      <c r="Q118" s="126">
        <v>18696598.670000002</v>
      </c>
      <c r="R118" s="126">
        <v>25908437.674979102</v>
      </c>
      <c r="S118" s="126">
        <v>10125190.75</v>
      </c>
      <c r="T118" s="126">
        <v>10125190.75</v>
      </c>
      <c r="U118" s="127">
        <v>14030780.577997498</v>
      </c>
      <c r="V118" s="140" t="s">
        <v>81</v>
      </c>
      <c r="W118" s="126" t="s">
        <v>78</v>
      </c>
      <c r="X118" s="126" t="s">
        <v>81</v>
      </c>
      <c r="Y118" s="126" t="s">
        <v>78</v>
      </c>
      <c r="Z118" s="126" t="s">
        <v>81</v>
      </c>
      <c r="AA118" s="126">
        <v>0</v>
      </c>
      <c r="AB118" s="141" t="s">
        <v>78</v>
      </c>
      <c r="AC118" s="126">
        <v>0</v>
      </c>
      <c r="AD118" s="139" t="s">
        <v>78</v>
      </c>
      <c r="AE118" s="126">
        <v>0</v>
      </c>
      <c r="AF118" s="126" t="s">
        <v>78</v>
      </c>
      <c r="AG118" s="126">
        <v>0</v>
      </c>
      <c r="AH118" s="142" t="s">
        <v>81</v>
      </c>
      <c r="AI118" s="142" t="s">
        <v>78</v>
      </c>
      <c r="AJ118" s="142" t="s">
        <v>81</v>
      </c>
      <c r="AK118" s="142" t="s">
        <v>78</v>
      </c>
      <c r="AL118" s="142" t="s">
        <v>78</v>
      </c>
      <c r="AM118" s="142" t="s">
        <v>81</v>
      </c>
      <c r="AN118" s="142" t="s">
        <v>81</v>
      </c>
      <c r="AO118" s="142" t="s">
        <v>78</v>
      </c>
      <c r="AP118" s="142" t="s">
        <v>81</v>
      </c>
      <c r="AQ118" s="142">
        <v>1</v>
      </c>
      <c r="AR118" s="142" t="s">
        <v>126</v>
      </c>
    </row>
    <row r="119" spans="1:44" s="143" customFormat="1" ht="25.05" customHeight="1" x14ac:dyDescent="0.3">
      <c r="A119" s="126" t="s">
        <v>948</v>
      </c>
      <c r="B119" s="125" t="s">
        <v>949</v>
      </c>
      <c r="C119" s="139">
        <v>2017</v>
      </c>
      <c r="D119" s="139" t="s">
        <v>508</v>
      </c>
      <c r="E119" s="139" t="s">
        <v>78</v>
      </c>
      <c r="F119" s="139" t="s">
        <v>558</v>
      </c>
      <c r="G119" s="139" t="s">
        <v>520</v>
      </c>
      <c r="H119" s="139" t="s">
        <v>596</v>
      </c>
      <c r="I119" s="126" t="s">
        <v>101</v>
      </c>
      <c r="J119" s="126" t="s">
        <v>689</v>
      </c>
      <c r="K119" s="126" t="s">
        <v>81</v>
      </c>
      <c r="L119" s="140" t="s">
        <v>74</v>
      </c>
      <c r="M119" s="140">
        <v>1000000</v>
      </c>
      <c r="N119" s="126">
        <v>1000000</v>
      </c>
      <c r="O119" s="126">
        <v>1344330</v>
      </c>
      <c r="P119" s="126">
        <v>723227.91</v>
      </c>
      <c r="Q119" s="126">
        <v>723227.91</v>
      </c>
      <c r="R119" s="126">
        <v>972256.97625030007</v>
      </c>
      <c r="S119" s="126">
        <v>723227.91</v>
      </c>
      <c r="T119" s="126">
        <v>723227.91</v>
      </c>
      <c r="U119" s="127">
        <v>972256.97625030007</v>
      </c>
      <c r="V119" s="140" t="s">
        <v>75</v>
      </c>
      <c r="W119" s="126" t="s">
        <v>950</v>
      </c>
      <c r="X119" s="126" t="s">
        <v>81</v>
      </c>
      <c r="Y119" s="126" t="s">
        <v>78</v>
      </c>
      <c r="Z119" s="126" t="s">
        <v>81</v>
      </c>
      <c r="AA119" s="126">
        <v>0</v>
      </c>
      <c r="AB119" s="141" t="s">
        <v>78</v>
      </c>
      <c r="AC119" s="126">
        <v>0</v>
      </c>
      <c r="AD119" s="139" t="s">
        <v>78</v>
      </c>
      <c r="AE119" s="126">
        <v>0</v>
      </c>
      <c r="AF119" s="126" t="s">
        <v>78</v>
      </c>
      <c r="AG119" s="126">
        <v>0</v>
      </c>
      <c r="AH119" s="142" t="s">
        <v>81</v>
      </c>
      <c r="AI119" s="142" t="s">
        <v>78</v>
      </c>
      <c r="AJ119" s="142" t="s">
        <v>75</v>
      </c>
      <c r="AK119" s="142" t="s">
        <v>466</v>
      </c>
      <c r="AL119" s="142" t="s">
        <v>78</v>
      </c>
      <c r="AM119" s="142" t="s">
        <v>81</v>
      </c>
      <c r="AN119" s="142" t="s">
        <v>81</v>
      </c>
      <c r="AO119" s="142" t="s">
        <v>78</v>
      </c>
      <c r="AP119" s="142" t="s">
        <v>81</v>
      </c>
      <c r="AQ119" s="142">
        <v>1</v>
      </c>
      <c r="AR119" s="142" t="s">
        <v>74</v>
      </c>
    </row>
    <row r="120" spans="1:44" s="143" customFormat="1" ht="25.05" customHeight="1" x14ac:dyDescent="0.3">
      <c r="A120" s="126" t="s">
        <v>761</v>
      </c>
      <c r="B120" s="125" t="s">
        <v>762</v>
      </c>
      <c r="C120" s="139">
        <v>2018</v>
      </c>
      <c r="D120" s="139" t="s">
        <v>508</v>
      </c>
      <c r="E120" s="139" t="s">
        <v>78</v>
      </c>
      <c r="F120" s="139" t="s">
        <v>558</v>
      </c>
      <c r="G120" s="139" t="s">
        <v>520</v>
      </c>
      <c r="H120" s="139" t="s">
        <v>587</v>
      </c>
      <c r="I120" s="126" t="s">
        <v>256</v>
      </c>
      <c r="J120" s="126" t="s">
        <v>689</v>
      </c>
      <c r="K120" s="126" t="s">
        <v>81</v>
      </c>
      <c r="L120" s="140" t="s">
        <v>74</v>
      </c>
      <c r="M120" s="140">
        <v>188050000</v>
      </c>
      <c r="N120" s="126">
        <v>188050000</v>
      </c>
      <c r="O120" s="126">
        <v>267807646.49999997</v>
      </c>
      <c r="P120" s="126">
        <v>10000000</v>
      </c>
      <c r="Q120" s="126">
        <v>10000000</v>
      </c>
      <c r="R120" s="126">
        <v>14241299.999999998</v>
      </c>
      <c r="S120" s="126">
        <v>10000000</v>
      </c>
      <c r="T120" s="126">
        <v>10000000</v>
      </c>
      <c r="U120" s="127">
        <v>14241299.999999998</v>
      </c>
      <c r="V120" s="140" t="s">
        <v>75</v>
      </c>
      <c r="W120" s="126" t="s">
        <v>763</v>
      </c>
      <c r="X120" s="126" t="s">
        <v>81</v>
      </c>
      <c r="Y120" s="126" t="s">
        <v>78</v>
      </c>
      <c r="Z120" s="126" t="s">
        <v>75</v>
      </c>
      <c r="AA120" s="126">
        <v>999</v>
      </c>
      <c r="AB120" s="141" t="s">
        <v>764</v>
      </c>
      <c r="AC120" s="126">
        <v>999</v>
      </c>
      <c r="AD120" s="139" t="s">
        <v>765</v>
      </c>
      <c r="AE120" s="126">
        <v>0</v>
      </c>
      <c r="AF120" s="126" t="s">
        <v>78</v>
      </c>
      <c r="AG120" s="126">
        <v>3</v>
      </c>
      <c r="AH120" s="142" t="s">
        <v>81</v>
      </c>
      <c r="AI120" s="142" t="s">
        <v>78</v>
      </c>
      <c r="AJ120" s="142" t="s">
        <v>81</v>
      </c>
      <c r="AK120" s="142" t="s">
        <v>78</v>
      </c>
      <c r="AL120" s="142" t="s">
        <v>78</v>
      </c>
      <c r="AM120" s="142" t="s">
        <v>81</v>
      </c>
      <c r="AN120" s="142" t="s">
        <v>81</v>
      </c>
      <c r="AO120" s="142" t="s">
        <v>78</v>
      </c>
      <c r="AP120" s="142" t="s">
        <v>81</v>
      </c>
      <c r="AQ120" s="142">
        <v>1</v>
      </c>
      <c r="AR120" s="142" t="s">
        <v>74</v>
      </c>
    </row>
    <row r="121" spans="1:44" s="143" customFormat="1" ht="25.05" customHeight="1" x14ac:dyDescent="0.3">
      <c r="A121" s="126" t="s">
        <v>919</v>
      </c>
      <c r="B121" s="125" t="s">
        <v>920</v>
      </c>
      <c r="C121" s="139">
        <v>2017</v>
      </c>
      <c r="D121" s="139" t="s">
        <v>508</v>
      </c>
      <c r="E121" s="139" t="s">
        <v>78</v>
      </c>
      <c r="F121" s="139" t="s">
        <v>558</v>
      </c>
      <c r="G121" s="139" t="s">
        <v>520</v>
      </c>
      <c r="H121" s="139" t="s">
        <v>587</v>
      </c>
      <c r="I121" s="126" t="s">
        <v>256</v>
      </c>
      <c r="J121" s="126" t="s">
        <v>679</v>
      </c>
      <c r="K121" s="126" t="s">
        <v>75</v>
      </c>
      <c r="L121" s="140" t="s">
        <v>104</v>
      </c>
      <c r="M121" s="140">
        <v>2972570</v>
      </c>
      <c r="N121" s="126">
        <v>2330805.9027396617</v>
      </c>
      <c r="O121" s="126">
        <v>3133372.2992300093</v>
      </c>
      <c r="P121" s="126">
        <v>1628526.9</v>
      </c>
      <c r="Q121" s="126">
        <v>1628526.9</v>
      </c>
      <c r="R121" s="126">
        <v>2189277.5674769999</v>
      </c>
      <c r="S121" s="126">
        <v>0</v>
      </c>
      <c r="T121" s="126">
        <v>0</v>
      </c>
      <c r="U121" s="127">
        <v>0</v>
      </c>
      <c r="V121" s="140" t="s">
        <v>75</v>
      </c>
      <c r="W121" s="126" t="s">
        <v>921</v>
      </c>
      <c r="X121" s="126" t="s">
        <v>81</v>
      </c>
      <c r="Y121" s="126" t="s">
        <v>78</v>
      </c>
      <c r="Z121" s="126" t="s">
        <v>81</v>
      </c>
      <c r="AA121" s="126">
        <v>0</v>
      </c>
      <c r="AB121" s="141" t="s">
        <v>78</v>
      </c>
      <c r="AC121" s="126">
        <v>0</v>
      </c>
      <c r="AD121" s="139" t="s">
        <v>78</v>
      </c>
      <c r="AE121" s="126">
        <v>0</v>
      </c>
      <c r="AF121" s="126" t="s">
        <v>78</v>
      </c>
      <c r="AG121" s="126">
        <v>0</v>
      </c>
      <c r="AH121" s="142" t="s">
        <v>81</v>
      </c>
      <c r="AI121" s="142" t="s">
        <v>78</v>
      </c>
      <c r="AJ121" s="142" t="s">
        <v>75</v>
      </c>
      <c r="AK121" s="142" t="s">
        <v>466</v>
      </c>
      <c r="AL121" s="142" t="s">
        <v>704</v>
      </c>
      <c r="AM121" s="142" t="s">
        <v>81</v>
      </c>
      <c r="AN121" s="142" t="s">
        <v>81</v>
      </c>
      <c r="AO121" s="142" t="s">
        <v>78</v>
      </c>
      <c r="AP121" s="142" t="s">
        <v>81</v>
      </c>
      <c r="AQ121" s="142">
        <v>1</v>
      </c>
      <c r="AR121" s="142" t="s">
        <v>104</v>
      </c>
    </row>
    <row r="122" spans="1:44" s="143" customFormat="1" ht="25.05" customHeight="1" x14ac:dyDescent="0.3">
      <c r="A122" s="126" t="s">
        <v>715</v>
      </c>
      <c r="B122" s="125" t="s">
        <v>716</v>
      </c>
      <c r="C122" s="139">
        <v>2018</v>
      </c>
      <c r="D122" s="139" t="s">
        <v>513</v>
      </c>
      <c r="E122" s="139" t="s">
        <v>78</v>
      </c>
      <c r="F122" s="139" t="s">
        <v>539</v>
      </c>
      <c r="G122" s="139" t="s">
        <v>520</v>
      </c>
      <c r="H122" s="139" t="s">
        <v>597</v>
      </c>
      <c r="I122" s="126" t="s">
        <v>101</v>
      </c>
      <c r="J122" s="126" t="s">
        <v>676</v>
      </c>
      <c r="K122" s="126" t="s">
        <v>81</v>
      </c>
      <c r="L122" s="140" t="s">
        <v>74</v>
      </c>
      <c r="M122" s="140">
        <v>5000000</v>
      </c>
      <c r="N122" s="126">
        <v>5000000</v>
      </c>
      <c r="O122" s="126">
        <v>7120649.9999999991</v>
      </c>
      <c r="P122" s="126">
        <v>5000000</v>
      </c>
      <c r="Q122" s="126">
        <v>5000000</v>
      </c>
      <c r="R122" s="126">
        <v>7120649.9999999991</v>
      </c>
      <c r="S122" s="126">
        <v>5000000</v>
      </c>
      <c r="T122" s="126">
        <v>5000000</v>
      </c>
      <c r="U122" s="127">
        <v>7120649.9999999991</v>
      </c>
      <c r="V122" s="140" t="s">
        <v>81</v>
      </c>
      <c r="W122" s="126" t="s">
        <v>78</v>
      </c>
      <c r="X122" s="126" t="s">
        <v>81</v>
      </c>
      <c r="Y122" s="126" t="s">
        <v>78</v>
      </c>
      <c r="Z122" s="126" t="s">
        <v>81</v>
      </c>
      <c r="AA122" s="126">
        <v>0</v>
      </c>
      <c r="AB122" s="141" t="s">
        <v>78</v>
      </c>
      <c r="AC122" s="126">
        <v>0</v>
      </c>
      <c r="AD122" s="139" t="s">
        <v>78</v>
      </c>
      <c r="AE122" s="126">
        <v>0</v>
      </c>
      <c r="AF122" s="126" t="s">
        <v>78</v>
      </c>
      <c r="AG122" s="126">
        <v>0</v>
      </c>
      <c r="AH122" s="142" t="s">
        <v>81</v>
      </c>
      <c r="AI122" s="142" t="s">
        <v>78</v>
      </c>
      <c r="AJ122" s="142" t="s">
        <v>81</v>
      </c>
      <c r="AK122" s="142" t="s">
        <v>78</v>
      </c>
      <c r="AL122" s="142" t="s">
        <v>78</v>
      </c>
      <c r="AM122" s="142" t="s">
        <v>81</v>
      </c>
      <c r="AN122" s="142" t="s">
        <v>81</v>
      </c>
      <c r="AO122" s="142" t="s">
        <v>78</v>
      </c>
      <c r="AP122" s="142" t="s">
        <v>81</v>
      </c>
      <c r="AQ122" s="142">
        <v>1</v>
      </c>
      <c r="AR122" s="142" t="s">
        <v>74</v>
      </c>
    </row>
    <row r="123" spans="1:44" s="143" customFormat="1" ht="25.05" customHeight="1" x14ac:dyDescent="0.3">
      <c r="A123" s="126" t="s">
        <v>951</v>
      </c>
      <c r="B123" s="125" t="s">
        <v>952</v>
      </c>
      <c r="C123" s="139">
        <v>2017</v>
      </c>
      <c r="D123" s="139" t="s">
        <v>516</v>
      </c>
      <c r="E123" s="139" t="s">
        <v>78</v>
      </c>
      <c r="F123" s="139" t="s">
        <v>569</v>
      </c>
      <c r="G123" s="139" t="s">
        <v>519</v>
      </c>
      <c r="H123" s="139" t="s">
        <v>585</v>
      </c>
      <c r="I123" s="126" t="s">
        <v>228</v>
      </c>
      <c r="J123" s="126" t="s">
        <v>679</v>
      </c>
      <c r="K123" s="126" t="s">
        <v>75</v>
      </c>
      <c r="L123" s="140" t="s">
        <v>126</v>
      </c>
      <c r="M123" s="140">
        <v>6210000</v>
      </c>
      <c r="N123" s="126">
        <v>4619401.486242217</v>
      </c>
      <c r="O123" s="126">
        <v>6210000</v>
      </c>
      <c r="P123" s="126">
        <v>4491245.33</v>
      </c>
      <c r="Q123" s="126">
        <v>4491245.33</v>
      </c>
      <c r="R123" s="126">
        <v>6037715.8344788998</v>
      </c>
      <c r="S123" s="126">
        <v>0</v>
      </c>
      <c r="T123" s="126">
        <v>0</v>
      </c>
      <c r="U123" s="127">
        <v>0</v>
      </c>
      <c r="V123" s="140" t="s">
        <v>81</v>
      </c>
      <c r="W123" s="126" t="s">
        <v>78</v>
      </c>
      <c r="X123" s="126" t="s">
        <v>81</v>
      </c>
      <c r="Y123" s="126" t="s">
        <v>78</v>
      </c>
      <c r="Z123" s="126" t="s">
        <v>81</v>
      </c>
      <c r="AA123" s="126">
        <v>0</v>
      </c>
      <c r="AB123" s="141" t="s">
        <v>78</v>
      </c>
      <c r="AC123" s="126">
        <v>0</v>
      </c>
      <c r="AD123" s="139" t="s">
        <v>78</v>
      </c>
      <c r="AE123" s="126">
        <v>0</v>
      </c>
      <c r="AF123" s="126" t="s">
        <v>78</v>
      </c>
      <c r="AG123" s="126">
        <v>0</v>
      </c>
      <c r="AH123" s="142" t="s">
        <v>81</v>
      </c>
      <c r="AI123" s="142" t="s">
        <v>78</v>
      </c>
      <c r="AJ123" s="142" t="s">
        <v>81</v>
      </c>
      <c r="AK123" s="142" t="s">
        <v>78</v>
      </c>
      <c r="AL123" s="142" t="s">
        <v>78</v>
      </c>
      <c r="AM123" s="142" t="s">
        <v>81</v>
      </c>
      <c r="AN123" s="142" t="s">
        <v>81</v>
      </c>
      <c r="AO123" s="142" t="s">
        <v>78</v>
      </c>
      <c r="AP123" s="142" t="s">
        <v>81</v>
      </c>
      <c r="AQ123" s="142">
        <v>1</v>
      </c>
      <c r="AR123" s="142" t="s">
        <v>126</v>
      </c>
    </row>
    <row r="124" spans="1:44" s="143" customFormat="1" ht="25.05" customHeight="1" x14ac:dyDescent="0.3">
      <c r="A124" s="126" t="s">
        <v>891</v>
      </c>
      <c r="B124" s="125" t="s">
        <v>892</v>
      </c>
      <c r="C124" s="139">
        <v>2018</v>
      </c>
      <c r="D124" s="139" t="s">
        <v>497</v>
      </c>
      <c r="E124" s="139" t="s">
        <v>78</v>
      </c>
      <c r="F124" s="139" t="s">
        <v>538</v>
      </c>
      <c r="G124" s="139" t="s">
        <v>520</v>
      </c>
      <c r="H124" s="139" t="s">
        <v>228</v>
      </c>
      <c r="I124" s="126" t="s">
        <v>228</v>
      </c>
      <c r="J124" s="126" t="s">
        <v>676</v>
      </c>
      <c r="K124" s="126" t="s">
        <v>81</v>
      </c>
      <c r="L124" s="140" t="s">
        <v>74</v>
      </c>
      <c r="M124" s="140">
        <v>10000000</v>
      </c>
      <c r="N124" s="126">
        <v>10000000</v>
      </c>
      <c r="O124" s="126">
        <v>14241299.999999998</v>
      </c>
      <c r="P124" s="126">
        <v>10000000</v>
      </c>
      <c r="Q124" s="126">
        <v>10000000</v>
      </c>
      <c r="R124" s="126">
        <v>14241299.999999998</v>
      </c>
      <c r="S124" s="126">
        <v>10000000</v>
      </c>
      <c r="T124" s="126">
        <v>10000000</v>
      </c>
      <c r="U124" s="127">
        <v>14241299.999999998</v>
      </c>
      <c r="V124" s="140" t="s">
        <v>81</v>
      </c>
      <c r="W124" s="126" t="s">
        <v>78</v>
      </c>
      <c r="X124" s="126" t="s">
        <v>81</v>
      </c>
      <c r="Y124" s="126" t="s">
        <v>78</v>
      </c>
      <c r="Z124" s="126" t="s">
        <v>81</v>
      </c>
      <c r="AA124" s="126">
        <v>0</v>
      </c>
      <c r="AB124" s="141" t="s">
        <v>78</v>
      </c>
      <c r="AC124" s="126">
        <v>0</v>
      </c>
      <c r="AD124" s="139" t="s">
        <v>78</v>
      </c>
      <c r="AE124" s="126">
        <v>0</v>
      </c>
      <c r="AF124" s="126" t="s">
        <v>78</v>
      </c>
      <c r="AG124" s="126">
        <v>0</v>
      </c>
      <c r="AH124" s="142" t="s">
        <v>81</v>
      </c>
      <c r="AI124" s="142" t="s">
        <v>78</v>
      </c>
      <c r="AJ124" s="142" t="s">
        <v>81</v>
      </c>
      <c r="AK124" s="142" t="s">
        <v>78</v>
      </c>
      <c r="AL124" s="142" t="s">
        <v>78</v>
      </c>
      <c r="AM124" s="142" t="s">
        <v>81</v>
      </c>
      <c r="AN124" s="142" t="s">
        <v>81</v>
      </c>
      <c r="AO124" s="142" t="s">
        <v>78</v>
      </c>
      <c r="AP124" s="142" t="s">
        <v>81</v>
      </c>
      <c r="AQ124" s="142">
        <v>1</v>
      </c>
      <c r="AR124" s="142" t="s">
        <v>74</v>
      </c>
    </row>
    <row r="125" spans="1:44" s="143" customFormat="1" ht="25.05" customHeight="1" x14ac:dyDescent="0.3">
      <c r="A125" s="126" t="s">
        <v>812</v>
      </c>
      <c r="B125" s="125" t="s">
        <v>813</v>
      </c>
      <c r="C125" s="139">
        <v>2018</v>
      </c>
      <c r="D125" s="139" t="s">
        <v>297</v>
      </c>
      <c r="E125" s="139" t="s">
        <v>78</v>
      </c>
      <c r="F125" s="139" t="s">
        <v>566</v>
      </c>
      <c r="G125" s="139" t="s">
        <v>522</v>
      </c>
      <c r="H125" s="139" t="s">
        <v>597</v>
      </c>
      <c r="I125" s="126" t="s">
        <v>101</v>
      </c>
      <c r="J125" s="126" t="s">
        <v>676</v>
      </c>
      <c r="K125" s="126" t="s">
        <v>81</v>
      </c>
      <c r="L125" s="140" t="s">
        <v>74</v>
      </c>
      <c r="M125" s="140">
        <v>40000000</v>
      </c>
      <c r="N125" s="126">
        <v>40000000</v>
      </c>
      <c r="O125" s="126">
        <v>56965199.999999993</v>
      </c>
      <c r="P125" s="126">
        <v>40000000</v>
      </c>
      <c r="Q125" s="126">
        <v>40000000</v>
      </c>
      <c r="R125" s="126">
        <v>56965199.999999993</v>
      </c>
      <c r="S125" s="126">
        <v>40000000</v>
      </c>
      <c r="T125" s="126">
        <v>40000000</v>
      </c>
      <c r="U125" s="127">
        <v>56965199.999999993</v>
      </c>
      <c r="V125" s="140" t="s">
        <v>81</v>
      </c>
      <c r="W125" s="126" t="s">
        <v>78</v>
      </c>
      <c r="X125" s="126" t="s">
        <v>81</v>
      </c>
      <c r="Y125" s="126" t="s">
        <v>78</v>
      </c>
      <c r="Z125" s="126" t="s">
        <v>81</v>
      </c>
      <c r="AA125" s="126">
        <v>0</v>
      </c>
      <c r="AB125" s="141" t="s">
        <v>78</v>
      </c>
      <c r="AC125" s="126">
        <v>0</v>
      </c>
      <c r="AD125" s="139" t="s">
        <v>78</v>
      </c>
      <c r="AE125" s="126">
        <v>0</v>
      </c>
      <c r="AF125" s="126" t="s">
        <v>78</v>
      </c>
      <c r="AG125" s="126">
        <v>0</v>
      </c>
      <c r="AH125" s="142" t="s">
        <v>81</v>
      </c>
      <c r="AI125" s="142" t="s">
        <v>78</v>
      </c>
      <c r="AJ125" s="142" t="s">
        <v>81</v>
      </c>
      <c r="AK125" s="142" t="s">
        <v>78</v>
      </c>
      <c r="AL125" s="142" t="s">
        <v>78</v>
      </c>
      <c r="AM125" s="142" t="s">
        <v>81</v>
      </c>
      <c r="AN125" s="142" t="s">
        <v>81</v>
      </c>
      <c r="AO125" s="142" t="s">
        <v>78</v>
      </c>
      <c r="AP125" s="142" t="s">
        <v>81</v>
      </c>
      <c r="AQ125" s="142">
        <v>1</v>
      </c>
      <c r="AR125" s="142" t="s">
        <v>74</v>
      </c>
    </row>
    <row r="126" spans="1:44" s="143" customFormat="1" ht="25.05" customHeight="1" x14ac:dyDescent="0.3">
      <c r="A126" s="126" t="s">
        <v>351</v>
      </c>
      <c r="B126" s="126" t="s">
        <v>352</v>
      </c>
      <c r="C126" s="139">
        <v>2021</v>
      </c>
      <c r="D126" s="139" t="s">
        <v>353</v>
      </c>
      <c r="E126" s="139">
        <v>0</v>
      </c>
      <c r="F126" s="139" t="s">
        <v>78</v>
      </c>
      <c r="G126" s="139" t="s">
        <v>519</v>
      </c>
      <c r="H126" s="139" t="s">
        <v>216</v>
      </c>
      <c r="I126" s="126" t="s">
        <v>101</v>
      </c>
      <c r="J126" s="126" t="s">
        <v>103</v>
      </c>
      <c r="K126" s="126" t="s">
        <v>81</v>
      </c>
      <c r="L126" s="126" t="s">
        <v>74</v>
      </c>
      <c r="M126" s="126">
        <v>266412940</v>
      </c>
      <c r="N126" s="126">
        <v>266412940</v>
      </c>
      <c r="O126" s="126">
        <v>383706565.09380001</v>
      </c>
      <c r="P126" s="126" t="s">
        <v>659</v>
      </c>
      <c r="Q126" s="126" t="s">
        <v>659</v>
      </c>
      <c r="R126" s="126" t="s">
        <v>659</v>
      </c>
      <c r="S126" s="126">
        <v>7136069</v>
      </c>
      <c r="T126" s="126">
        <v>7136069</v>
      </c>
      <c r="U126" s="127">
        <v>10277866.09863</v>
      </c>
      <c r="V126" s="126" t="s">
        <v>81</v>
      </c>
      <c r="W126" s="126">
        <v>0</v>
      </c>
      <c r="X126" s="126" t="s">
        <v>81</v>
      </c>
      <c r="Y126" s="126">
        <v>0</v>
      </c>
      <c r="Z126" s="126" t="s">
        <v>75</v>
      </c>
      <c r="AA126" s="126">
        <v>0</v>
      </c>
      <c r="AB126" s="141" t="s">
        <v>78</v>
      </c>
      <c r="AC126" s="126">
        <v>0</v>
      </c>
      <c r="AD126" s="139" t="s">
        <v>78</v>
      </c>
      <c r="AE126" s="126">
        <v>1</v>
      </c>
      <c r="AF126" s="126" t="s">
        <v>354</v>
      </c>
      <c r="AG126" s="126">
        <v>1</v>
      </c>
      <c r="AH126" s="142" t="s">
        <v>75</v>
      </c>
      <c r="AI126" s="142" t="s">
        <v>355</v>
      </c>
      <c r="AJ126" s="142" t="s">
        <v>75</v>
      </c>
      <c r="AK126" s="142" t="s">
        <v>356</v>
      </c>
      <c r="AL126" s="142" t="s">
        <v>121</v>
      </c>
      <c r="AM126" s="142" t="s">
        <v>75</v>
      </c>
      <c r="AN126" s="142" t="s">
        <v>75</v>
      </c>
      <c r="AO126" s="142" t="s">
        <v>84</v>
      </c>
      <c r="AP126" s="142" t="s">
        <v>81</v>
      </c>
      <c r="AQ126" s="142">
        <v>1</v>
      </c>
      <c r="AR126" s="142" t="s">
        <v>74</v>
      </c>
    </row>
    <row r="127" spans="1:44" s="143" customFormat="1" ht="25.05" customHeight="1" x14ac:dyDescent="0.3">
      <c r="A127" s="126" t="s">
        <v>404</v>
      </c>
      <c r="B127" s="126" t="s">
        <v>405</v>
      </c>
      <c r="C127" s="139">
        <v>2021</v>
      </c>
      <c r="D127" s="139" t="s">
        <v>163</v>
      </c>
      <c r="E127" s="139">
        <v>0</v>
      </c>
      <c r="F127" s="139" t="s">
        <v>556</v>
      </c>
      <c r="G127" s="139" t="s">
        <v>522</v>
      </c>
      <c r="H127" s="139" t="s">
        <v>216</v>
      </c>
      <c r="I127" s="126" t="s">
        <v>101</v>
      </c>
      <c r="J127" s="126" t="s">
        <v>103</v>
      </c>
      <c r="K127" s="126" t="s">
        <v>81</v>
      </c>
      <c r="L127" s="126" t="s">
        <v>126</v>
      </c>
      <c r="M127" s="126">
        <v>175000000</v>
      </c>
      <c r="N127" s="126">
        <v>121504995.59110445</v>
      </c>
      <c r="O127" s="126">
        <v>175000000</v>
      </c>
      <c r="P127" s="126" t="s">
        <v>659</v>
      </c>
      <c r="Q127" s="126" t="s">
        <v>659</v>
      </c>
      <c r="R127" s="126" t="s">
        <v>659</v>
      </c>
      <c r="S127" s="126">
        <v>20000000</v>
      </c>
      <c r="T127" s="126">
        <v>13886285.210411938</v>
      </c>
      <c r="U127" s="127">
        <v>20000000</v>
      </c>
      <c r="V127" s="126" t="s">
        <v>81</v>
      </c>
      <c r="W127" s="126">
        <v>0</v>
      </c>
      <c r="X127" s="126" t="s">
        <v>81</v>
      </c>
      <c r="Y127" s="126">
        <v>0</v>
      </c>
      <c r="Z127" s="126" t="s">
        <v>81</v>
      </c>
      <c r="AA127" s="126">
        <v>0</v>
      </c>
      <c r="AB127" s="141">
        <v>0</v>
      </c>
      <c r="AC127" s="126">
        <v>0</v>
      </c>
      <c r="AD127" s="139">
        <v>0</v>
      </c>
      <c r="AE127" s="126">
        <v>0</v>
      </c>
      <c r="AF127" s="126">
        <v>0</v>
      </c>
      <c r="AG127" s="126">
        <v>0</v>
      </c>
      <c r="AH127" s="142" t="s">
        <v>81</v>
      </c>
      <c r="AI127" s="142">
        <v>0</v>
      </c>
      <c r="AJ127" s="142" t="s">
        <v>81</v>
      </c>
      <c r="AK127" s="142">
        <v>0</v>
      </c>
      <c r="AL127" s="142" t="s">
        <v>121</v>
      </c>
      <c r="AM127" s="142" t="s">
        <v>75</v>
      </c>
      <c r="AN127" s="142" t="s">
        <v>81</v>
      </c>
      <c r="AO127" s="142" t="s">
        <v>84</v>
      </c>
      <c r="AP127" s="142" t="s">
        <v>81</v>
      </c>
      <c r="AQ127" s="142">
        <v>1</v>
      </c>
      <c r="AR127" s="142" t="s">
        <v>126</v>
      </c>
    </row>
    <row r="128" spans="1:44" s="143" customFormat="1" ht="25.05" customHeight="1" x14ac:dyDescent="0.3">
      <c r="A128" s="126" t="s">
        <v>431</v>
      </c>
      <c r="B128" s="126" t="s">
        <v>432</v>
      </c>
      <c r="C128" s="139">
        <v>2021</v>
      </c>
      <c r="D128" s="139" t="s">
        <v>433</v>
      </c>
      <c r="E128" s="139">
        <v>0</v>
      </c>
      <c r="F128" s="139" t="s">
        <v>564</v>
      </c>
      <c r="G128" s="139" t="s">
        <v>520</v>
      </c>
      <c r="H128" s="139" t="s">
        <v>368</v>
      </c>
      <c r="I128" s="126" t="s">
        <v>101</v>
      </c>
      <c r="J128" s="126" t="s">
        <v>73</v>
      </c>
      <c r="K128" s="126" t="s">
        <v>81</v>
      </c>
      <c r="L128" s="126" t="s">
        <v>74</v>
      </c>
      <c r="M128" s="126">
        <v>11660000</v>
      </c>
      <c r="N128" s="126">
        <v>11660000</v>
      </c>
      <c r="O128" s="126">
        <v>16793548.199999999</v>
      </c>
      <c r="P128" s="126" t="s">
        <v>659</v>
      </c>
      <c r="Q128" s="126" t="s">
        <v>659</v>
      </c>
      <c r="R128" s="126" t="s">
        <v>659</v>
      </c>
      <c r="S128" s="126">
        <v>10500000</v>
      </c>
      <c r="T128" s="126">
        <v>10500000</v>
      </c>
      <c r="U128" s="127">
        <v>15122835</v>
      </c>
      <c r="V128" s="126" t="s">
        <v>81</v>
      </c>
      <c r="W128" s="126">
        <v>0</v>
      </c>
      <c r="X128" s="126" t="s">
        <v>81</v>
      </c>
      <c r="Y128" s="126">
        <v>0</v>
      </c>
      <c r="Z128" s="126" t="s">
        <v>75</v>
      </c>
      <c r="AA128" s="126">
        <v>1</v>
      </c>
      <c r="AB128" s="141" t="s">
        <v>434</v>
      </c>
      <c r="AC128" s="126">
        <v>0</v>
      </c>
      <c r="AD128" s="139" t="s">
        <v>78</v>
      </c>
      <c r="AE128" s="126">
        <v>1</v>
      </c>
      <c r="AF128" s="126" t="s">
        <v>435</v>
      </c>
      <c r="AG128" s="126">
        <v>2</v>
      </c>
      <c r="AH128" s="142" t="s">
        <v>81</v>
      </c>
      <c r="AI128" s="142">
        <v>0</v>
      </c>
      <c r="AJ128" s="142" t="s">
        <v>81</v>
      </c>
      <c r="AK128" s="142">
        <v>0</v>
      </c>
      <c r="AL128" s="142" t="s">
        <v>121</v>
      </c>
      <c r="AM128" s="142" t="s">
        <v>75</v>
      </c>
      <c r="AN128" s="142" t="s">
        <v>75</v>
      </c>
      <c r="AO128" s="142" t="s">
        <v>84</v>
      </c>
      <c r="AP128" s="142" t="s">
        <v>81</v>
      </c>
      <c r="AQ128" s="142">
        <v>1</v>
      </c>
      <c r="AR128" s="142" t="s">
        <v>74</v>
      </c>
    </row>
    <row r="129" spans="1:44" s="143" customFormat="1" ht="25.05" customHeight="1" x14ac:dyDescent="0.3">
      <c r="A129" s="126" t="s">
        <v>1717</v>
      </c>
      <c r="B129" s="126" t="s">
        <v>1718</v>
      </c>
      <c r="C129" s="139">
        <v>2019</v>
      </c>
      <c r="D129" s="139" t="s">
        <v>135</v>
      </c>
      <c r="E129" s="139" t="s">
        <v>78</v>
      </c>
      <c r="F129" s="139" t="s">
        <v>530</v>
      </c>
      <c r="G129" s="139" t="s">
        <v>520</v>
      </c>
      <c r="H129" s="139" t="s">
        <v>228</v>
      </c>
      <c r="I129" s="126" t="s">
        <v>228</v>
      </c>
      <c r="J129" s="126" t="s">
        <v>676</v>
      </c>
      <c r="K129" s="126" t="s">
        <v>81</v>
      </c>
      <c r="L129" s="126" t="s">
        <v>104</v>
      </c>
      <c r="M129" s="126">
        <v>140690000</v>
      </c>
      <c r="N129" s="126">
        <v>115866714.9822111</v>
      </c>
      <c r="O129" s="126">
        <v>161146268.53010938</v>
      </c>
      <c r="P129" s="126">
        <v>89882685</v>
      </c>
      <c r="Q129" s="126">
        <v>89882685</v>
      </c>
      <c r="R129" s="126">
        <v>125007939.47115</v>
      </c>
      <c r="S129" s="126">
        <v>89882685</v>
      </c>
      <c r="T129" s="126">
        <v>89882685</v>
      </c>
      <c r="U129" s="127">
        <v>125007939.47115</v>
      </c>
      <c r="V129" s="126" t="s">
        <v>75</v>
      </c>
      <c r="W129" s="126" t="s">
        <v>1719</v>
      </c>
      <c r="X129" s="126" t="s">
        <v>75</v>
      </c>
      <c r="Y129" s="126" t="s">
        <v>1720</v>
      </c>
      <c r="Z129" s="126" t="s">
        <v>75</v>
      </c>
      <c r="AA129" s="126">
        <v>0</v>
      </c>
      <c r="AB129" s="141" t="s">
        <v>78</v>
      </c>
      <c r="AC129" s="126">
        <v>999</v>
      </c>
      <c r="AD129" s="139" t="s">
        <v>1721</v>
      </c>
      <c r="AE129" s="126">
        <v>0</v>
      </c>
      <c r="AF129" s="126" t="s">
        <v>78</v>
      </c>
      <c r="AG129" s="126">
        <v>3</v>
      </c>
      <c r="AH129" s="142" t="s">
        <v>81</v>
      </c>
      <c r="AI129" s="142" t="s">
        <v>78</v>
      </c>
      <c r="AJ129" s="142" t="s">
        <v>81</v>
      </c>
      <c r="AK129" s="142" t="s">
        <v>1423</v>
      </c>
      <c r="AL129" s="142" t="s">
        <v>121</v>
      </c>
      <c r="AM129" s="142" t="s">
        <v>75</v>
      </c>
      <c r="AN129" s="142" t="s">
        <v>75</v>
      </c>
      <c r="AO129" s="142" t="s">
        <v>78</v>
      </c>
      <c r="AP129" s="142" t="s">
        <v>75</v>
      </c>
      <c r="AQ129" s="142">
        <v>1</v>
      </c>
      <c r="AR129" s="142" t="s">
        <v>104</v>
      </c>
    </row>
    <row r="130" spans="1:44" s="143" customFormat="1" ht="25.05" customHeight="1" x14ac:dyDescent="0.3">
      <c r="A130" s="126" t="s">
        <v>1010</v>
      </c>
      <c r="B130" s="125" t="s">
        <v>1011</v>
      </c>
      <c r="C130" s="139">
        <v>2017</v>
      </c>
      <c r="D130" s="139" t="s">
        <v>497</v>
      </c>
      <c r="E130" s="139" t="s">
        <v>78</v>
      </c>
      <c r="F130" s="139" t="s">
        <v>538</v>
      </c>
      <c r="G130" s="139" t="s">
        <v>520</v>
      </c>
      <c r="H130" s="139" t="s">
        <v>588</v>
      </c>
      <c r="I130" s="126" t="s">
        <v>256</v>
      </c>
      <c r="J130" s="126" t="s">
        <v>676</v>
      </c>
      <c r="K130" s="126" t="s">
        <v>81</v>
      </c>
      <c r="L130" s="140" t="s">
        <v>74</v>
      </c>
      <c r="M130" s="140">
        <v>80000000</v>
      </c>
      <c r="N130" s="126">
        <v>80000000</v>
      </c>
      <c r="O130" s="126">
        <v>107546400</v>
      </c>
      <c r="P130" s="126">
        <v>35950000</v>
      </c>
      <c r="Q130" s="126">
        <v>35950000</v>
      </c>
      <c r="R130" s="126">
        <v>48328663.5</v>
      </c>
      <c r="S130" s="126">
        <v>35950000</v>
      </c>
      <c r="T130" s="126">
        <v>35950000</v>
      </c>
      <c r="U130" s="127">
        <v>48328663.5</v>
      </c>
      <c r="V130" s="140" t="s">
        <v>75</v>
      </c>
      <c r="W130" s="126" t="s">
        <v>1012</v>
      </c>
      <c r="X130" s="126" t="s">
        <v>81</v>
      </c>
      <c r="Y130" s="126" t="s">
        <v>78</v>
      </c>
      <c r="Z130" s="126" t="s">
        <v>75</v>
      </c>
      <c r="AA130" s="126">
        <v>999</v>
      </c>
      <c r="AB130" s="141" t="s">
        <v>990</v>
      </c>
      <c r="AC130" s="126">
        <v>999</v>
      </c>
      <c r="AD130" s="139" t="s">
        <v>1013</v>
      </c>
      <c r="AE130" s="126">
        <v>0</v>
      </c>
      <c r="AF130" s="126" t="s">
        <v>78</v>
      </c>
      <c r="AG130" s="126">
        <v>2</v>
      </c>
      <c r="AH130" s="142" t="s">
        <v>75</v>
      </c>
      <c r="AI130" s="142" t="s">
        <v>1014</v>
      </c>
      <c r="AJ130" s="142" t="s">
        <v>75</v>
      </c>
      <c r="AK130" s="142" t="s">
        <v>256</v>
      </c>
      <c r="AL130" s="142" t="s">
        <v>704</v>
      </c>
      <c r="AM130" s="142" t="s">
        <v>81</v>
      </c>
      <c r="AN130" s="142" t="s">
        <v>81</v>
      </c>
      <c r="AO130" s="142" t="s">
        <v>78</v>
      </c>
      <c r="AP130" s="142" t="s">
        <v>81</v>
      </c>
      <c r="AQ130" s="142">
        <v>1</v>
      </c>
      <c r="AR130" s="142" t="s">
        <v>74</v>
      </c>
    </row>
    <row r="131" spans="1:44" s="143" customFormat="1" ht="25.05" customHeight="1" x14ac:dyDescent="0.3">
      <c r="A131" s="126" t="s">
        <v>1282</v>
      </c>
      <c r="B131" s="125" t="s">
        <v>1283</v>
      </c>
      <c r="C131" s="139">
        <v>2016</v>
      </c>
      <c r="D131" s="139" t="s">
        <v>145</v>
      </c>
      <c r="E131" s="139" t="s">
        <v>78</v>
      </c>
      <c r="F131" s="139" t="s">
        <v>543</v>
      </c>
      <c r="G131" s="139" t="s">
        <v>522</v>
      </c>
      <c r="H131" s="139" t="s">
        <v>228</v>
      </c>
      <c r="I131" s="126" t="s">
        <v>228</v>
      </c>
      <c r="J131" s="126" t="s">
        <v>689</v>
      </c>
      <c r="K131" s="126" t="s">
        <v>81</v>
      </c>
      <c r="L131" s="140" t="s">
        <v>74</v>
      </c>
      <c r="M131" s="140">
        <v>37500000</v>
      </c>
      <c r="N131" s="126">
        <v>37500000</v>
      </c>
      <c r="O131" s="126">
        <v>51964875</v>
      </c>
      <c r="P131" s="126">
        <v>33958372.700000003</v>
      </c>
      <c r="Q131" s="126">
        <v>33958372.700000003</v>
      </c>
      <c r="R131" s="126">
        <v>47057135.801571004</v>
      </c>
      <c r="S131" s="126">
        <v>33958372.700000003</v>
      </c>
      <c r="T131" s="126">
        <v>33958372.700000003</v>
      </c>
      <c r="U131" s="127">
        <v>47057135.801571004</v>
      </c>
      <c r="V131" s="140" t="s">
        <v>81</v>
      </c>
      <c r="W131" s="126" t="s">
        <v>78</v>
      </c>
      <c r="X131" s="126" t="s">
        <v>81</v>
      </c>
      <c r="Y131" s="126" t="s">
        <v>78</v>
      </c>
      <c r="Z131" s="126" t="s">
        <v>81</v>
      </c>
      <c r="AA131" s="126">
        <v>0</v>
      </c>
      <c r="AB131" s="141" t="s">
        <v>78</v>
      </c>
      <c r="AC131" s="126">
        <v>0</v>
      </c>
      <c r="AD131" s="139" t="s">
        <v>78</v>
      </c>
      <c r="AE131" s="126">
        <v>0</v>
      </c>
      <c r="AF131" s="126" t="s">
        <v>78</v>
      </c>
      <c r="AG131" s="126">
        <v>0</v>
      </c>
      <c r="AH131" s="142" t="s">
        <v>81</v>
      </c>
      <c r="AI131" s="142" t="s">
        <v>78</v>
      </c>
      <c r="AJ131" s="142" t="s">
        <v>81</v>
      </c>
      <c r="AK131" s="142" t="s">
        <v>78</v>
      </c>
      <c r="AL131" s="142" t="s">
        <v>78</v>
      </c>
      <c r="AM131" s="142" t="s">
        <v>81</v>
      </c>
      <c r="AN131" s="142" t="s">
        <v>81</v>
      </c>
      <c r="AO131" s="142" t="s">
        <v>78</v>
      </c>
      <c r="AP131" s="142" t="s">
        <v>81</v>
      </c>
      <c r="AQ131" s="142">
        <v>1</v>
      </c>
      <c r="AR131" s="142" t="s">
        <v>74</v>
      </c>
    </row>
    <row r="132" spans="1:44" s="143" customFormat="1" ht="25.05" customHeight="1" x14ac:dyDescent="0.3">
      <c r="A132" s="126" t="s">
        <v>1126</v>
      </c>
      <c r="B132" s="125" t="s">
        <v>1127</v>
      </c>
      <c r="C132" s="139">
        <v>2016</v>
      </c>
      <c r="D132" s="139" t="s">
        <v>496</v>
      </c>
      <c r="E132" s="139" t="s">
        <v>78</v>
      </c>
      <c r="F132" s="139" t="s">
        <v>535</v>
      </c>
      <c r="G132" s="139" t="s">
        <v>522</v>
      </c>
      <c r="H132" s="139" t="s">
        <v>589</v>
      </c>
      <c r="I132" s="126" t="s">
        <v>256</v>
      </c>
      <c r="J132" s="126" t="s">
        <v>676</v>
      </c>
      <c r="K132" s="126" t="s">
        <v>81</v>
      </c>
      <c r="L132" s="140" t="s">
        <v>74</v>
      </c>
      <c r="M132" s="140">
        <v>467860.14</v>
      </c>
      <c r="N132" s="126">
        <v>467860.14</v>
      </c>
      <c r="O132" s="126">
        <v>648327.83180219994</v>
      </c>
      <c r="P132" s="126">
        <v>467860.14</v>
      </c>
      <c r="Q132" s="126">
        <v>467860.14</v>
      </c>
      <c r="R132" s="126">
        <v>648327.83180219994</v>
      </c>
      <c r="S132" s="126">
        <v>467860.14</v>
      </c>
      <c r="T132" s="126">
        <v>467860.14</v>
      </c>
      <c r="U132" s="127">
        <v>648327.83180219994</v>
      </c>
      <c r="V132" s="140" t="s">
        <v>81</v>
      </c>
      <c r="W132" s="126" t="s">
        <v>78</v>
      </c>
      <c r="X132" s="126" t="s">
        <v>81</v>
      </c>
      <c r="Y132" s="126" t="s">
        <v>78</v>
      </c>
      <c r="Z132" s="126" t="s">
        <v>81</v>
      </c>
      <c r="AA132" s="126">
        <v>0</v>
      </c>
      <c r="AB132" s="141" t="s">
        <v>78</v>
      </c>
      <c r="AC132" s="126">
        <v>0</v>
      </c>
      <c r="AD132" s="139" t="s">
        <v>78</v>
      </c>
      <c r="AE132" s="126">
        <v>0</v>
      </c>
      <c r="AF132" s="126" t="s">
        <v>78</v>
      </c>
      <c r="AG132" s="126">
        <v>0</v>
      </c>
      <c r="AH132" s="142" t="s">
        <v>81</v>
      </c>
      <c r="AI132" s="142" t="s">
        <v>78</v>
      </c>
      <c r="AJ132" s="142" t="s">
        <v>81</v>
      </c>
      <c r="AK132" s="142" t="s">
        <v>78</v>
      </c>
      <c r="AL132" s="142" t="s">
        <v>78</v>
      </c>
      <c r="AM132" s="142" t="s">
        <v>81</v>
      </c>
      <c r="AN132" s="142" t="s">
        <v>81</v>
      </c>
      <c r="AO132" s="142" t="s">
        <v>78</v>
      </c>
      <c r="AP132" s="142" t="s">
        <v>81</v>
      </c>
      <c r="AQ132" s="142">
        <v>1</v>
      </c>
      <c r="AR132" s="142" t="s">
        <v>74</v>
      </c>
    </row>
    <row r="133" spans="1:44" s="143" customFormat="1" ht="25.05" customHeight="1" x14ac:dyDescent="0.3">
      <c r="A133" s="126" t="s">
        <v>1586</v>
      </c>
      <c r="B133" s="126" t="s">
        <v>1587</v>
      </c>
      <c r="C133" s="139">
        <v>2019</v>
      </c>
      <c r="D133" s="139" t="s">
        <v>496</v>
      </c>
      <c r="E133" s="139" t="s">
        <v>78</v>
      </c>
      <c r="F133" s="139" t="s">
        <v>535</v>
      </c>
      <c r="G133" s="139" t="s">
        <v>522</v>
      </c>
      <c r="H133" s="139" t="s">
        <v>589</v>
      </c>
      <c r="I133" s="126" t="s">
        <v>256</v>
      </c>
      <c r="J133" s="126" t="s">
        <v>679</v>
      </c>
      <c r="K133" s="126" t="s">
        <v>75</v>
      </c>
      <c r="L133" s="126" t="s">
        <v>74</v>
      </c>
      <c r="M133" s="126">
        <v>978540</v>
      </c>
      <c r="N133" s="126">
        <v>978540</v>
      </c>
      <c r="O133" s="126">
        <v>1360943.6465999999</v>
      </c>
      <c r="P133" s="126">
        <v>511573</v>
      </c>
      <c r="Q133" s="126">
        <v>511573</v>
      </c>
      <c r="R133" s="126">
        <v>711490.61266999994</v>
      </c>
      <c r="S133" s="126">
        <v>0</v>
      </c>
      <c r="T133" s="126">
        <v>0</v>
      </c>
      <c r="U133" s="127">
        <v>0</v>
      </c>
      <c r="V133" s="126" t="s">
        <v>75</v>
      </c>
      <c r="W133" s="126" t="s">
        <v>1588</v>
      </c>
      <c r="X133" s="126" t="s">
        <v>75</v>
      </c>
      <c r="Y133" s="126" t="s">
        <v>1589</v>
      </c>
      <c r="Z133" s="126" t="s">
        <v>75</v>
      </c>
      <c r="AA133" s="126">
        <v>999</v>
      </c>
      <c r="AB133" s="141" t="s">
        <v>1590</v>
      </c>
      <c r="AC133" s="126">
        <v>0</v>
      </c>
      <c r="AD133" s="139" t="s">
        <v>78</v>
      </c>
      <c r="AE133" s="126">
        <v>0</v>
      </c>
      <c r="AF133" s="126" t="s">
        <v>78</v>
      </c>
      <c r="AG133" s="126">
        <v>1</v>
      </c>
      <c r="AH133" s="142" t="s">
        <v>81</v>
      </c>
      <c r="AI133" s="142" t="s">
        <v>78</v>
      </c>
      <c r="AJ133" s="142" t="s">
        <v>75</v>
      </c>
      <c r="AK133" s="142" t="s">
        <v>1591</v>
      </c>
      <c r="AL133" s="142" t="s">
        <v>121</v>
      </c>
      <c r="AM133" s="142" t="s">
        <v>81</v>
      </c>
      <c r="AN133" s="142" t="s">
        <v>81</v>
      </c>
      <c r="AO133" s="142" t="s">
        <v>78</v>
      </c>
      <c r="AP133" s="142" t="s">
        <v>75</v>
      </c>
      <c r="AQ133" s="142">
        <v>1</v>
      </c>
      <c r="AR133" s="142" t="s">
        <v>74</v>
      </c>
    </row>
    <row r="134" spans="1:44" s="143" customFormat="1" ht="25.05" customHeight="1" x14ac:dyDescent="0.3">
      <c r="A134" s="126" t="s">
        <v>1512</v>
      </c>
      <c r="B134" s="126" t="s">
        <v>1513</v>
      </c>
      <c r="C134" s="139">
        <v>2019</v>
      </c>
      <c r="D134" s="139" t="s">
        <v>184</v>
      </c>
      <c r="E134" s="139" t="s">
        <v>78</v>
      </c>
      <c r="F134" s="139" t="s">
        <v>554</v>
      </c>
      <c r="G134" s="139" t="s">
        <v>520</v>
      </c>
      <c r="H134" s="139">
        <v>0</v>
      </c>
      <c r="I134" s="126" t="s">
        <v>228</v>
      </c>
      <c r="J134" s="126" t="s">
        <v>1514</v>
      </c>
      <c r="K134" s="126" t="s">
        <v>75</v>
      </c>
      <c r="L134" s="126" t="s">
        <v>104</v>
      </c>
      <c r="M134" s="126">
        <v>2400000</v>
      </c>
      <c r="N134" s="126">
        <v>1976544.9993411517</v>
      </c>
      <c r="O134" s="126">
        <v>2748959.0196336801</v>
      </c>
      <c r="P134" s="126">
        <v>0</v>
      </c>
      <c r="Q134" s="126">
        <v>0</v>
      </c>
      <c r="R134" s="126">
        <v>0</v>
      </c>
      <c r="S134" s="126">
        <v>0</v>
      </c>
      <c r="T134" s="126">
        <v>0</v>
      </c>
      <c r="U134" s="127">
        <v>0</v>
      </c>
      <c r="V134" s="126" t="s">
        <v>75</v>
      </c>
      <c r="W134" s="126" t="s">
        <v>1515</v>
      </c>
      <c r="X134" s="126" t="s">
        <v>75</v>
      </c>
      <c r="Y134" s="126" t="s">
        <v>1516</v>
      </c>
      <c r="Z134" s="126" t="s">
        <v>81</v>
      </c>
      <c r="AA134" s="126">
        <v>0</v>
      </c>
      <c r="AB134" s="141" t="s">
        <v>78</v>
      </c>
      <c r="AC134" s="126">
        <v>0</v>
      </c>
      <c r="AD134" s="139" t="s">
        <v>78</v>
      </c>
      <c r="AE134" s="126">
        <v>0</v>
      </c>
      <c r="AF134" s="126" t="s">
        <v>78</v>
      </c>
      <c r="AG134" s="126">
        <v>0</v>
      </c>
      <c r="AH134" s="142" t="s">
        <v>81</v>
      </c>
      <c r="AI134" s="142" t="s">
        <v>78</v>
      </c>
      <c r="AJ134" s="142" t="s">
        <v>81</v>
      </c>
      <c r="AK134" s="142" t="s">
        <v>1423</v>
      </c>
      <c r="AL134" s="142" t="s">
        <v>397</v>
      </c>
      <c r="AM134" s="142" t="s">
        <v>75</v>
      </c>
      <c r="AN134" s="142" t="s">
        <v>81</v>
      </c>
      <c r="AO134" s="142" t="s">
        <v>78</v>
      </c>
      <c r="AP134" s="142" t="s">
        <v>81</v>
      </c>
      <c r="AQ134" s="142">
        <v>1</v>
      </c>
      <c r="AR134" s="142" t="s">
        <v>104</v>
      </c>
    </row>
    <row r="135" spans="1:44" s="143" customFormat="1" ht="25.05" customHeight="1" x14ac:dyDescent="0.3">
      <c r="A135" s="126" t="s">
        <v>1524</v>
      </c>
      <c r="B135" s="126" t="s">
        <v>1513</v>
      </c>
      <c r="C135" s="139">
        <v>2019</v>
      </c>
      <c r="D135" s="139" t="s">
        <v>297</v>
      </c>
      <c r="E135" s="139" t="s">
        <v>78</v>
      </c>
      <c r="F135" s="139" t="s">
        <v>566</v>
      </c>
      <c r="G135" s="139" t="s">
        <v>522</v>
      </c>
      <c r="H135" s="139">
        <v>0</v>
      </c>
      <c r="I135" s="126" t="s">
        <v>228</v>
      </c>
      <c r="J135" s="126" t="s">
        <v>1514</v>
      </c>
      <c r="K135" s="126" t="s">
        <v>75</v>
      </c>
      <c r="L135" s="126" t="s">
        <v>104</v>
      </c>
      <c r="M135" s="126">
        <v>2400000</v>
      </c>
      <c r="N135" s="126">
        <v>1976544.9993411517</v>
      </c>
      <c r="O135" s="126">
        <v>2748959.0196336801</v>
      </c>
      <c r="P135" s="126">
        <v>0</v>
      </c>
      <c r="Q135" s="126">
        <v>0</v>
      </c>
      <c r="R135" s="126">
        <v>0</v>
      </c>
      <c r="S135" s="126">
        <v>0</v>
      </c>
      <c r="T135" s="126">
        <v>0</v>
      </c>
      <c r="U135" s="127">
        <v>0</v>
      </c>
      <c r="V135" s="126" t="s">
        <v>75</v>
      </c>
      <c r="W135" s="126" t="s">
        <v>1525</v>
      </c>
      <c r="X135" s="126" t="s">
        <v>75</v>
      </c>
      <c r="Y135" s="126" t="s">
        <v>1516</v>
      </c>
      <c r="Z135" s="126" t="s">
        <v>81</v>
      </c>
      <c r="AA135" s="126">
        <v>0</v>
      </c>
      <c r="AB135" s="141" t="s">
        <v>78</v>
      </c>
      <c r="AC135" s="126">
        <v>0</v>
      </c>
      <c r="AD135" s="139" t="s">
        <v>78</v>
      </c>
      <c r="AE135" s="126">
        <v>0</v>
      </c>
      <c r="AF135" s="126" t="s">
        <v>78</v>
      </c>
      <c r="AG135" s="126">
        <v>0</v>
      </c>
      <c r="AH135" s="142" t="s">
        <v>81</v>
      </c>
      <c r="AI135" s="142" t="s">
        <v>78</v>
      </c>
      <c r="AJ135" s="142" t="s">
        <v>81</v>
      </c>
      <c r="AK135" s="142" t="s">
        <v>1423</v>
      </c>
      <c r="AL135" s="142" t="s">
        <v>397</v>
      </c>
      <c r="AM135" s="142" t="s">
        <v>81</v>
      </c>
      <c r="AN135" s="142" t="s">
        <v>81</v>
      </c>
      <c r="AO135" s="142" t="s">
        <v>78</v>
      </c>
      <c r="AP135" s="142" t="s">
        <v>81</v>
      </c>
      <c r="AQ135" s="142">
        <v>1</v>
      </c>
      <c r="AR135" s="142" t="s">
        <v>104</v>
      </c>
    </row>
    <row r="136" spans="1:44" s="143" customFormat="1" ht="25.05" customHeight="1" x14ac:dyDescent="0.3">
      <c r="A136" s="126" t="s">
        <v>438</v>
      </c>
      <c r="B136" s="126" t="s">
        <v>439</v>
      </c>
      <c r="C136" s="139">
        <v>2022</v>
      </c>
      <c r="D136" s="139" t="s">
        <v>87</v>
      </c>
      <c r="E136" s="139" t="s">
        <v>440</v>
      </c>
      <c r="F136" s="139" t="s">
        <v>1848</v>
      </c>
      <c r="G136" s="139" t="s">
        <v>87</v>
      </c>
      <c r="H136" s="139" t="s">
        <v>216</v>
      </c>
      <c r="I136" s="126" t="s">
        <v>101</v>
      </c>
      <c r="J136" s="126" t="s">
        <v>73</v>
      </c>
      <c r="K136" s="126" t="s">
        <v>81</v>
      </c>
      <c r="L136" s="126" t="s">
        <v>74</v>
      </c>
      <c r="M136" s="126">
        <v>2570000</v>
      </c>
      <c r="N136" s="126">
        <v>2570000</v>
      </c>
      <c r="O136" s="126">
        <v>3596946.3</v>
      </c>
      <c r="P136" s="126" t="s">
        <v>659</v>
      </c>
      <c r="Q136" s="126" t="s">
        <v>659</v>
      </c>
      <c r="R136" s="126" t="s">
        <v>659</v>
      </c>
      <c r="S136" s="126">
        <v>2000000</v>
      </c>
      <c r="T136" s="126">
        <v>2000000</v>
      </c>
      <c r="U136" s="127">
        <v>2799180</v>
      </c>
      <c r="V136" s="126" t="s">
        <v>81</v>
      </c>
      <c r="W136" s="126">
        <v>0</v>
      </c>
      <c r="X136" s="126" t="s">
        <v>81</v>
      </c>
      <c r="Y136" s="126">
        <v>0</v>
      </c>
      <c r="Z136" s="126" t="s">
        <v>75</v>
      </c>
      <c r="AA136" s="126">
        <v>0</v>
      </c>
      <c r="AB136" s="141" t="s">
        <v>78</v>
      </c>
      <c r="AC136" s="126">
        <v>0</v>
      </c>
      <c r="AD136" s="139" t="s">
        <v>78</v>
      </c>
      <c r="AE136" s="126">
        <v>1</v>
      </c>
      <c r="AF136" s="126" t="s">
        <v>441</v>
      </c>
      <c r="AG136" s="126">
        <v>1</v>
      </c>
      <c r="AH136" s="142" t="s">
        <v>75</v>
      </c>
      <c r="AI136" s="142" t="s">
        <v>442</v>
      </c>
      <c r="AJ136" s="142" t="s">
        <v>81</v>
      </c>
      <c r="AK136" s="142">
        <v>0</v>
      </c>
      <c r="AL136" s="142" t="s">
        <v>121</v>
      </c>
      <c r="AM136" s="142" t="s">
        <v>75</v>
      </c>
      <c r="AN136" s="142" t="s">
        <v>81</v>
      </c>
      <c r="AO136" s="142" t="s">
        <v>84</v>
      </c>
      <c r="AP136" s="142" t="s">
        <v>81</v>
      </c>
      <c r="AQ136" s="142">
        <v>1</v>
      </c>
      <c r="AR136" s="142" t="s">
        <v>74</v>
      </c>
    </row>
    <row r="137" spans="1:44" s="143" customFormat="1" ht="25.05" customHeight="1" x14ac:dyDescent="0.3">
      <c r="A137" s="126" t="s">
        <v>1213</v>
      </c>
      <c r="B137" s="125" t="s">
        <v>1214</v>
      </c>
      <c r="C137" s="139">
        <v>2016</v>
      </c>
      <c r="D137" s="139" t="s">
        <v>501</v>
      </c>
      <c r="E137" s="139" t="s">
        <v>78</v>
      </c>
      <c r="F137" s="139" t="s">
        <v>551</v>
      </c>
      <c r="G137" s="139" t="s">
        <v>519</v>
      </c>
      <c r="H137" s="139" t="s">
        <v>228</v>
      </c>
      <c r="I137" s="126" t="s">
        <v>228</v>
      </c>
      <c r="J137" s="126" t="s">
        <v>689</v>
      </c>
      <c r="K137" s="126" t="s">
        <v>81</v>
      </c>
      <c r="L137" s="140" t="s">
        <v>126</v>
      </c>
      <c r="M137" s="140">
        <v>1000000</v>
      </c>
      <c r="N137" s="126">
        <v>721641.30097493739</v>
      </c>
      <c r="O137" s="126">
        <v>999999.99999999988</v>
      </c>
      <c r="P137" s="126">
        <v>723227.91</v>
      </c>
      <c r="Q137" s="126">
        <v>723227.91</v>
      </c>
      <c r="R137" s="126">
        <v>1002198.6117243</v>
      </c>
      <c r="S137" s="126">
        <v>723227.91</v>
      </c>
      <c r="T137" s="126">
        <v>723227.91</v>
      </c>
      <c r="U137" s="127">
        <v>1002198.6117243</v>
      </c>
      <c r="V137" s="140" t="s">
        <v>75</v>
      </c>
      <c r="W137" s="126" t="s">
        <v>1215</v>
      </c>
      <c r="X137" s="126" t="s">
        <v>75</v>
      </c>
      <c r="Y137" s="126" t="s">
        <v>1216</v>
      </c>
      <c r="Z137" s="126" t="s">
        <v>75</v>
      </c>
      <c r="AA137" s="126">
        <v>999</v>
      </c>
      <c r="AB137" s="141" t="s">
        <v>1217</v>
      </c>
      <c r="AC137" s="126">
        <v>999</v>
      </c>
      <c r="AD137" s="139" t="s">
        <v>1218</v>
      </c>
      <c r="AE137" s="144">
        <v>0</v>
      </c>
      <c r="AF137" s="126" t="s">
        <v>78</v>
      </c>
      <c r="AG137" s="126">
        <v>2</v>
      </c>
      <c r="AH137" s="142" t="s">
        <v>75</v>
      </c>
      <c r="AI137" s="142" t="s">
        <v>1219</v>
      </c>
      <c r="AJ137" s="142" t="s">
        <v>75</v>
      </c>
      <c r="AK137" s="142" t="s">
        <v>795</v>
      </c>
      <c r="AL137" s="142" t="s">
        <v>160</v>
      </c>
      <c r="AM137" s="142" t="s">
        <v>81</v>
      </c>
      <c r="AN137" s="142" t="s">
        <v>81</v>
      </c>
      <c r="AO137" s="142" t="s">
        <v>78</v>
      </c>
      <c r="AP137" s="142" t="s">
        <v>75</v>
      </c>
      <c r="AQ137" s="142">
        <v>1</v>
      </c>
      <c r="AR137" s="142" t="s">
        <v>126</v>
      </c>
    </row>
    <row r="138" spans="1:44" s="143" customFormat="1" ht="25.05" customHeight="1" x14ac:dyDescent="0.3">
      <c r="A138" s="126" t="s">
        <v>1033</v>
      </c>
      <c r="B138" s="125" t="s">
        <v>1034</v>
      </c>
      <c r="C138" s="139">
        <v>2017</v>
      </c>
      <c r="D138" s="139" t="s">
        <v>297</v>
      </c>
      <c r="E138" s="139" t="s">
        <v>78</v>
      </c>
      <c r="F138" s="139" t="s">
        <v>566</v>
      </c>
      <c r="G138" s="139" t="s">
        <v>522</v>
      </c>
      <c r="H138" s="139" t="s">
        <v>596</v>
      </c>
      <c r="I138" s="126" t="s">
        <v>101</v>
      </c>
      <c r="J138" s="126" t="s">
        <v>689</v>
      </c>
      <c r="K138" s="126" t="s">
        <v>81</v>
      </c>
      <c r="L138" s="140" t="s">
        <v>74</v>
      </c>
      <c r="M138" s="140">
        <v>740000</v>
      </c>
      <c r="N138" s="126">
        <v>740000</v>
      </c>
      <c r="O138" s="126">
        <v>994804.20000000007</v>
      </c>
      <c r="P138" s="126">
        <v>723227.91</v>
      </c>
      <c r="Q138" s="126">
        <v>723227.91</v>
      </c>
      <c r="R138" s="126">
        <v>972256.97625030007</v>
      </c>
      <c r="S138" s="126">
        <v>723227.91</v>
      </c>
      <c r="T138" s="126">
        <v>723227.91</v>
      </c>
      <c r="U138" s="127">
        <v>972256.97625030007</v>
      </c>
      <c r="V138" s="140" t="s">
        <v>81</v>
      </c>
      <c r="W138" s="126" t="s">
        <v>78</v>
      </c>
      <c r="X138" s="126" t="s">
        <v>81</v>
      </c>
      <c r="Y138" s="126" t="s">
        <v>78</v>
      </c>
      <c r="Z138" s="126" t="s">
        <v>81</v>
      </c>
      <c r="AA138" s="126">
        <v>0</v>
      </c>
      <c r="AB138" s="141" t="s">
        <v>78</v>
      </c>
      <c r="AC138" s="126">
        <v>0</v>
      </c>
      <c r="AD138" s="139" t="s">
        <v>78</v>
      </c>
      <c r="AE138" s="126">
        <v>0</v>
      </c>
      <c r="AF138" s="126" t="s">
        <v>78</v>
      </c>
      <c r="AG138" s="126">
        <v>0</v>
      </c>
      <c r="AH138" s="142" t="s">
        <v>81</v>
      </c>
      <c r="AI138" s="142" t="s">
        <v>78</v>
      </c>
      <c r="AJ138" s="142" t="s">
        <v>81</v>
      </c>
      <c r="AK138" s="142" t="s">
        <v>78</v>
      </c>
      <c r="AL138" s="142" t="s">
        <v>78</v>
      </c>
      <c r="AM138" s="142" t="s">
        <v>81</v>
      </c>
      <c r="AN138" s="142" t="s">
        <v>81</v>
      </c>
      <c r="AO138" s="142" t="s">
        <v>78</v>
      </c>
      <c r="AP138" s="142" t="s">
        <v>81</v>
      </c>
      <c r="AQ138" s="142">
        <v>1</v>
      </c>
      <c r="AR138" s="142" t="s">
        <v>74</v>
      </c>
    </row>
    <row r="139" spans="1:44" s="143" customFormat="1" ht="25.05" customHeight="1" x14ac:dyDescent="0.3">
      <c r="A139" s="126" t="s">
        <v>1548</v>
      </c>
      <c r="B139" s="126" t="s">
        <v>1549</v>
      </c>
      <c r="C139" s="139">
        <v>2019</v>
      </c>
      <c r="D139" s="139" t="s">
        <v>353</v>
      </c>
      <c r="E139" s="139" t="s">
        <v>78</v>
      </c>
      <c r="F139" s="139" t="s">
        <v>78</v>
      </c>
      <c r="G139" s="139" t="s">
        <v>519</v>
      </c>
      <c r="H139" s="139" t="s">
        <v>228</v>
      </c>
      <c r="I139" s="126" t="s">
        <v>228</v>
      </c>
      <c r="J139" s="126" t="s">
        <v>676</v>
      </c>
      <c r="K139" s="126" t="s">
        <v>75</v>
      </c>
      <c r="L139" s="126" t="s">
        <v>126</v>
      </c>
      <c r="M139" s="126">
        <v>1000000</v>
      </c>
      <c r="N139" s="126">
        <v>719015.81115768733</v>
      </c>
      <c r="O139" s="126">
        <v>1000000</v>
      </c>
      <c r="P139" s="126">
        <v>727051</v>
      </c>
      <c r="Q139" s="126">
        <v>727051</v>
      </c>
      <c r="R139" s="126">
        <v>1011175.26029</v>
      </c>
      <c r="S139" s="126">
        <v>0</v>
      </c>
      <c r="T139" s="126">
        <v>0</v>
      </c>
      <c r="U139" s="127">
        <v>0</v>
      </c>
      <c r="V139" s="126" t="s">
        <v>75</v>
      </c>
      <c r="W139" s="126" t="s">
        <v>1550</v>
      </c>
      <c r="X139" s="126" t="s">
        <v>75</v>
      </c>
      <c r="Y139" s="126" t="s">
        <v>1551</v>
      </c>
      <c r="Z139" s="126" t="s">
        <v>75</v>
      </c>
      <c r="AA139" s="126">
        <v>0</v>
      </c>
      <c r="AB139" s="141" t="s">
        <v>78</v>
      </c>
      <c r="AC139" s="126">
        <v>999</v>
      </c>
      <c r="AD139" s="139" t="s">
        <v>1552</v>
      </c>
      <c r="AE139" s="126">
        <v>999</v>
      </c>
      <c r="AF139" s="126" t="s">
        <v>1553</v>
      </c>
      <c r="AG139" s="126">
        <v>2</v>
      </c>
      <c r="AH139" s="142" t="s">
        <v>81</v>
      </c>
      <c r="AI139" s="142" t="s">
        <v>78</v>
      </c>
      <c r="AJ139" s="142" t="s">
        <v>75</v>
      </c>
      <c r="AK139" s="142" t="s">
        <v>1554</v>
      </c>
      <c r="AL139" s="142" t="s">
        <v>121</v>
      </c>
      <c r="AM139" s="142" t="s">
        <v>75</v>
      </c>
      <c r="AN139" s="142" t="s">
        <v>81</v>
      </c>
      <c r="AO139" s="142" t="s">
        <v>78</v>
      </c>
      <c r="AP139" s="142" t="s">
        <v>75</v>
      </c>
      <c r="AQ139" s="142">
        <v>1</v>
      </c>
      <c r="AR139" s="142" t="s">
        <v>126</v>
      </c>
    </row>
    <row r="140" spans="1:44" s="143" customFormat="1" ht="25.05" customHeight="1" x14ac:dyDescent="0.3">
      <c r="A140" s="126" t="s">
        <v>1559</v>
      </c>
      <c r="B140" s="127" t="s">
        <v>1560</v>
      </c>
      <c r="C140" s="139">
        <v>2019</v>
      </c>
      <c r="D140" s="139" t="s">
        <v>179</v>
      </c>
      <c r="E140" s="139" t="s">
        <v>78</v>
      </c>
      <c r="F140" s="139" t="s">
        <v>561</v>
      </c>
      <c r="G140" s="139" t="s">
        <v>522</v>
      </c>
      <c r="H140" s="139" t="s">
        <v>115</v>
      </c>
      <c r="I140" s="126" t="s">
        <v>115</v>
      </c>
      <c r="J140" s="126" t="s">
        <v>676</v>
      </c>
      <c r="K140" s="126" t="s">
        <v>81</v>
      </c>
      <c r="L140" s="126" t="s">
        <v>74</v>
      </c>
      <c r="M140" s="126">
        <v>13350000</v>
      </c>
      <c r="N140" s="126">
        <v>13350000</v>
      </c>
      <c r="O140" s="126">
        <v>18567046.5</v>
      </c>
      <c r="P140" s="126">
        <v>12850000</v>
      </c>
      <c r="Q140" s="126">
        <v>12850000</v>
      </c>
      <c r="R140" s="126">
        <v>17871651.5</v>
      </c>
      <c r="S140" s="126">
        <v>12850000</v>
      </c>
      <c r="T140" s="126">
        <v>12850000</v>
      </c>
      <c r="U140" s="127">
        <v>17871651.5</v>
      </c>
      <c r="V140" s="126" t="s">
        <v>75</v>
      </c>
      <c r="W140" s="126" t="s">
        <v>1561</v>
      </c>
      <c r="X140" s="126" t="s">
        <v>81</v>
      </c>
      <c r="Y140" s="126" t="s">
        <v>1562</v>
      </c>
      <c r="Z140" s="126" t="s">
        <v>81</v>
      </c>
      <c r="AA140" s="126">
        <v>0</v>
      </c>
      <c r="AB140" s="141" t="s">
        <v>78</v>
      </c>
      <c r="AC140" s="126">
        <v>0</v>
      </c>
      <c r="AD140" s="139" t="s">
        <v>78</v>
      </c>
      <c r="AE140" s="126">
        <v>0</v>
      </c>
      <c r="AF140" s="126" t="s">
        <v>78</v>
      </c>
      <c r="AG140" s="126">
        <v>0</v>
      </c>
      <c r="AH140" s="142" t="s">
        <v>81</v>
      </c>
      <c r="AI140" s="142" t="s">
        <v>78</v>
      </c>
      <c r="AJ140" s="142" t="s">
        <v>81</v>
      </c>
      <c r="AK140" s="142" t="s">
        <v>1423</v>
      </c>
      <c r="AL140" s="142" t="s">
        <v>1147</v>
      </c>
      <c r="AM140" s="142" t="s">
        <v>75</v>
      </c>
      <c r="AN140" s="142" t="s">
        <v>75</v>
      </c>
      <c r="AO140" s="142" t="s">
        <v>78</v>
      </c>
      <c r="AP140" s="142" t="s">
        <v>81</v>
      </c>
      <c r="AQ140" s="142">
        <v>1</v>
      </c>
      <c r="AR140" s="142" t="s">
        <v>74</v>
      </c>
    </row>
    <row r="141" spans="1:44" s="143" customFormat="1" ht="25.05" customHeight="1" x14ac:dyDescent="0.3">
      <c r="A141" s="126" t="s">
        <v>1097</v>
      </c>
      <c r="B141" s="125" t="s">
        <v>1098</v>
      </c>
      <c r="C141" s="139">
        <v>2016</v>
      </c>
      <c r="D141" s="139" t="s">
        <v>509</v>
      </c>
      <c r="E141" s="139" t="s">
        <v>78</v>
      </c>
      <c r="F141" s="139" t="s">
        <v>560</v>
      </c>
      <c r="G141" s="139" t="s">
        <v>522</v>
      </c>
      <c r="H141" s="139" t="s">
        <v>587</v>
      </c>
      <c r="I141" s="126" t="s">
        <v>256</v>
      </c>
      <c r="J141" s="126" t="s">
        <v>676</v>
      </c>
      <c r="K141" s="126" t="s">
        <v>81</v>
      </c>
      <c r="L141" s="140" t="s">
        <v>74</v>
      </c>
      <c r="M141" s="140">
        <v>7589000</v>
      </c>
      <c r="N141" s="126">
        <v>7589000</v>
      </c>
      <c r="O141" s="126">
        <v>10516304.969999999</v>
      </c>
      <c r="P141" s="126">
        <v>7589000</v>
      </c>
      <c r="Q141" s="126">
        <v>7589000</v>
      </c>
      <c r="R141" s="126">
        <v>10516304.969999999</v>
      </c>
      <c r="S141" s="126">
        <v>7589000</v>
      </c>
      <c r="T141" s="126">
        <v>7589000</v>
      </c>
      <c r="U141" s="127">
        <v>10516304.969999999</v>
      </c>
      <c r="V141" s="140" t="s">
        <v>81</v>
      </c>
      <c r="W141" s="126" t="s">
        <v>78</v>
      </c>
      <c r="X141" s="126" t="s">
        <v>81</v>
      </c>
      <c r="Y141" s="126" t="s">
        <v>78</v>
      </c>
      <c r="Z141" s="126" t="s">
        <v>81</v>
      </c>
      <c r="AA141" s="126">
        <v>0</v>
      </c>
      <c r="AB141" s="141" t="s">
        <v>78</v>
      </c>
      <c r="AC141" s="126">
        <v>0</v>
      </c>
      <c r="AD141" s="139" t="s">
        <v>78</v>
      </c>
      <c r="AE141" s="126">
        <v>0</v>
      </c>
      <c r="AF141" s="126" t="s">
        <v>78</v>
      </c>
      <c r="AG141" s="126">
        <v>0</v>
      </c>
      <c r="AH141" s="142" t="s">
        <v>81</v>
      </c>
      <c r="AI141" s="142" t="s">
        <v>78</v>
      </c>
      <c r="AJ141" s="142" t="s">
        <v>81</v>
      </c>
      <c r="AK141" s="142" t="s">
        <v>78</v>
      </c>
      <c r="AL141" s="142" t="s">
        <v>78</v>
      </c>
      <c r="AM141" s="142" t="s">
        <v>81</v>
      </c>
      <c r="AN141" s="142" t="s">
        <v>81</v>
      </c>
      <c r="AO141" s="142" t="s">
        <v>78</v>
      </c>
      <c r="AP141" s="142" t="s">
        <v>81</v>
      </c>
      <c r="AQ141" s="142">
        <v>1</v>
      </c>
      <c r="AR141" s="142" t="s">
        <v>74</v>
      </c>
    </row>
    <row r="142" spans="1:44" s="143" customFormat="1" ht="25.05" customHeight="1" x14ac:dyDescent="0.3">
      <c r="A142" s="126" t="s">
        <v>680</v>
      </c>
      <c r="B142" s="125" t="s">
        <v>681</v>
      </c>
      <c r="C142" s="139">
        <v>2018</v>
      </c>
      <c r="D142" s="139" t="s">
        <v>314</v>
      </c>
      <c r="E142" s="139" t="s">
        <v>78</v>
      </c>
      <c r="F142" s="139" t="s">
        <v>557</v>
      </c>
      <c r="G142" s="139" t="s">
        <v>522</v>
      </c>
      <c r="H142" s="139" t="s">
        <v>115</v>
      </c>
      <c r="I142" s="126" t="s">
        <v>115</v>
      </c>
      <c r="J142" s="126" t="s">
        <v>676</v>
      </c>
      <c r="K142" s="126" t="s">
        <v>81</v>
      </c>
      <c r="L142" s="140" t="s">
        <v>74</v>
      </c>
      <c r="M142" s="140">
        <v>20050000</v>
      </c>
      <c r="N142" s="126">
        <v>20050000</v>
      </c>
      <c r="O142" s="126">
        <v>28553806.499999996</v>
      </c>
      <c r="P142" s="126">
        <v>20050000</v>
      </c>
      <c r="Q142" s="126">
        <v>20050000</v>
      </c>
      <c r="R142" s="126">
        <v>28553806.499999996</v>
      </c>
      <c r="S142" s="126">
        <v>20050000</v>
      </c>
      <c r="T142" s="126">
        <v>20050000</v>
      </c>
      <c r="U142" s="127">
        <v>28553806.499999996</v>
      </c>
      <c r="V142" s="140" t="s">
        <v>75</v>
      </c>
      <c r="W142" s="126" t="s">
        <v>682</v>
      </c>
      <c r="X142" s="126" t="s">
        <v>75</v>
      </c>
      <c r="Y142" s="126" t="s">
        <v>683</v>
      </c>
      <c r="Z142" s="126" t="s">
        <v>75</v>
      </c>
      <c r="AA142" s="126">
        <v>999</v>
      </c>
      <c r="AB142" s="141" t="s">
        <v>684</v>
      </c>
      <c r="AC142" s="126">
        <v>0</v>
      </c>
      <c r="AD142" s="139" t="s">
        <v>78</v>
      </c>
      <c r="AE142" s="126">
        <v>0</v>
      </c>
      <c r="AF142" s="126" t="s">
        <v>78</v>
      </c>
      <c r="AG142" s="126">
        <v>1</v>
      </c>
      <c r="AH142" s="142" t="s">
        <v>75</v>
      </c>
      <c r="AI142" s="142" t="s">
        <v>685</v>
      </c>
      <c r="AJ142" s="142" t="s">
        <v>75</v>
      </c>
      <c r="AK142" s="142" t="s">
        <v>228</v>
      </c>
      <c r="AL142" s="142" t="s">
        <v>686</v>
      </c>
      <c r="AM142" s="142" t="s">
        <v>75</v>
      </c>
      <c r="AN142" s="142" t="s">
        <v>81</v>
      </c>
      <c r="AO142" s="142" t="s">
        <v>78</v>
      </c>
      <c r="AP142" s="142" t="s">
        <v>75</v>
      </c>
      <c r="AQ142" s="142">
        <v>1</v>
      </c>
      <c r="AR142" s="142" t="s">
        <v>74</v>
      </c>
    </row>
    <row r="143" spans="1:44" s="143" customFormat="1" ht="25.05" customHeight="1" x14ac:dyDescent="0.3">
      <c r="A143" s="126" t="s">
        <v>1104</v>
      </c>
      <c r="B143" s="125" t="s">
        <v>1105</v>
      </c>
      <c r="C143" s="139">
        <v>2016</v>
      </c>
      <c r="D143" s="139" t="s">
        <v>184</v>
      </c>
      <c r="E143" s="139" t="s">
        <v>78</v>
      </c>
      <c r="F143" s="139" t="s">
        <v>554</v>
      </c>
      <c r="G143" s="139" t="s">
        <v>520</v>
      </c>
      <c r="H143" s="139" t="s">
        <v>115</v>
      </c>
      <c r="I143" s="126" t="s">
        <v>115</v>
      </c>
      <c r="J143" s="126" t="s">
        <v>676</v>
      </c>
      <c r="K143" s="126" t="s">
        <v>81</v>
      </c>
      <c r="L143" s="140" t="s">
        <v>74</v>
      </c>
      <c r="M143" s="140">
        <v>197375833</v>
      </c>
      <c r="N143" s="126">
        <v>197375833</v>
      </c>
      <c r="O143" s="126">
        <v>273509613.06308997</v>
      </c>
      <c r="P143" s="126">
        <v>184353167.5</v>
      </c>
      <c r="Q143" s="126">
        <v>184353167.5</v>
      </c>
      <c r="R143" s="126">
        <v>255463714.79977497</v>
      </c>
      <c r="S143" s="126">
        <v>180252117.59999999</v>
      </c>
      <c r="T143" s="126">
        <v>180252117.59999999</v>
      </c>
      <c r="U143" s="127">
        <v>249780766.92184797</v>
      </c>
      <c r="V143" s="140" t="s">
        <v>75</v>
      </c>
      <c r="W143" s="126" t="s">
        <v>1849</v>
      </c>
      <c r="X143" s="126" t="s">
        <v>75</v>
      </c>
      <c r="Y143" s="126" t="s">
        <v>1850</v>
      </c>
      <c r="Z143" s="126" t="s">
        <v>75</v>
      </c>
      <c r="AA143" s="126">
        <v>999</v>
      </c>
      <c r="AB143" s="141">
        <v>0</v>
      </c>
      <c r="AC143" s="126">
        <v>2</v>
      </c>
      <c r="AD143" s="139" t="s">
        <v>1851</v>
      </c>
      <c r="AE143" s="126">
        <v>3</v>
      </c>
      <c r="AF143" s="126" t="s">
        <v>1852</v>
      </c>
      <c r="AG143" s="126">
        <v>6</v>
      </c>
      <c r="AH143" s="142" t="s">
        <v>75</v>
      </c>
      <c r="AI143" s="142" t="s">
        <v>1853</v>
      </c>
      <c r="AJ143" s="142" t="s">
        <v>75</v>
      </c>
      <c r="AK143" s="142" t="s">
        <v>1854</v>
      </c>
      <c r="AL143" s="142" t="s">
        <v>934</v>
      </c>
      <c r="AM143" s="142" t="s">
        <v>75</v>
      </c>
      <c r="AN143" s="142" t="s">
        <v>75</v>
      </c>
      <c r="AO143" s="142" t="s">
        <v>78</v>
      </c>
      <c r="AP143" s="142" t="s">
        <v>75</v>
      </c>
      <c r="AQ143" s="142">
        <v>1</v>
      </c>
      <c r="AR143" s="142" t="s">
        <v>74</v>
      </c>
    </row>
    <row r="144" spans="1:44" s="143" customFormat="1" ht="25.05" customHeight="1" x14ac:dyDescent="0.3">
      <c r="A144" s="126" t="s">
        <v>993</v>
      </c>
      <c r="B144" s="125" t="s">
        <v>994</v>
      </c>
      <c r="C144" s="139">
        <v>2017</v>
      </c>
      <c r="D144" s="139" t="s">
        <v>513</v>
      </c>
      <c r="E144" s="139" t="s">
        <v>78</v>
      </c>
      <c r="F144" s="139" t="s">
        <v>539</v>
      </c>
      <c r="G144" s="139" t="s">
        <v>520</v>
      </c>
      <c r="H144" s="139" t="s">
        <v>599</v>
      </c>
      <c r="I144" s="126" t="s">
        <v>101</v>
      </c>
      <c r="J144" s="126" t="s">
        <v>676</v>
      </c>
      <c r="K144" s="126" t="s">
        <v>81</v>
      </c>
      <c r="L144" s="140" t="s">
        <v>74</v>
      </c>
      <c r="M144" s="140">
        <v>3665000</v>
      </c>
      <c r="N144" s="126">
        <v>3665000</v>
      </c>
      <c r="O144" s="126">
        <v>4926969.45</v>
      </c>
      <c r="P144" s="126">
        <v>3665000</v>
      </c>
      <c r="Q144" s="126">
        <v>3665000</v>
      </c>
      <c r="R144" s="126">
        <v>4926969.45</v>
      </c>
      <c r="S144" s="126">
        <v>3665000</v>
      </c>
      <c r="T144" s="126">
        <v>3665000</v>
      </c>
      <c r="U144" s="127">
        <v>4926969.45</v>
      </c>
      <c r="V144" s="140" t="s">
        <v>81</v>
      </c>
      <c r="W144" s="126" t="s">
        <v>78</v>
      </c>
      <c r="X144" s="126" t="s">
        <v>81</v>
      </c>
      <c r="Y144" s="126" t="s">
        <v>78</v>
      </c>
      <c r="Z144" s="126" t="s">
        <v>81</v>
      </c>
      <c r="AA144" s="126">
        <v>0</v>
      </c>
      <c r="AB144" s="141" t="s">
        <v>78</v>
      </c>
      <c r="AC144" s="126">
        <v>0</v>
      </c>
      <c r="AD144" s="139" t="s">
        <v>78</v>
      </c>
      <c r="AE144" s="126">
        <v>0</v>
      </c>
      <c r="AF144" s="126" t="s">
        <v>78</v>
      </c>
      <c r="AG144" s="126">
        <v>0</v>
      </c>
      <c r="AH144" s="142" t="s">
        <v>81</v>
      </c>
      <c r="AI144" s="142" t="s">
        <v>78</v>
      </c>
      <c r="AJ144" s="142" t="s">
        <v>81</v>
      </c>
      <c r="AK144" s="142" t="s">
        <v>78</v>
      </c>
      <c r="AL144" s="142" t="s">
        <v>78</v>
      </c>
      <c r="AM144" s="142" t="s">
        <v>81</v>
      </c>
      <c r="AN144" s="142" t="s">
        <v>81</v>
      </c>
      <c r="AO144" s="142" t="s">
        <v>78</v>
      </c>
      <c r="AP144" s="142" t="s">
        <v>81</v>
      </c>
      <c r="AQ144" s="142">
        <v>1</v>
      </c>
      <c r="AR144" s="142" t="s">
        <v>74</v>
      </c>
    </row>
    <row r="145" spans="1:44" s="143" customFormat="1" ht="25.05" customHeight="1" x14ac:dyDescent="0.3">
      <c r="A145" s="126" t="s">
        <v>1332</v>
      </c>
      <c r="B145" s="125" t="s">
        <v>1333</v>
      </c>
      <c r="C145" s="139">
        <v>2015</v>
      </c>
      <c r="D145" s="145" t="s">
        <v>163</v>
      </c>
      <c r="E145" s="139" t="s">
        <v>78</v>
      </c>
      <c r="F145" s="139" t="s">
        <v>556</v>
      </c>
      <c r="G145" s="139" t="s">
        <v>522</v>
      </c>
      <c r="H145" s="139" t="s">
        <v>596</v>
      </c>
      <c r="I145" s="126" t="s">
        <v>101</v>
      </c>
      <c r="J145" s="126" t="s">
        <v>689</v>
      </c>
      <c r="K145" s="126" t="s">
        <v>81</v>
      </c>
      <c r="L145" s="140" t="s">
        <v>126</v>
      </c>
      <c r="M145" s="140">
        <v>10000000</v>
      </c>
      <c r="N145" s="126">
        <v>6902216.3016544618</v>
      </c>
      <c r="O145" s="126">
        <v>10000000</v>
      </c>
      <c r="P145" s="126">
        <v>7232279.1100000003</v>
      </c>
      <c r="Q145" s="126">
        <v>7232279.1100000003</v>
      </c>
      <c r="R145" s="126">
        <v>10478198.2973591</v>
      </c>
      <c r="S145" s="126">
        <v>7232279.1100000003</v>
      </c>
      <c r="T145" s="126">
        <v>7232279.1100000003</v>
      </c>
      <c r="U145" s="127">
        <v>10478198.2973591</v>
      </c>
      <c r="V145" s="140" t="s">
        <v>81</v>
      </c>
      <c r="W145" s="126" t="s">
        <v>78</v>
      </c>
      <c r="X145" s="126" t="s">
        <v>81</v>
      </c>
      <c r="Y145" s="126" t="s">
        <v>78</v>
      </c>
      <c r="Z145" s="126" t="s">
        <v>81</v>
      </c>
      <c r="AA145" s="126">
        <v>0</v>
      </c>
      <c r="AB145" s="141" t="s">
        <v>78</v>
      </c>
      <c r="AC145" s="126">
        <v>0</v>
      </c>
      <c r="AD145" s="139" t="s">
        <v>78</v>
      </c>
      <c r="AE145" s="126">
        <v>0</v>
      </c>
      <c r="AF145" s="126" t="s">
        <v>78</v>
      </c>
      <c r="AG145" s="126">
        <v>0</v>
      </c>
      <c r="AH145" s="142" t="s">
        <v>81</v>
      </c>
      <c r="AI145" s="142" t="s">
        <v>78</v>
      </c>
      <c r="AJ145" s="142" t="s">
        <v>81</v>
      </c>
      <c r="AK145" s="142" t="s">
        <v>78</v>
      </c>
      <c r="AL145" s="142" t="s">
        <v>78</v>
      </c>
      <c r="AM145" s="142" t="s">
        <v>81</v>
      </c>
      <c r="AN145" s="142" t="s">
        <v>81</v>
      </c>
      <c r="AO145" s="142" t="s">
        <v>78</v>
      </c>
      <c r="AP145" s="142" t="s">
        <v>81</v>
      </c>
      <c r="AQ145" s="142">
        <v>1</v>
      </c>
      <c r="AR145" s="142" t="s">
        <v>126</v>
      </c>
    </row>
    <row r="146" spans="1:44" s="143" customFormat="1" ht="25.05" customHeight="1" x14ac:dyDescent="0.3">
      <c r="A146" s="126" t="s">
        <v>858</v>
      </c>
      <c r="B146" s="125" t="s">
        <v>859</v>
      </c>
      <c r="C146" s="139">
        <v>2018</v>
      </c>
      <c r="D146" s="139" t="s">
        <v>70</v>
      </c>
      <c r="E146" s="139" t="s">
        <v>78</v>
      </c>
      <c r="F146" s="139" t="s">
        <v>570</v>
      </c>
      <c r="G146" s="139" t="s">
        <v>519</v>
      </c>
      <c r="H146" s="139" t="s">
        <v>596</v>
      </c>
      <c r="I146" s="139" t="s">
        <v>101</v>
      </c>
      <c r="J146" s="139" t="s">
        <v>676</v>
      </c>
      <c r="K146" s="139" t="s">
        <v>81</v>
      </c>
      <c r="L146" s="140" t="s">
        <v>74</v>
      </c>
      <c r="M146" s="140">
        <v>1000000</v>
      </c>
      <c r="N146" s="139">
        <v>1000000</v>
      </c>
      <c r="O146" s="139">
        <v>1424130</v>
      </c>
      <c r="P146" s="126">
        <v>1102058</v>
      </c>
      <c r="Q146" s="126">
        <v>1102058</v>
      </c>
      <c r="R146" s="139">
        <v>1569473.8595399999</v>
      </c>
      <c r="S146" s="126">
        <v>1102058</v>
      </c>
      <c r="T146" s="139">
        <v>1102058</v>
      </c>
      <c r="U146" s="127">
        <v>1569473.8595399999</v>
      </c>
      <c r="V146" s="140" t="s">
        <v>75</v>
      </c>
      <c r="W146" s="139" t="s">
        <v>860</v>
      </c>
      <c r="X146" s="126" t="s">
        <v>81</v>
      </c>
      <c r="Y146" s="126" t="s">
        <v>78</v>
      </c>
      <c r="Z146" s="126" t="s">
        <v>75</v>
      </c>
      <c r="AA146" s="126">
        <v>999</v>
      </c>
      <c r="AB146" s="141" t="s">
        <v>861</v>
      </c>
      <c r="AC146" s="126">
        <v>0</v>
      </c>
      <c r="AD146" s="139" t="s">
        <v>78</v>
      </c>
      <c r="AE146" s="139">
        <v>0</v>
      </c>
      <c r="AF146" s="126" t="s">
        <v>78</v>
      </c>
      <c r="AG146" s="126">
        <v>1</v>
      </c>
      <c r="AH146" s="142" t="s">
        <v>75</v>
      </c>
      <c r="AI146" s="142" t="s">
        <v>862</v>
      </c>
      <c r="AJ146" s="142" t="s">
        <v>75</v>
      </c>
      <c r="AK146" s="142" t="s">
        <v>466</v>
      </c>
      <c r="AL146" s="142" t="s">
        <v>704</v>
      </c>
      <c r="AM146" s="142" t="s">
        <v>81</v>
      </c>
      <c r="AN146" s="142" t="s">
        <v>81</v>
      </c>
      <c r="AO146" s="142" t="s">
        <v>78</v>
      </c>
      <c r="AP146" s="142" t="s">
        <v>81</v>
      </c>
      <c r="AQ146" s="142">
        <v>1</v>
      </c>
      <c r="AR146" s="142" t="s">
        <v>74</v>
      </c>
    </row>
    <row r="147" spans="1:44" s="143" customFormat="1" ht="25.05" customHeight="1" x14ac:dyDescent="0.3">
      <c r="A147" s="126" t="s">
        <v>946</v>
      </c>
      <c r="B147" s="125" t="s">
        <v>947</v>
      </c>
      <c r="C147" s="139">
        <v>2017</v>
      </c>
      <c r="D147" s="139" t="s">
        <v>314</v>
      </c>
      <c r="E147" s="139" t="s">
        <v>78</v>
      </c>
      <c r="F147" s="139" t="s">
        <v>557</v>
      </c>
      <c r="G147" s="139" t="s">
        <v>522</v>
      </c>
      <c r="H147" s="139" t="s">
        <v>587</v>
      </c>
      <c r="I147" s="126" t="s">
        <v>256</v>
      </c>
      <c r="J147" s="126" t="s">
        <v>676</v>
      </c>
      <c r="K147" s="126" t="s">
        <v>81</v>
      </c>
      <c r="L147" s="140" t="s">
        <v>74</v>
      </c>
      <c r="M147" s="140">
        <v>20660000</v>
      </c>
      <c r="N147" s="126">
        <v>20660000</v>
      </c>
      <c r="O147" s="126">
        <v>27773857.800000001</v>
      </c>
      <c r="P147" s="126">
        <v>15000000</v>
      </c>
      <c r="Q147" s="126">
        <v>15000000</v>
      </c>
      <c r="R147" s="126">
        <v>20164950</v>
      </c>
      <c r="S147" s="126">
        <v>15000000</v>
      </c>
      <c r="T147" s="126">
        <v>15000000</v>
      </c>
      <c r="U147" s="127">
        <v>20164950</v>
      </c>
      <c r="V147" s="140" t="s">
        <v>81</v>
      </c>
      <c r="W147" s="126" t="s">
        <v>78</v>
      </c>
      <c r="X147" s="126" t="s">
        <v>81</v>
      </c>
      <c r="Y147" s="126" t="s">
        <v>78</v>
      </c>
      <c r="Z147" s="126" t="s">
        <v>81</v>
      </c>
      <c r="AA147" s="126">
        <v>0</v>
      </c>
      <c r="AB147" s="141" t="s">
        <v>78</v>
      </c>
      <c r="AC147" s="126">
        <v>0</v>
      </c>
      <c r="AD147" s="139" t="s">
        <v>78</v>
      </c>
      <c r="AE147" s="126">
        <v>0</v>
      </c>
      <c r="AF147" s="126" t="s">
        <v>78</v>
      </c>
      <c r="AG147" s="126">
        <v>0</v>
      </c>
      <c r="AH147" s="142" t="s">
        <v>81</v>
      </c>
      <c r="AI147" s="142" t="s">
        <v>78</v>
      </c>
      <c r="AJ147" s="142" t="s">
        <v>81</v>
      </c>
      <c r="AK147" s="142" t="s">
        <v>78</v>
      </c>
      <c r="AL147" s="142" t="s">
        <v>78</v>
      </c>
      <c r="AM147" s="142" t="s">
        <v>81</v>
      </c>
      <c r="AN147" s="142" t="s">
        <v>81</v>
      </c>
      <c r="AO147" s="142" t="s">
        <v>78</v>
      </c>
      <c r="AP147" s="142" t="s">
        <v>81</v>
      </c>
      <c r="AQ147" s="142">
        <v>1</v>
      </c>
      <c r="AR147" s="142" t="s">
        <v>74</v>
      </c>
    </row>
    <row r="148" spans="1:44" s="143" customFormat="1" ht="25.05" customHeight="1" x14ac:dyDescent="0.3">
      <c r="A148" s="126" t="s">
        <v>1028</v>
      </c>
      <c r="B148" s="125" t="s">
        <v>1029</v>
      </c>
      <c r="C148" s="139">
        <v>2017</v>
      </c>
      <c r="D148" s="139" t="s">
        <v>70</v>
      </c>
      <c r="E148" s="139" t="s">
        <v>78</v>
      </c>
      <c r="F148" s="139" t="s">
        <v>570</v>
      </c>
      <c r="G148" s="139" t="s">
        <v>519</v>
      </c>
      <c r="H148" s="139" t="s">
        <v>599</v>
      </c>
      <c r="I148" s="126" t="s">
        <v>101</v>
      </c>
      <c r="J148" s="126" t="s">
        <v>676</v>
      </c>
      <c r="K148" s="126" t="s">
        <v>81</v>
      </c>
      <c r="L148" s="140" t="s">
        <v>74</v>
      </c>
      <c r="M148" s="140">
        <v>3000000</v>
      </c>
      <c r="N148" s="126">
        <v>3000000</v>
      </c>
      <c r="O148" s="126">
        <v>4032990</v>
      </c>
      <c r="P148" s="126">
        <v>3000000</v>
      </c>
      <c r="Q148" s="126">
        <v>3000000</v>
      </c>
      <c r="R148" s="126">
        <v>4032990</v>
      </c>
      <c r="S148" s="126">
        <v>3000000</v>
      </c>
      <c r="T148" s="126">
        <v>3000000</v>
      </c>
      <c r="U148" s="127">
        <v>4032990</v>
      </c>
      <c r="V148" s="140" t="s">
        <v>81</v>
      </c>
      <c r="W148" s="126" t="s">
        <v>78</v>
      </c>
      <c r="X148" s="126" t="s">
        <v>81</v>
      </c>
      <c r="Y148" s="126" t="s">
        <v>78</v>
      </c>
      <c r="Z148" s="126" t="s">
        <v>81</v>
      </c>
      <c r="AA148" s="126">
        <v>0</v>
      </c>
      <c r="AB148" s="141" t="s">
        <v>78</v>
      </c>
      <c r="AC148" s="126">
        <v>0</v>
      </c>
      <c r="AD148" s="139" t="s">
        <v>78</v>
      </c>
      <c r="AE148" s="144">
        <v>0</v>
      </c>
      <c r="AF148" s="126" t="s">
        <v>78</v>
      </c>
      <c r="AG148" s="126">
        <v>0</v>
      </c>
      <c r="AH148" s="142" t="s">
        <v>81</v>
      </c>
      <c r="AI148" s="142" t="s">
        <v>78</v>
      </c>
      <c r="AJ148" s="142" t="s">
        <v>81</v>
      </c>
      <c r="AK148" s="142" t="s">
        <v>78</v>
      </c>
      <c r="AL148" s="142" t="s">
        <v>78</v>
      </c>
      <c r="AM148" s="142" t="s">
        <v>81</v>
      </c>
      <c r="AN148" s="142" t="s">
        <v>81</v>
      </c>
      <c r="AO148" s="142" t="s">
        <v>78</v>
      </c>
      <c r="AP148" s="142" t="s">
        <v>81</v>
      </c>
      <c r="AQ148" s="142">
        <v>1</v>
      </c>
      <c r="AR148" s="142" t="s">
        <v>74</v>
      </c>
    </row>
    <row r="149" spans="1:44" s="143" customFormat="1" ht="25.05" customHeight="1" x14ac:dyDescent="0.3">
      <c r="A149" s="126" t="s">
        <v>748</v>
      </c>
      <c r="B149" s="125" t="s">
        <v>749</v>
      </c>
      <c r="C149" s="139">
        <v>2018</v>
      </c>
      <c r="D149" s="139" t="s">
        <v>184</v>
      </c>
      <c r="E149" s="139" t="s">
        <v>78</v>
      </c>
      <c r="F149" s="139" t="s">
        <v>554</v>
      </c>
      <c r="G149" s="139" t="s">
        <v>520</v>
      </c>
      <c r="H149" s="139" t="s">
        <v>597</v>
      </c>
      <c r="I149" s="126" t="s">
        <v>101</v>
      </c>
      <c r="J149" s="126" t="s">
        <v>689</v>
      </c>
      <c r="K149" s="126" t="s">
        <v>81</v>
      </c>
      <c r="L149" s="140" t="s">
        <v>74</v>
      </c>
      <c r="M149" s="140">
        <v>11166000</v>
      </c>
      <c r="N149" s="126">
        <v>11166000</v>
      </c>
      <c r="O149" s="126">
        <v>15901835.579999998</v>
      </c>
      <c r="P149" s="126">
        <v>10000000</v>
      </c>
      <c r="Q149" s="126">
        <v>10000000</v>
      </c>
      <c r="R149" s="126">
        <v>14241299.999999998</v>
      </c>
      <c r="S149" s="126">
        <v>10000000</v>
      </c>
      <c r="T149" s="126">
        <v>10000000</v>
      </c>
      <c r="U149" s="127">
        <v>14241299.999999998</v>
      </c>
      <c r="V149" s="140" t="s">
        <v>81</v>
      </c>
      <c r="W149" s="126" t="s">
        <v>78</v>
      </c>
      <c r="X149" s="126" t="s">
        <v>81</v>
      </c>
      <c r="Y149" s="126" t="s">
        <v>78</v>
      </c>
      <c r="Z149" s="126" t="s">
        <v>81</v>
      </c>
      <c r="AA149" s="126">
        <v>0</v>
      </c>
      <c r="AB149" s="141" t="s">
        <v>78</v>
      </c>
      <c r="AC149" s="126">
        <v>0</v>
      </c>
      <c r="AD149" s="139" t="s">
        <v>78</v>
      </c>
      <c r="AE149" s="126">
        <v>0</v>
      </c>
      <c r="AF149" s="126" t="s">
        <v>78</v>
      </c>
      <c r="AG149" s="126">
        <v>0</v>
      </c>
      <c r="AH149" s="142" t="s">
        <v>81</v>
      </c>
      <c r="AI149" s="142" t="s">
        <v>78</v>
      </c>
      <c r="AJ149" s="142" t="s">
        <v>81</v>
      </c>
      <c r="AK149" s="142" t="s">
        <v>78</v>
      </c>
      <c r="AL149" s="142" t="s">
        <v>78</v>
      </c>
      <c r="AM149" s="142" t="s">
        <v>81</v>
      </c>
      <c r="AN149" s="142" t="s">
        <v>81</v>
      </c>
      <c r="AO149" s="142" t="s">
        <v>78</v>
      </c>
      <c r="AP149" s="142" t="s">
        <v>81</v>
      </c>
      <c r="AQ149" s="142">
        <v>1</v>
      </c>
      <c r="AR149" s="142" t="s">
        <v>74</v>
      </c>
    </row>
    <row r="150" spans="1:44" s="143" customFormat="1" ht="25.05" customHeight="1" x14ac:dyDescent="0.3">
      <c r="A150" s="126" t="s">
        <v>973</v>
      </c>
      <c r="B150" s="125" t="s">
        <v>974</v>
      </c>
      <c r="C150" s="139">
        <v>2017</v>
      </c>
      <c r="D150" s="139" t="s">
        <v>184</v>
      </c>
      <c r="E150" s="139" t="s">
        <v>78</v>
      </c>
      <c r="F150" s="139" t="s">
        <v>554</v>
      </c>
      <c r="G150" s="139" t="s">
        <v>520</v>
      </c>
      <c r="H150" s="139" t="s">
        <v>466</v>
      </c>
      <c r="I150" s="126" t="s">
        <v>466</v>
      </c>
      <c r="J150" s="126" t="s">
        <v>689</v>
      </c>
      <c r="K150" s="126" t="s">
        <v>81</v>
      </c>
      <c r="L150" s="140" t="s">
        <v>74</v>
      </c>
      <c r="M150" s="140">
        <v>740000</v>
      </c>
      <c r="N150" s="126">
        <v>740000</v>
      </c>
      <c r="O150" s="126">
        <v>994804.20000000007</v>
      </c>
      <c r="P150" s="126">
        <v>740000</v>
      </c>
      <c r="Q150" s="126">
        <v>740000</v>
      </c>
      <c r="R150" s="126">
        <v>994804.20000000007</v>
      </c>
      <c r="S150" s="126">
        <v>740000</v>
      </c>
      <c r="T150" s="126">
        <v>740000</v>
      </c>
      <c r="U150" s="127">
        <v>994804.20000000007</v>
      </c>
      <c r="V150" s="140" t="s">
        <v>81</v>
      </c>
      <c r="W150" s="126" t="s">
        <v>78</v>
      </c>
      <c r="X150" s="126" t="s">
        <v>81</v>
      </c>
      <c r="Y150" s="126" t="s">
        <v>78</v>
      </c>
      <c r="Z150" s="126" t="s">
        <v>81</v>
      </c>
      <c r="AA150" s="126">
        <v>0</v>
      </c>
      <c r="AB150" s="141" t="s">
        <v>78</v>
      </c>
      <c r="AC150" s="126">
        <v>0</v>
      </c>
      <c r="AD150" s="139" t="s">
        <v>78</v>
      </c>
      <c r="AE150" s="144">
        <v>0</v>
      </c>
      <c r="AF150" s="126" t="s">
        <v>78</v>
      </c>
      <c r="AG150" s="126">
        <v>0</v>
      </c>
      <c r="AH150" s="142" t="s">
        <v>81</v>
      </c>
      <c r="AI150" s="142" t="s">
        <v>78</v>
      </c>
      <c r="AJ150" s="142" t="s">
        <v>81</v>
      </c>
      <c r="AK150" s="142" t="s">
        <v>78</v>
      </c>
      <c r="AL150" s="142" t="s">
        <v>78</v>
      </c>
      <c r="AM150" s="142" t="s">
        <v>81</v>
      </c>
      <c r="AN150" s="142" t="s">
        <v>81</v>
      </c>
      <c r="AO150" s="142" t="s">
        <v>78</v>
      </c>
      <c r="AP150" s="142" t="s">
        <v>81</v>
      </c>
      <c r="AQ150" s="142">
        <v>1</v>
      </c>
      <c r="AR150" s="142" t="s">
        <v>74</v>
      </c>
    </row>
    <row r="151" spans="1:44" s="143" customFormat="1" ht="25.05" customHeight="1" x14ac:dyDescent="0.3">
      <c r="A151" s="126" t="s">
        <v>1658</v>
      </c>
      <c r="B151" s="126" t="s">
        <v>1659</v>
      </c>
      <c r="C151" s="139">
        <v>2019</v>
      </c>
      <c r="D151" s="139" t="s">
        <v>529</v>
      </c>
      <c r="E151" s="139" t="s">
        <v>78</v>
      </c>
      <c r="F151" s="139" t="s">
        <v>505</v>
      </c>
      <c r="G151" s="139" t="s">
        <v>521</v>
      </c>
      <c r="H151" s="139" t="s">
        <v>584</v>
      </c>
      <c r="I151" s="126" t="s">
        <v>228</v>
      </c>
      <c r="J151" s="126" t="s">
        <v>679</v>
      </c>
      <c r="K151" s="126" t="s">
        <v>81</v>
      </c>
      <c r="L151" s="126" t="s">
        <v>104</v>
      </c>
      <c r="M151" s="126">
        <v>85400000</v>
      </c>
      <c r="N151" s="126">
        <v>70332059.559889317</v>
      </c>
      <c r="O151" s="126">
        <v>97817125.115298465</v>
      </c>
      <c r="P151" s="126">
        <v>59190736</v>
      </c>
      <c r="Q151" s="126">
        <v>59190736</v>
      </c>
      <c r="R151" s="126">
        <v>82321883.721440002</v>
      </c>
      <c r="S151" s="126">
        <v>59190736</v>
      </c>
      <c r="T151" s="126">
        <v>59190736</v>
      </c>
      <c r="U151" s="127">
        <v>82321883.721440002</v>
      </c>
      <c r="V151" s="126" t="s">
        <v>75</v>
      </c>
      <c r="W151" s="126" t="s">
        <v>1660</v>
      </c>
      <c r="X151" s="126" t="s">
        <v>75</v>
      </c>
      <c r="Y151" s="126" t="s">
        <v>1661</v>
      </c>
      <c r="Z151" s="126" t="s">
        <v>75</v>
      </c>
      <c r="AA151" s="126">
        <v>999</v>
      </c>
      <c r="AB151" s="141" t="s">
        <v>1662</v>
      </c>
      <c r="AC151" s="126">
        <v>999</v>
      </c>
      <c r="AD151" s="139" t="s">
        <v>1663</v>
      </c>
      <c r="AE151" s="126">
        <v>999</v>
      </c>
      <c r="AF151" s="126" t="s">
        <v>1664</v>
      </c>
      <c r="AG151" s="126">
        <v>4</v>
      </c>
      <c r="AH151" s="142" t="s">
        <v>75</v>
      </c>
      <c r="AI151" s="142" t="s">
        <v>1665</v>
      </c>
      <c r="AJ151" s="142" t="s">
        <v>75</v>
      </c>
      <c r="AK151" s="142" t="s">
        <v>1666</v>
      </c>
      <c r="AL151" s="142" t="s">
        <v>1523</v>
      </c>
      <c r="AM151" s="142" t="s">
        <v>75</v>
      </c>
      <c r="AN151" s="142" t="s">
        <v>75</v>
      </c>
      <c r="AO151" s="142" t="s">
        <v>78</v>
      </c>
      <c r="AP151" s="142" t="s">
        <v>75</v>
      </c>
      <c r="AQ151" s="142">
        <v>1</v>
      </c>
      <c r="AR151" s="142" t="s">
        <v>104</v>
      </c>
    </row>
    <row r="152" spans="1:44" s="143" customFormat="1" ht="25.05" customHeight="1" x14ac:dyDescent="0.3">
      <c r="A152" s="126" t="s">
        <v>1485</v>
      </c>
      <c r="B152" s="126" t="s">
        <v>1486</v>
      </c>
      <c r="C152" s="139">
        <v>2019</v>
      </c>
      <c r="D152" s="139" t="s">
        <v>195</v>
      </c>
      <c r="E152" s="139" t="s">
        <v>78</v>
      </c>
      <c r="F152" s="139" t="s">
        <v>536</v>
      </c>
      <c r="G152" s="139" t="s">
        <v>522</v>
      </c>
      <c r="H152" s="139" t="s">
        <v>584</v>
      </c>
      <c r="I152" s="126" t="s">
        <v>228</v>
      </c>
      <c r="J152" s="126" t="s">
        <v>679</v>
      </c>
      <c r="K152" s="126" t="s">
        <v>75</v>
      </c>
      <c r="L152" s="126" t="s">
        <v>74</v>
      </c>
      <c r="M152" s="126">
        <v>61330000</v>
      </c>
      <c r="N152" s="126">
        <v>61330000</v>
      </c>
      <c r="O152" s="126">
        <v>85297150.700000003</v>
      </c>
      <c r="P152" s="126">
        <v>8175357</v>
      </c>
      <c r="Q152" s="126">
        <v>8175357</v>
      </c>
      <c r="R152" s="126">
        <v>11370204.76203</v>
      </c>
      <c r="S152" s="126">
        <v>0</v>
      </c>
      <c r="T152" s="126">
        <v>0</v>
      </c>
      <c r="U152" s="127">
        <v>0</v>
      </c>
      <c r="V152" s="126" t="s">
        <v>75</v>
      </c>
      <c r="W152" s="126" t="s">
        <v>1487</v>
      </c>
      <c r="X152" s="126" t="s">
        <v>75</v>
      </c>
      <c r="Y152" s="126" t="s">
        <v>1488</v>
      </c>
      <c r="Z152" s="126" t="s">
        <v>75</v>
      </c>
      <c r="AA152" s="126">
        <v>0</v>
      </c>
      <c r="AB152" s="141" t="s">
        <v>78</v>
      </c>
      <c r="AC152" s="126">
        <v>999</v>
      </c>
      <c r="AD152" s="139" t="s">
        <v>1489</v>
      </c>
      <c r="AE152" s="126">
        <v>0</v>
      </c>
      <c r="AF152" s="126" t="s">
        <v>78</v>
      </c>
      <c r="AG152" s="126">
        <v>1</v>
      </c>
      <c r="AH152" s="142" t="s">
        <v>81</v>
      </c>
      <c r="AI152" s="142" t="s">
        <v>78</v>
      </c>
      <c r="AJ152" s="142" t="s">
        <v>75</v>
      </c>
      <c r="AK152" s="142" t="s">
        <v>1490</v>
      </c>
      <c r="AL152" s="142" t="s">
        <v>1491</v>
      </c>
      <c r="AM152" s="142" t="s">
        <v>75</v>
      </c>
      <c r="AN152" s="142" t="s">
        <v>81</v>
      </c>
      <c r="AO152" s="142" t="s">
        <v>78</v>
      </c>
      <c r="AP152" s="142" t="s">
        <v>75</v>
      </c>
      <c r="AQ152" s="142">
        <v>1</v>
      </c>
      <c r="AR152" s="142" t="s">
        <v>74</v>
      </c>
    </row>
    <row r="153" spans="1:44" s="143" customFormat="1" ht="25.05" customHeight="1" x14ac:dyDescent="0.3">
      <c r="A153" s="126" t="s">
        <v>1018</v>
      </c>
      <c r="B153" s="125" t="s">
        <v>1019</v>
      </c>
      <c r="C153" s="139">
        <v>2017</v>
      </c>
      <c r="D153" s="139" t="s">
        <v>377</v>
      </c>
      <c r="E153" s="139" t="s">
        <v>78</v>
      </c>
      <c r="F153" s="139" t="s">
        <v>544</v>
      </c>
      <c r="G153" s="139" t="s">
        <v>520</v>
      </c>
      <c r="H153" s="139" t="s">
        <v>596</v>
      </c>
      <c r="I153" s="126" t="s">
        <v>101</v>
      </c>
      <c r="J153" s="126" t="s">
        <v>676</v>
      </c>
      <c r="K153" s="126" t="s">
        <v>81</v>
      </c>
      <c r="L153" s="140" t="s">
        <v>74</v>
      </c>
      <c r="M153" s="140">
        <v>6263000</v>
      </c>
      <c r="N153" s="126">
        <v>6263000</v>
      </c>
      <c r="O153" s="126">
        <v>8419538.790000001</v>
      </c>
      <c r="P153" s="126">
        <v>6263000</v>
      </c>
      <c r="Q153" s="126">
        <v>6263000</v>
      </c>
      <c r="R153" s="126">
        <v>8419538.790000001</v>
      </c>
      <c r="S153" s="126">
        <v>6263000</v>
      </c>
      <c r="T153" s="126">
        <v>6263000</v>
      </c>
      <c r="U153" s="127">
        <v>8419538.790000001</v>
      </c>
      <c r="V153" s="140" t="s">
        <v>81</v>
      </c>
      <c r="W153" s="126" t="s">
        <v>78</v>
      </c>
      <c r="X153" s="126" t="s">
        <v>81</v>
      </c>
      <c r="Y153" s="126" t="s">
        <v>78</v>
      </c>
      <c r="Z153" s="126" t="s">
        <v>81</v>
      </c>
      <c r="AA153" s="126">
        <v>0</v>
      </c>
      <c r="AB153" s="141" t="s">
        <v>78</v>
      </c>
      <c r="AC153" s="126">
        <v>0</v>
      </c>
      <c r="AD153" s="139" t="s">
        <v>78</v>
      </c>
      <c r="AE153" s="126">
        <v>0</v>
      </c>
      <c r="AF153" s="126" t="s">
        <v>78</v>
      </c>
      <c r="AG153" s="126">
        <v>0</v>
      </c>
      <c r="AH153" s="142" t="s">
        <v>81</v>
      </c>
      <c r="AI153" s="142" t="s">
        <v>78</v>
      </c>
      <c r="AJ153" s="142" t="s">
        <v>81</v>
      </c>
      <c r="AK153" s="142" t="s">
        <v>78</v>
      </c>
      <c r="AL153" s="142" t="s">
        <v>78</v>
      </c>
      <c r="AM153" s="142" t="s">
        <v>81</v>
      </c>
      <c r="AN153" s="142" t="s">
        <v>81</v>
      </c>
      <c r="AO153" s="142" t="s">
        <v>78</v>
      </c>
      <c r="AP153" s="142" t="s">
        <v>81</v>
      </c>
      <c r="AQ153" s="142">
        <v>1</v>
      </c>
      <c r="AR153" s="142" t="s">
        <v>74</v>
      </c>
    </row>
    <row r="154" spans="1:44" s="143" customFormat="1" ht="25.05" customHeight="1" x14ac:dyDescent="0.3">
      <c r="A154" s="126" t="s">
        <v>1712</v>
      </c>
      <c r="B154" s="126" t="s">
        <v>1713</v>
      </c>
      <c r="C154" s="139">
        <v>2019</v>
      </c>
      <c r="D154" s="139" t="s">
        <v>226</v>
      </c>
      <c r="E154" s="139" t="s">
        <v>78</v>
      </c>
      <c r="F154" s="139" t="s">
        <v>534</v>
      </c>
      <c r="G154" s="139" t="s">
        <v>518</v>
      </c>
      <c r="H154" s="139" t="s">
        <v>587</v>
      </c>
      <c r="I154" s="126" t="s">
        <v>256</v>
      </c>
      <c r="J154" s="126" t="s">
        <v>679</v>
      </c>
      <c r="K154" s="126" t="s">
        <v>81</v>
      </c>
      <c r="L154" s="126" t="s">
        <v>104</v>
      </c>
      <c r="M154" s="126">
        <v>282440000</v>
      </c>
      <c r="N154" s="126">
        <v>232606404.00579786</v>
      </c>
      <c r="O154" s="126">
        <v>323506660.62722361</v>
      </c>
      <c r="P154" s="126">
        <v>86947420.959999993</v>
      </c>
      <c r="Q154" s="126">
        <v>86947420.959999993</v>
      </c>
      <c r="R154" s="126">
        <v>120925603.59695838</v>
      </c>
      <c r="S154" s="126">
        <v>86947420.959999993</v>
      </c>
      <c r="T154" s="126">
        <v>86947420.959999993</v>
      </c>
      <c r="U154" s="127">
        <v>120925603.59695838</v>
      </c>
      <c r="V154" s="126" t="s">
        <v>75</v>
      </c>
      <c r="W154" s="126" t="s">
        <v>1689</v>
      </c>
      <c r="X154" s="126" t="s">
        <v>75</v>
      </c>
      <c r="Y154" s="126" t="s">
        <v>1714</v>
      </c>
      <c r="Z154" s="126" t="s">
        <v>75</v>
      </c>
      <c r="AA154" s="126">
        <v>999</v>
      </c>
      <c r="AB154" s="141" t="s">
        <v>1715</v>
      </c>
      <c r="AC154" s="126">
        <v>999</v>
      </c>
      <c r="AD154" s="139" t="s">
        <v>1716</v>
      </c>
      <c r="AE154" s="126">
        <v>0</v>
      </c>
      <c r="AF154" s="126" t="s">
        <v>78</v>
      </c>
      <c r="AG154" s="126">
        <v>3</v>
      </c>
      <c r="AH154" s="142" t="s">
        <v>81</v>
      </c>
      <c r="AI154" s="142" t="s">
        <v>78</v>
      </c>
      <c r="AJ154" s="142" t="s">
        <v>75</v>
      </c>
      <c r="AK154" s="142" t="s">
        <v>1695</v>
      </c>
      <c r="AL154" s="142" t="s">
        <v>121</v>
      </c>
      <c r="AM154" s="142" t="s">
        <v>75</v>
      </c>
      <c r="AN154" s="142" t="s">
        <v>75</v>
      </c>
      <c r="AO154" s="142" t="s">
        <v>78</v>
      </c>
      <c r="AP154" s="142" t="s">
        <v>75</v>
      </c>
      <c r="AQ154" s="142">
        <v>1</v>
      </c>
      <c r="AR154" s="142" t="s">
        <v>104</v>
      </c>
    </row>
    <row r="155" spans="1:44" s="143" customFormat="1" ht="25.05" customHeight="1" x14ac:dyDescent="0.3">
      <c r="A155" s="126" t="s">
        <v>1133</v>
      </c>
      <c r="B155" s="125" t="s">
        <v>1134</v>
      </c>
      <c r="C155" s="139">
        <v>2016</v>
      </c>
      <c r="D155" s="139" t="s">
        <v>516</v>
      </c>
      <c r="E155" s="139" t="s">
        <v>78</v>
      </c>
      <c r="F155" s="139" t="s">
        <v>569</v>
      </c>
      <c r="G155" s="139" t="s">
        <v>519</v>
      </c>
      <c r="H155" s="139" t="s">
        <v>587</v>
      </c>
      <c r="I155" s="126" t="s">
        <v>256</v>
      </c>
      <c r="J155" s="126" t="s">
        <v>689</v>
      </c>
      <c r="K155" s="126" t="s">
        <v>81</v>
      </c>
      <c r="L155" s="140" t="s">
        <v>126</v>
      </c>
      <c r="M155" s="140">
        <v>150614905</v>
      </c>
      <c r="N155" s="126">
        <v>108689935.99041662</v>
      </c>
      <c r="O155" s="126">
        <v>150614905</v>
      </c>
      <c r="P155" s="126">
        <v>97887340.109999999</v>
      </c>
      <c r="Q155" s="126">
        <v>97887340.109999999</v>
      </c>
      <c r="R155" s="126">
        <v>135645423.81063029</v>
      </c>
      <c r="S155" s="126">
        <v>87038921.450000003</v>
      </c>
      <c r="T155" s="126">
        <v>87038921.450000003</v>
      </c>
      <c r="U155" s="127">
        <v>120612444.6209085</v>
      </c>
      <c r="V155" s="140" t="s">
        <v>81</v>
      </c>
      <c r="W155" s="126" t="s">
        <v>78</v>
      </c>
      <c r="X155" s="126" t="s">
        <v>81</v>
      </c>
      <c r="Y155" s="126" t="s">
        <v>78</v>
      </c>
      <c r="Z155" s="126" t="s">
        <v>81</v>
      </c>
      <c r="AA155" s="126">
        <v>0</v>
      </c>
      <c r="AB155" s="141" t="s">
        <v>78</v>
      </c>
      <c r="AC155" s="126">
        <v>0</v>
      </c>
      <c r="AD155" s="139" t="s">
        <v>78</v>
      </c>
      <c r="AE155" s="126">
        <v>0</v>
      </c>
      <c r="AF155" s="126" t="s">
        <v>78</v>
      </c>
      <c r="AG155" s="126">
        <v>0</v>
      </c>
      <c r="AH155" s="142" t="s">
        <v>81</v>
      </c>
      <c r="AI155" s="142" t="s">
        <v>78</v>
      </c>
      <c r="AJ155" s="142" t="s">
        <v>81</v>
      </c>
      <c r="AK155" s="142" t="s">
        <v>78</v>
      </c>
      <c r="AL155" s="142" t="s">
        <v>78</v>
      </c>
      <c r="AM155" s="142" t="s">
        <v>81</v>
      </c>
      <c r="AN155" s="142" t="s">
        <v>81</v>
      </c>
      <c r="AO155" s="142" t="s">
        <v>78</v>
      </c>
      <c r="AP155" s="142" t="s">
        <v>81</v>
      </c>
      <c r="AQ155" s="142">
        <v>1</v>
      </c>
      <c r="AR155" s="142" t="s">
        <v>126</v>
      </c>
    </row>
    <row r="156" spans="1:44" s="143" customFormat="1" ht="25.05" customHeight="1" x14ac:dyDescent="0.3">
      <c r="A156" s="126" t="s">
        <v>1008</v>
      </c>
      <c r="B156" s="125" t="s">
        <v>1009</v>
      </c>
      <c r="C156" s="139">
        <v>2017</v>
      </c>
      <c r="D156" s="139" t="s">
        <v>297</v>
      </c>
      <c r="E156" s="139" t="s">
        <v>78</v>
      </c>
      <c r="F156" s="139" t="s">
        <v>566</v>
      </c>
      <c r="G156" s="139" t="s">
        <v>522</v>
      </c>
      <c r="H156" s="139" t="s">
        <v>599</v>
      </c>
      <c r="I156" s="126" t="s">
        <v>101</v>
      </c>
      <c r="J156" s="126" t="s">
        <v>676</v>
      </c>
      <c r="K156" s="126" t="s">
        <v>81</v>
      </c>
      <c r="L156" s="140" t="s">
        <v>74</v>
      </c>
      <c r="M156" s="140">
        <v>21750000</v>
      </c>
      <c r="N156" s="126">
        <v>21750000</v>
      </c>
      <c r="O156" s="126">
        <v>29239177.5</v>
      </c>
      <c r="P156" s="126">
        <v>19580000</v>
      </c>
      <c r="Q156" s="126">
        <v>19580000</v>
      </c>
      <c r="R156" s="126">
        <v>26321981.400000002</v>
      </c>
      <c r="S156" s="126">
        <v>19580000</v>
      </c>
      <c r="T156" s="126">
        <v>19580000</v>
      </c>
      <c r="U156" s="127">
        <v>26321981.400000002</v>
      </c>
      <c r="V156" s="140" t="s">
        <v>81</v>
      </c>
      <c r="W156" s="126" t="s">
        <v>78</v>
      </c>
      <c r="X156" s="126" t="s">
        <v>81</v>
      </c>
      <c r="Y156" s="126" t="s">
        <v>78</v>
      </c>
      <c r="Z156" s="126" t="s">
        <v>81</v>
      </c>
      <c r="AA156" s="126">
        <v>0</v>
      </c>
      <c r="AB156" s="141" t="s">
        <v>78</v>
      </c>
      <c r="AC156" s="126">
        <v>0</v>
      </c>
      <c r="AD156" s="139" t="s">
        <v>78</v>
      </c>
      <c r="AE156" s="126">
        <v>0</v>
      </c>
      <c r="AF156" s="126" t="s">
        <v>78</v>
      </c>
      <c r="AG156" s="126">
        <v>0</v>
      </c>
      <c r="AH156" s="142" t="s">
        <v>81</v>
      </c>
      <c r="AI156" s="142" t="s">
        <v>78</v>
      </c>
      <c r="AJ156" s="142" t="s">
        <v>81</v>
      </c>
      <c r="AK156" s="142" t="s">
        <v>78</v>
      </c>
      <c r="AL156" s="142" t="s">
        <v>78</v>
      </c>
      <c r="AM156" s="142" t="s">
        <v>81</v>
      </c>
      <c r="AN156" s="142" t="s">
        <v>81</v>
      </c>
      <c r="AO156" s="142" t="s">
        <v>78</v>
      </c>
      <c r="AP156" s="142" t="s">
        <v>81</v>
      </c>
      <c r="AQ156" s="142">
        <v>1</v>
      </c>
      <c r="AR156" s="142" t="s">
        <v>74</v>
      </c>
    </row>
    <row r="157" spans="1:44" s="143" customFormat="1" ht="25.05" customHeight="1" x14ac:dyDescent="0.3">
      <c r="A157" s="126" t="s">
        <v>1233</v>
      </c>
      <c r="B157" s="125" t="s">
        <v>1234</v>
      </c>
      <c r="C157" s="139">
        <v>2016</v>
      </c>
      <c r="D157" s="139" t="s">
        <v>297</v>
      </c>
      <c r="E157" s="139" t="s">
        <v>78</v>
      </c>
      <c r="F157" s="139" t="s">
        <v>566</v>
      </c>
      <c r="G157" s="139" t="s">
        <v>522</v>
      </c>
      <c r="H157" s="139" t="s">
        <v>599</v>
      </c>
      <c r="I157" s="126" t="s">
        <v>101</v>
      </c>
      <c r="J157" s="126" t="s">
        <v>676</v>
      </c>
      <c r="K157" s="126" t="s">
        <v>81</v>
      </c>
      <c r="L157" s="140" t="s">
        <v>74</v>
      </c>
      <c r="M157" s="140">
        <v>12000000</v>
      </c>
      <c r="N157" s="126">
        <v>12000000</v>
      </c>
      <c r="O157" s="126">
        <v>16628759.999999998</v>
      </c>
      <c r="P157" s="126">
        <v>12000000</v>
      </c>
      <c r="Q157" s="126">
        <v>12000000</v>
      </c>
      <c r="R157" s="126">
        <v>16628759.999999998</v>
      </c>
      <c r="S157" s="126">
        <v>12000000</v>
      </c>
      <c r="T157" s="126">
        <v>12000000</v>
      </c>
      <c r="U157" s="127">
        <v>16628759.999999998</v>
      </c>
      <c r="V157" s="140" t="s">
        <v>81</v>
      </c>
      <c r="W157" s="126" t="s">
        <v>78</v>
      </c>
      <c r="X157" s="126" t="s">
        <v>81</v>
      </c>
      <c r="Y157" s="126" t="s">
        <v>78</v>
      </c>
      <c r="Z157" s="126" t="s">
        <v>81</v>
      </c>
      <c r="AA157" s="126">
        <v>0</v>
      </c>
      <c r="AB157" s="141" t="s">
        <v>78</v>
      </c>
      <c r="AC157" s="126">
        <v>0</v>
      </c>
      <c r="AD157" s="139" t="s">
        <v>78</v>
      </c>
      <c r="AE157" s="126">
        <v>0</v>
      </c>
      <c r="AF157" s="126" t="s">
        <v>78</v>
      </c>
      <c r="AG157" s="126">
        <v>0</v>
      </c>
      <c r="AH157" s="142" t="s">
        <v>81</v>
      </c>
      <c r="AI157" s="142" t="s">
        <v>78</v>
      </c>
      <c r="AJ157" s="142" t="s">
        <v>81</v>
      </c>
      <c r="AK157" s="142" t="s">
        <v>78</v>
      </c>
      <c r="AL157" s="142" t="s">
        <v>78</v>
      </c>
      <c r="AM157" s="142" t="s">
        <v>81</v>
      </c>
      <c r="AN157" s="142" t="s">
        <v>81</v>
      </c>
      <c r="AO157" s="142" t="s">
        <v>78</v>
      </c>
      <c r="AP157" s="142" t="s">
        <v>81</v>
      </c>
      <c r="AQ157" s="142">
        <v>1</v>
      </c>
      <c r="AR157" s="142" t="s">
        <v>74</v>
      </c>
    </row>
    <row r="158" spans="1:44" s="143" customFormat="1" ht="25.05" customHeight="1" x14ac:dyDescent="0.3">
      <c r="A158" s="126" t="s">
        <v>1115</v>
      </c>
      <c r="B158" s="125" t="s">
        <v>1116</v>
      </c>
      <c r="C158" s="139">
        <v>2016</v>
      </c>
      <c r="D158" s="139" t="s">
        <v>501</v>
      </c>
      <c r="E158" s="139" t="s">
        <v>78</v>
      </c>
      <c r="F158" s="139" t="s">
        <v>551</v>
      </c>
      <c r="G158" s="139" t="s">
        <v>519</v>
      </c>
      <c r="H158" s="139" t="s">
        <v>466</v>
      </c>
      <c r="I158" s="126" t="s">
        <v>466</v>
      </c>
      <c r="J158" s="126" t="s">
        <v>676</v>
      </c>
      <c r="K158" s="126" t="s">
        <v>81</v>
      </c>
      <c r="L158" s="140" t="s">
        <v>74</v>
      </c>
      <c r="M158" s="140">
        <v>9700071</v>
      </c>
      <c r="N158" s="126">
        <v>9700071</v>
      </c>
      <c r="O158" s="126">
        <v>13441679.386829998</v>
      </c>
      <c r="P158" s="126">
        <v>8770071</v>
      </c>
      <c r="Q158" s="126">
        <v>8770071</v>
      </c>
      <c r="R158" s="126">
        <v>12152950.48683</v>
      </c>
      <c r="S158" s="126">
        <v>8770071</v>
      </c>
      <c r="T158" s="126">
        <v>8770071</v>
      </c>
      <c r="U158" s="127">
        <v>12152950.48683</v>
      </c>
      <c r="V158" s="140" t="s">
        <v>81</v>
      </c>
      <c r="W158" s="126" t="s">
        <v>78</v>
      </c>
      <c r="X158" s="126" t="s">
        <v>81</v>
      </c>
      <c r="Y158" s="126" t="s">
        <v>78</v>
      </c>
      <c r="Z158" s="126" t="s">
        <v>81</v>
      </c>
      <c r="AA158" s="126">
        <v>0</v>
      </c>
      <c r="AB158" s="141" t="s">
        <v>78</v>
      </c>
      <c r="AC158" s="126">
        <v>0</v>
      </c>
      <c r="AD158" s="139" t="s">
        <v>78</v>
      </c>
      <c r="AE158" s="126">
        <v>0</v>
      </c>
      <c r="AF158" s="126" t="s">
        <v>78</v>
      </c>
      <c r="AG158" s="126">
        <v>0</v>
      </c>
      <c r="AH158" s="142" t="s">
        <v>81</v>
      </c>
      <c r="AI158" s="142" t="s">
        <v>78</v>
      </c>
      <c r="AJ158" s="142" t="s">
        <v>81</v>
      </c>
      <c r="AK158" s="142" t="s">
        <v>78</v>
      </c>
      <c r="AL158" s="142" t="s">
        <v>78</v>
      </c>
      <c r="AM158" s="142" t="s">
        <v>81</v>
      </c>
      <c r="AN158" s="142" t="s">
        <v>81</v>
      </c>
      <c r="AO158" s="142" t="s">
        <v>78</v>
      </c>
      <c r="AP158" s="142" t="s">
        <v>81</v>
      </c>
      <c r="AQ158" s="142">
        <v>1</v>
      </c>
      <c r="AR158" s="142" t="s">
        <v>74</v>
      </c>
    </row>
    <row r="159" spans="1:44" s="143" customFormat="1" ht="25.05" customHeight="1" x14ac:dyDescent="0.3">
      <c r="A159" s="126" t="s">
        <v>1460</v>
      </c>
      <c r="B159" s="126" t="s">
        <v>1461</v>
      </c>
      <c r="C159" s="139">
        <v>2019</v>
      </c>
      <c r="D159" s="139" t="s">
        <v>282</v>
      </c>
      <c r="E159" s="139" t="s">
        <v>78</v>
      </c>
      <c r="F159" s="139" t="s">
        <v>553</v>
      </c>
      <c r="G159" s="139" t="s">
        <v>520</v>
      </c>
      <c r="H159" s="139" t="s">
        <v>228</v>
      </c>
      <c r="I159" s="126" t="s">
        <v>228</v>
      </c>
      <c r="J159" s="126" t="s">
        <v>679</v>
      </c>
      <c r="K159" s="126" t="s">
        <v>81</v>
      </c>
      <c r="L159" s="126" t="s">
        <v>74</v>
      </c>
      <c r="M159" s="126">
        <v>92000000</v>
      </c>
      <c r="N159" s="126">
        <v>92000000</v>
      </c>
      <c r="O159" s="126">
        <v>127952680</v>
      </c>
      <c r="P159" s="126">
        <v>92000000</v>
      </c>
      <c r="Q159" s="126">
        <v>92000000</v>
      </c>
      <c r="R159" s="126">
        <v>127952680</v>
      </c>
      <c r="S159" s="126">
        <v>82000000</v>
      </c>
      <c r="T159" s="126">
        <v>82000000</v>
      </c>
      <c r="U159" s="127">
        <v>114044780</v>
      </c>
      <c r="V159" s="126" t="s">
        <v>75</v>
      </c>
      <c r="W159" s="126" t="s">
        <v>1462</v>
      </c>
      <c r="X159" s="126" t="s">
        <v>75</v>
      </c>
      <c r="Y159" s="126" t="s">
        <v>1463</v>
      </c>
      <c r="Z159" s="126" t="s">
        <v>75</v>
      </c>
      <c r="AA159" s="126">
        <v>0</v>
      </c>
      <c r="AB159" s="141" t="s">
        <v>78</v>
      </c>
      <c r="AC159" s="126">
        <v>999</v>
      </c>
      <c r="AD159" s="139" t="s">
        <v>1464</v>
      </c>
      <c r="AE159" s="126">
        <v>0</v>
      </c>
      <c r="AF159" s="126" t="s">
        <v>78</v>
      </c>
      <c r="AG159" s="126">
        <v>1</v>
      </c>
      <c r="AH159" s="142" t="s">
        <v>81</v>
      </c>
      <c r="AI159" s="142" t="s">
        <v>78</v>
      </c>
      <c r="AJ159" s="142" t="s">
        <v>81</v>
      </c>
      <c r="AK159" s="142" t="s">
        <v>1423</v>
      </c>
      <c r="AL159" s="142" t="s">
        <v>132</v>
      </c>
      <c r="AM159" s="142" t="s">
        <v>75</v>
      </c>
      <c r="AN159" s="142" t="s">
        <v>81</v>
      </c>
      <c r="AO159" s="142" t="s">
        <v>78</v>
      </c>
      <c r="AP159" s="142" t="s">
        <v>75</v>
      </c>
      <c r="AQ159" s="142">
        <v>1</v>
      </c>
      <c r="AR159" s="142" t="s">
        <v>74</v>
      </c>
    </row>
    <row r="160" spans="1:44" s="143" customFormat="1" ht="25.05" customHeight="1" x14ac:dyDescent="0.3">
      <c r="A160" s="126" t="s">
        <v>963</v>
      </c>
      <c r="B160" s="125" t="s">
        <v>964</v>
      </c>
      <c r="C160" s="139">
        <v>2017</v>
      </c>
      <c r="D160" s="139" t="s">
        <v>145</v>
      </c>
      <c r="E160" s="139" t="s">
        <v>78</v>
      </c>
      <c r="F160" s="139" t="s">
        <v>543</v>
      </c>
      <c r="G160" s="139" t="s">
        <v>522</v>
      </c>
      <c r="H160" s="139" t="s">
        <v>228</v>
      </c>
      <c r="I160" s="126" t="s">
        <v>228</v>
      </c>
      <c r="J160" s="126" t="s">
        <v>689</v>
      </c>
      <c r="K160" s="126" t="s">
        <v>81</v>
      </c>
      <c r="L160" s="140" t="s">
        <v>126</v>
      </c>
      <c r="M160" s="140">
        <v>1000000</v>
      </c>
      <c r="N160" s="126">
        <v>743864.97362998663</v>
      </c>
      <c r="O160" s="126">
        <v>1000000</v>
      </c>
      <c r="P160" s="126">
        <v>723227.91</v>
      </c>
      <c r="Q160" s="126">
        <v>723227.91</v>
      </c>
      <c r="R160" s="126">
        <v>972256.97625030007</v>
      </c>
      <c r="S160" s="126">
        <v>723227.91</v>
      </c>
      <c r="T160" s="126">
        <v>723227.91</v>
      </c>
      <c r="U160" s="127">
        <v>972256.97625030007</v>
      </c>
      <c r="V160" s="140" t="s">
        <v>75</v>
      </c>
      <c r="W160" s="126" t="s">
        <v>965</v>
      </c>
      <c r="X160" s="126" t="s">
        <v>75</v>
      </c>
      <c r="Y160" s="126" t="s">
        <v>966</v>
      </c>
      <c r="Z160" s="126" t="s">
        <v>75</v>
      </c>
      <c r="AA160" s="126">
        <v>999</v>
      </c>
      <c r="AB160" s="141" t="s">
        <v>967</v>
      </c>
      <c r="AC160" s="126">
        <v>0</v>
      </c>
      <c r="AD160" s="139" t="s">
        <v>78</v>
      </c>
      <c r="AE160" s="126">
        <v>0</v>
      </c>
      <c r="AF160" s="126" t="s">
        <v>78</v>
      </c>
      <c r="AG160" s="126">
        <v>1</v>
      </c>
      <c r="AH160" s="142" t="s">
        <v>75</v>
      </c>
      <c r="AI160" s="142" t="s">
        <v>968</v>
      </c>
      <c r="AJ160" s="142" t="s">
        <v>75</v>
      </c>
      <c r="AK160" s="142" t="s">
        <v>795</v>
      </c>
      <c r="AL160" s="142" t="s">
        <v>796</v>
      </c>
      <c r="AM160" s="142" t="s">
        <v>81</v>
      </c>
      <c r="AN160" s="142" t="s">
        <v>81</v>
      </c>
      <c r="AO160" s="142" t="s">
        <v>78</v>
      </c>
      <c r="AP160" s="142" t="s">
        <v>75</v>
      </c>
      <c r="AQ160" s="142">
        <v>1</v>
      </c>
      <c r="AR160" s="142" t="s">
        <v>126</v>
      </c>
    </row>
    <row r="161" spans="1:44" s="143" customFormat="1" ht="25.05" customHeight="1" x14ac:dyDescent="0.3">
      <c r="A161" s="126" t="s">
        <v>1138</v>
      </c>
      <c r="B161" s="125" t="s">
        <v>1139</v>
      </c>
      <c r="C161" s="139">
        <v>2016</v>
      </c>
      <c r="D161" s="139" t="s">
        <v>145</v>
      </c>
      <c r="E161" s="139" t="s">
        <v>78</v>
      </c>
      <c r="F161" s="139" t="s">
        <v>543</v>
      </c>
      <c r="G161" s="139" t="s">
        <v>522</v>
      </c>
      <c r="H161" s="139" t="s">
        <v>587</v>
      </c>
      <c r="I161" s="126" t="s">
        <v>256</v>
      </c>
      <c r="J161" s="126" t="s">
        <v>689</v>
      </c>
      <c r="K161" s="126" t="s">
        <v>81</v>
      </c>
      <c r="L161" s="140" t="s">
        <v>74</v>
      </c>
      <c r="M161" s="140">
        <v>325316554</v>
      </c>
      <c r="N161" s="126">
        <v>325316554</v>
      </c>
      <c r="O161" s="126">
        <v>450800908.37441999</v>
      </c>
      <c r="P161" s="126">
        <v>282534354.60000002</v>
      </c>
      <c r="Q161" s="126">
        <v>282534354.60000002</v>
      </c>
      <c r="R161" s="126">
        <v>391516331.19985801</v>
      </c>
      <c r="S161" s="126">
        <v>282534354.60000002</v>
      </c>
      <c r="T161" s="126">
        <v>282534354.60000002</v>
      </c>
      <c r="U161" s="127">
        <v>391516331.19985801</v>
      </c>
      <c r="V161" s="140" t="s">
        <v>81</v>
      </c>
      <c r="W161" s="126" t="s">
        <v>78</v>
      </c>
      <c r="X161" s="126" t="s">
        <v>81</v>
      </c>
      <c r="Y161" s="126" t="s">
        <v>78</v>
      </c>
      <c r="Z161" s="126" t="s">
        <v>81</v>
      </c>
      <c r="AA161" s="126">
        <v>0</v>
      </c>
      <c r="AB161" s="141" t="s">
        <v>78</v>
      </c>
      <c r="AC161" s="126">
        <v>0</v>
      </c>
      <c r="AD161" s="139" t="s">
        <v>78</v>
      </c>
      <c r="AE161" s="126">
        <v>0</v>
      </c>
      <c r="AF161" s="126" t="s">
        <v>78</v>
      </c>
      <c r="AG161" s="126">
        <v>0</v>
      </c>
      <c r="AH161" s="142" t="s">
        <v>81</v>
      </c>
      <c r="AI161" s="142" t="s">
        <v>78</v>
      </c>
      <c r="AJ161" s="142" t="s">
        <v>81</v>
      </c>
      <c r="AK161" s="142" t="s">
        <v>78</v>
      </c>
      <c r="AL161" s="142" t="s">
        <v>78</v>
      </c>
      <c r="AM161" s="142" t="s">
        <v>81</v>
      </c>
      <c r="AN161" s="142" t="s">
        <v>81</v>
      </c>
      <c r="AO161" s="142" t="s">
        <v>78</v>
      </c>
      <c r="AP161" s="142" t="s">
        <v>81</v>
      </c>
      <c r="AQ161" s="142">
        <v>1</v>
      </c>
      <c r="AR161" s="142" t="s">
        <v>74</v>
      </c>
    </row>
    <row r="162" spans="1:44" s="143" customFormat="1" ht="25.05" customHeight="1" x14ac:dyDescent="0.3">
      <c r="A162" s="126" t="s">
        <v>845</v>
      </c>
      <c r="B162" s="125" t="s">
        <v>846</v>
      </c>
      <c r="C162" s="139">
        <v>2018</v>
      </c>
      <c r="D162" s="139" t="s">
        <v>254</v>
      </c>
      <c r="E162" s="139" t="s">
        <v>78</v>
      </c>
      <c r="F162" s="139" t="s">
        <v>555</v>
      </c>
      <c r="G162" s="139" t="s">
        <v>522</v>
      </c>
      <c r="H162" s="139" t="s">
        <v>587</v>
      </c>
      <c r="I162" s="126" t="s">
        <v>256</v>
      </c>
      <c r="J162" s="126" t="s">
        <v>676</v>
      </c>
      <c r="K162" s="126" t="s">
        <v>81</v>
      </c>
      <c r="L162" s="140" t="s">
        <v>126</v>
      </c>
      <c r="M162" s="140">
        <v>1969830.55</v>
      </c>
      <c r="N162" s="126">
        <v>1383181.6968956487</v>
      </c>
      <c r="O162" s="126">
        <v>1969830.55</v>
      </c>
      <c r="P162" s="126">
        <v>15674999.460000001</v>
      </c>
      <c r="Q162" s="126">
        <v>15674999.460000001</v>
      </c>
      <c r="R162" s="126">
        <v>22323236.980969798</v>
      </c>
      <c r="S162" s="126">
        <v>13705168.91</v>
      </c>
      <c r="T162" s="126">
        <v>13705168.91</v>
      </c>
      <c r="U162" s="127">
        <v>19517942.199798297</v>
      </c>
      <c r="V162" s="140" t="s">
        <v>75</v>
      </c>
      <c r="W162" s="126" t="s">
        <v>847</v>
      </c>
      <c r="X162" s="126" t="s">
        <v>81</v>
      </c>
      <c r="Y162" s="126" t="s">
        <v>78</v>
      </c>
      <c r="Z162" s="126" t="s">
        <v>75</v>
      </c>
      <c r="AA162" s="126">
        <v>999</v>
      </c>
      <c r="AB162" s="141" t="s">
        <v>848</v>
      </c>
      <c r="AC162" s="126">
        <v>999</v>
      </c>
      <c r="AD162" s="139" t="s">
        <v>849</v>
      </c>
      <c r="AE162" s="144">
        <v>0</v>
      </c>
      <c r="AF162" s="126" t="s">
        <v>78</v>
      </c>
      <c r="AG162" s="126">
        <v>3</v>
      </c>
      <c r="AH162" s="142" t="s">
        <v>75</v>
      </c>
      <c r="AI162" s="142" t="s">
        <v>787</v>
      </c>
      <c r="AJ162" s="142" t="s">
        <v>75</v>
      </c>
      <c r="AK162" s="142" t="s">
        <v>256</v>
      </c>
      <c r="AL162" s="142" t="s">
        <v>796</v>
      </c>
      <c r="AM162" s="142" t="s">
        <v>81</v>
      </c>
      <c r="AN162" s="142" t="s">
        <v>81</v>
      </c>
      <c r="AO162" s="142" t="s">
        <v>78</v>
      </c>
      <c r="AP162" s="142" t="s">
        <v>81</v>
      </c>
      <c r="AQ162" s="142">
        <v>1</v>
      </c>
      <c r="AR162" s="142" t="s">
        <v>126</v>
      </c>
    </row>
    <row r="163" spans="1:44" s="143" customFormat="1" ht="25.05" customHeight="1" x14ac:dyDescent="0.3">
      <c r="A163" s="126" t="s">
        <v>845</v>
      </c>
      <c r="B163" s="125" t="s">
        <v>846</v>
      </c>
      <c r="C163" s="139">
        <v>2015</v>
      </c>
      <c r="D163" s="145" t="s">
        <v>254</v>
      </c>
      <c r="E163" s="139" t="s">
        <v>78</v>
      </c>
      <c r="F163" s="139" t="s">
        <v>555</v>
      </c>
      <c r="G163" s="139" t="s">
        <v>522</v>
      </c>
      <c r="H163" s="139" t="s">
        <v>587</v>
      </c>
      <c r="I163" s="126" t="s">
        <v>256</v>
      </c>
      <c r="J163" s="126" t="s">
        <v>689</v>
      </c>
      <c r="K163" s="126" t="s">
        <v>81</v>
      </c>
      <c r="L163" s="140" t="s">
        <v>126</v>
      </c>
      <c r="M163" s="140">
        <v>13705168.91</v>
      </c>
      <c r="N163" s="126">
        <v>9459604.0267529916</v>
      </c>
      <c r="O163" s="126">
        <v>13705168.910000002</v>
      </c>
      <c r="P163" s="126">
        <v>15674999.460000001</v>
      </c>
      <c r="Q163" s="126">
        <v>15674999.460000001</v>
      </c>
      <c r="R163" s="126">
        <v>22710095.967642602</v>
      </c>
      <c r="S163" s="126">
        <v>13705168.91</v>
      </c>
      <c r="T163" s="126">
        <v>13705168.91</v>
      </c>
      <c r="U163" s="127">
        <v>19856185.768497098</v>
      </c>
      <c r="V163" s="140" t="s">
        <v>81</v>
      </c>
      <c r="W163" s="126" t="s">
        <v>78</v>
      </c>
      <c r="X163" s="126" t="s">
        <v>81</v>
      </c>
      <c r="Y163" s="126" t="s">
        <v>78</v>
      </c>
      <c r="Z163" s="126" t="s">
        <v>81</v>
      </c>
      <c r="AA163" s="126">
        <v>0</v>
      </c>
      <c r="AB163" s="141" t="s">
        <v>78</v>
      </c>
      <c r="AC163" s="126">
        <v>0</v>
      </c>
      <c r="AD163" s="139" t="s">
        <v>78</v>
      </c>
      <c r="AE163" s="144">
        <v>0</v>
      </c>
      <c r="AF163" s="126" t="s">
        <v>78</v>
      </c>
      <c r="AG163" s="126">
        <v>0</v>
      </c>
      <c r="AH163" s="142" t="s">
        <v>81</v>
      </c>
      <c r="AI163" s="142" t="s">
        <v>78</v>
      </c>
      <c r="AJ163" s="142" t="s">
        <v>81</v>
      </c>
      <c r="AK163" s="142" t="s">
        <v>78</v>
      </c>
      <c r="AL163" s="142" t="s">
        <v>78</v>
      </c>
      <c r="AM163" s="142" t="s">
        <v>81</v>
      </c>
      <c r="AN163" s="142" t="s">
        <v>81</v>
      </c>
      <c r="AO163" s="142" t="s">
        <v>78</v>
      </c>
      <c r="AP163" s="142" t="s">
        <v>81</v>
      </c>
      <c r="AQ163" s="142">
        <v>1</v>
      </c>
      <c r="AR163" s="142" t="s">
        <v>126</v>
      </c>
    </row>
    <row r="164" spans="1:44" s="143" customFormat="1" ht="25.05" customHeight="1" x14ac:dyDescent="0.3">
      <c r="A164" s="126" t="s">
        <v>1363</v>
      </c>
      <c r="B164" s="125" t="s">
        <v>1364</v>
      </c>
      <c r="C164" s="139">
        <v>2015</v>
      </c>
      <c r="D164" s="145" t="s">
        <v>297</v>
      </c>
      <c r="E164" s="139" t="s">
        <v>78</v>
      </c>
      <c r="F164" s="139" t="s">
        <v>566</v>
      </c>
      <c r="G164" s="139" t="s">
        <v>522</v>
      </c>
      <c r="H164" s="139" t="s">
        <v>589</v>
      </c>
      <c r="I164" s="126" t="s">
        <v>256</v>
      </c>
      <c r="J164" s="126" t="s">
        <v>679</v>
      </c>
      <c r="K164" s="126" t="s">
        <v>75</v>
      </c>
      <c r="L164" s="140" t="s">
        <v>104</v>
      </c>
      <c r="M164" s="140">
        <v>5000000</v>
      </c>
      <c r="N164" s="126">
        <v>4189990.9496195489</v>
      </c>
      <c r="O164" s="126">
        <v>6070500.7877182979</v>
      </c>
      <c r="P164" s="126">
        <v>1629099.41</v>
      </c>
      <c r="Q164" s="126">
        <v>1629099.41</v>
      </c>
      <c r="R164" s="126">
        <v>2360255.5162020996</v>
      </c>
      <c r="S164" s="126">
        <v>0</v>
      </c>
      <c r="T164" s="126">
        <v>0</v>
      </c>
      <c r="U164" s="127">
        <v>0</v>
      </c>
      <c r="V164" s="140" t="s">
        <v>81</v>
      </c>
      <c r="W164" s="126" t="s">
        <v>78</v>
      </c>
      <c r="X164" s="126" t="s">
        <v>81</v>
      </c>
      <c r="Y164" s="126" t="s">
        <v>78</v>
      </c>
      <c r="Z164" s="126" t="s">
        <v>81</v>
      </c>
      <c r="AA164" s="126">
        <v>0</v>
      </c>
      <c r="AB164" s="141" t="s">
        <v>78</v>
      </c>
      <c r="AC164" s="126">
        <v>0</v>
      </c>
      <c r="AD164" s="139" t="s">
        <v>78</v>
      </c>
      <c r="AE164" s="126">
        <v>0</v>
      </c>
      <c r="AF164" s="126" t="s">
        <v>78</v>
      </c>
      <c r="AG164" s="126">
        <v>0</v>
      </c>
      <c r="AH164" s="142" t="s">
        <v>81</v>
      </c>
      <c r="AI164" s="142" t="s">
        <v>78</v>
      </c>
      <c r="AJ164" s="142" t="s">
        <v>81</v>
      </c>
      <c r="AK164" s="142" t="s">
        <v>78</v>
      </c>
      <c r="AL164" s="142" t="s">
        <v>78</v>
      </c>
      <c r="AM164" s="142" t="s">
        <v>81</v>
      </c>
      <c r="AN164" s="142" t="s">
        <v>81</v>
      </c>
      <c r="AO164" s="142" t="s">
        <v>78</v>
      </c>
      <c r="AP164" s="142" t="s">
        <v>81</v>
      </c>
      <c r="AQ164" s="142">
        <v>1</v>
      </c>
      <c r="AR164" s="142" t="s">
        <v>104</v>
      </c>
    </row>
    <row r="165" spans="1:44" s="143" customFormat="1" ht="25.05" customHeight="1" x14ac:dyDescent="0.3">
      <c r="A165" s="126" t="s">
        <v>1532</v>
      </c>
      <c r="B165" s="126" t="s">
        <v>1533</v>
      </c>
      <c r="C165" s="139">
        <v>2019</v>
      </c>
      <c r="D165" s="139" t="s">
        <v>509</v>
      </c>
      <c r="E165" s="139" t="s">
        <v>78</v>
      </c>
      <c r="F165" s="139" t="s">
        <v>560</v>
      </c>
      <c r="G165" s="139" t="s">
        <v>522</v>
      </c>
      <c r="H165" s="139" t="s">
        <v>587</v>
      </c>
      <c r="I165" s="126" t="s">
        <v>256</v>
      </c>
      <c r="J165" s="126" t="s">
        <v>676</v>
      </c>
      <c r="K165" s="126" t="s">
        <v>75</v>
      </c>
      <c r="L165" s="126" t="s">
        <v>74</v>
      </c>
      <c r="M165" s="126">
        <v>9589000</v>
      </c>
      <c r="N165" s="126">
        <v>9589000</v>
      </c>
      <c r="O165" s="126">
        <v>13336285.310000001</v>
      </c>
      <c r="P165" s="126">
        <v>8627000</v>
      </c>
      <c r="Q165" s="126">
        <v>8627000</v>
      </c>
      <c r="R165" s="126">
        <v>11998345.33</v>
      </c>
      <c r="S165" s="126">
        <v>0</v>
      </c>
      <c r="T165" s="126">
        <v>0</v>
      </c>
      <c r="U165" s="127">
        <v>0</v>
      </c>
      <c r="V165" s="126" t="s">
        <v>75</v>
      </c>
      <c r="W165" s="126" t="s">
        <v>1534</v>
      </c>
      <c r="X165" s="126" t="s">
        <v>75</v>
      </c>
      <c r="Y165" s="126" t="s">
        <v>1535</v>
      </c>
      <c r="Z165" s="126" t="s">
        <v>75</v>
      </c>
      <c r="AA165" s="126">
        <v>999</v>
      </c>
      <c r="AB165" s="141" t="s">
        <v>1536</v>
      </c>
      <c r="AC165" s="126">
        <v>999</v>
      </c>
      <c r="AD165" s="139" t="s">
        <v>1537</v>
      </c>
      <c r="AE165" s="126">
        <v>999</v>
      </c>
      <c r="AF165" s="126" t="s">
        <v>1538</v>
      </c>
      <c r="AG165" s="126">
        <v>3</v>
      </c>
      <c r="AH165" s="142" t="s">
        <v>75</v>
      </c>
      <c r="AI165" s="142" t="s">
        <v>1539</v>
      </c>
      <c r="AJ165" s="142" t="s">
        <v>75</v>
      </c>
      <c r="AK165" s="142" t="s">
        <v>1540</v>
      </c>
      <c r="AL165" s="142" t="s">
        <v>121</v>
      </c>
      <c r="AM165" s="142" t="s">
        <v>75</v>
      </c>
      <c r="AN165" s="142" t="s">
        <v>75</v>
      </c>
      <c r="AO165" s="142" t="s">
        <v>78</v>
      </c>
      <c r="AP165" s="142" t="s">
        <v>75</v>
      </c>
      <c r="AQ165" s="142">
        <v>1</v>
      </c>
      <c r="AR165" s="142" t="s">
        <v>74</v>
      </c>
    </row>
    <row r="166" spans="1:44" s="143" customFormat="1" ht="25.05" customHeight="1" x14ac:dyDescent="0.3">
      <c r="A166" s="126" t="s">
        <v>1541</v>
      </c>
      <c r="B166" s="126" t="s">
        <v>1542</v>
      </c>
      <c r="C166" s="139">
        <v>2019</v>
      </c>
      <c r="D166" s="139" t="s">
        <v>484</v>
      </c>
      <c r="E166" s="139" t="s">
        <v>78</v>
      </c>
      <c r="F166" s="139" t="s">
        <v>525</v>
      </c>
      <c r="G166" s="139" t="s">
        <v>520</v>
      </c>
      <c r="H166" s="139" t="s">
        <v>228</v>
      </c>
      <c r="I166" s="126" t="s">
        <v>228</v>
      </c>
      <c r="J166" s="126" t="s">
        <v>679</v>
      </c>
      <c r="K166" s="126" t="s">
        <v>81</v>
      </c>
      <c r="L166" s="126" t="s">
        <v>74</v>
      </c>
      <c r="M166" s="126">
        <v>39770000</v>
      </c>
      <c r="N166" s="126">
        <v>39770000</v>
      </c>
      <c r="O166" s="126">
        <v>55311718.299999997</v>
      </c>
      <c r="P166" s="126">
        <v>26052504</v>
      </c>
      <c r="Q166" s="126">
        <v>26052504</v>
      </c>
      <c r="R166" s="126">
        <v>36233562.038159996</v>
      </c>
      <c r="S166" s="126">
        <v>26052504</v>
      </c>
      <c r="T166" s="126">
        <v>26052504</v>
      </c>
      <c r="U166" s="127">
        <v>36233562.038159996</v>
      </c>
      <c r="V166" s="126" t="s">
        <v>75</v>
      </c>
      <c r="W166" s="126" t="s">
        <v>1543</v>
      </c>
      <c r="X166" s="126" t="s">
        <v>75</v>
      </c>
      <c r="Y166" s="126" t="s">
        <v>1544</v>
      </c>
      <c r="Z166" s="126" t="s">
        <v>75</v>
      </c>
      <c r="AA166" s="126">
        <v>0</v>
      </c>
      <c r="AB166" s="141" t="s">
        <v>78</v>
      </c>
      <c r="AC166" s="126">
        <v>0</v>
      </c>
      <c r="AD166" s="139" t="s">
        <v>78</v>
      </c>
      <c r="AE166" s="126">
        <v>999</v>
      </c>
      <c r="AF166" s="126" t="s">
        <v>1545</v>
      </c>
      <c r="AG166" s="126">
        <v>1</v>
      </c>
      <c r="AH166" s="142" t="s">
        <v>75</v>
      </c>
      <c r="AI166" s="142" t="s">
        <v>1546</v>
      </c>
      <c r="AJ166" s="142" t="s">
        <v>75</v>
      </c>
      <c r="AK166" s="142" t="s">
        <v>1547</v>
      </c>
      <c r="AL166" s="142" t="s">
        <v>121</v>
      </c>
      <c r="AM166" s="142" t="s">
        <v>75</v>
      </c>
      <c r="AN166" s="142" t="s">
        <v>81</v>
      </c>
      <c r="AO166" s="142" t="s">
        <v>78</v>
      </c>
      <c r="AP166" s="142" t="s">
        <v>81</v>
      </c>
      <c r="AQ166" s="142">
        <v>1</v>
      </c>
      <c r="AR166" s="142" t="s">
        <v>74</v>
      </c>
    </row>
    <row r="167" spans="1:44" s="143" customFormat="1" ht="25.05" customHeight="1" x14ac:dyDescent="0.3">
      <c r="A167" s="126" t="s">
        <v>1095</v>
      </c>
      <c r="B167" s="125" t="s">
        <v>1096</v>
      </c>
      <c r="C167" s="139">
        <v>2016</v>
      </c>
      <c r="D167" s="139" t="s">
        <v>396</v>
      </c>
      <c r="E167" s="139" t="s">
        <v>78</v>
      </c>
      <c r="F167" s="139" t="s">
        <v>545</v>
      </c>
      <c r="G167" s="139" t="s">
        <v>519</v>
      </c>
      <c r="H167" s="139" t="s">
        <v>599</v>
      </c>
      <c r="I167" s="126" t="s">
        <v>101</v>
      </c>
      <c r="J167" s="126" t="s">
        <v>676</v>
      </c>
      <c r="K167" s="126" t="s">
        <v>81</v>
      </c>
      <c r="L167" s="140" t="s">
        <v>74</v>
      </c>
      <c r="M167" s="140">
        <v>7220000</v>
      </c>
      <c r="N167" s="126">
        <v>7220000</v>
      </c>
      <c r="O167" s="126">
        <v>10004970.6</v>
      </c>
      <c r="P167" s="126">
        <v>7220000</v>
      </c>
      <c r="Q167" s="126">
        <v>7220000</v>
      </c>
      <c r="R167" s="126">
        <v>10004970.6</v>
      </c>
      <c r="S167" s="126">
        <v>7220000</v>
      </c>
      <c r="T167" s="126">
        <v>7220000</v>
      </c>
      <c r="U167" s="127">
        <v>10004970.6</v>
      </c>
      <c r="V167" s="140" t="s">
        <v>81</v>
      </c>
      <c r="W167" s="126" t="s">
        <v>78</v>
      </c>
      <c r="X167" s="126" t="s">
        <v>81</v>
      </c>
      <c r="Y167" s="126" t="s">
        <v>78</v>
      </c>
      <c r="Z167" s="126" t="s">
        <v>81</v>
      </c>
      <c r="AA167" s="126">
        <v>0</v>
      </c>
      <c r="AB167" s="141" t="s">
        <v>78</v>
      </c>
      <c r="AC167" s="126">
        <v>0</v>
      </c>
      <c r="AD167" s="139" t="s">
        <v>78</v>
      </c>
      <c r="AE167" s="126">
        <v>0</v>
      </c>
      <c r="AF167" s="126" t="s">
        <v>78</v>
      </c>
      <c r="AG167" s="126">
        <v>0</v>
      </c>
      <c r="AH167" s="142" t="s">
        <v>81</v>
      </c>
      <c r="AI167" s="142" t="s">
        <v>78</v>
      </c>
      <c r="AJ167" s="142" t="s">
        <v>81</v>
      </c>
      <c r="AK167" s="142" t="s">
        <v>78</v>
      </c>
      <c r="AL167" s="142" t="s">
        <v>78</v>
      </c>
      <c r="AM167" s="142" t="s">
        <v>81</v>
      </c>
      <c r="AN167" s="142" t="s">
        <v>81</v>
      </c>
      <c r="AO167" s="142" t="s">
        <v>78</v>
      </c>
      <c r="AP167" s="142" t="s">
        <v>81</v>
      </c>
      <c r="AQ167" s="142">
        <v>1</v>
      </c>
      <c r="AR167" s="142" t="s">
        <v>74</v>
      </c>
    </row>
    <row r="168" spans="1:44" s="143" customFormat="1" ht="25.05" customHeight="1" x14ac:dyDescent="0.3">
      <c r="A168" s="126" t="s">
        <v>942</v>
      </c>
      <c r="B168" s="125" t="s">
        <v>943</v>
      </c>
      <c r="C168" s="139">
        <v>2017</v>
      </c>
      <c r="D168" s="139" t="s">
        <v>396</v>
      </c>
      <c r="E168" s="139" t="s">
        <v>78</v>
      </c>
      <c r="F168" s="139" t="s">
        <v>545</v>
      </c>
      <c r="G168" s="139" t="s">
        <v>519</v>
      </c>
      <c r="H168" s="139" t="s">
        <v>599</v>
      </c>
      <c r="I168" s="126" t="s">
        <v>101</v>
      </c>
      <c r="J168" s="126" t="s">
        <v>676</v>
      </c>
      <c r="K168" s="126" t="s">
        <v>81</v>
      </c>
      <c r="L168" s="140" t="s">
        <v>74</v>
      </c>
      <c r="M168" s="140">
        <v>5000000</v>
      </c>
      <c r="N168" s="126">
        <v>5000000</v>
      </c>
      <c r="O168" s="126">
        <v>6721650</v>
      </c>
      <c r="P168" s="126">
        <v>5000000</v>
      </c>
      <c r="Q168" s="126">
        <v>5000000</v>
      </c>
      <c r="R168" s="126">
        <v>6721650</v>
      </c>
      <c r="S168" s="126">
        <v>5000000</v>
      </c>
      <c r="T168" s="126">
        <v>5000000</v>
      </c>
      <c r="U168" s="127">
        <v>6721650</v>
      </c>
      <c r="V168" s="140" t="s">
        <v>81</v>
      </c>
      <c r="W168" s="126" t="s">
        <v>78</v>
      </c>
      <c r="X168" s="126" t="s">
        <v>81</v>
      </c>
      <c r="Y168" s="126" t="s">
        <v>78</v>
      </c>
      <c r="Z168" s="126" t="s">
        <v>81</v>
      </c>
      <c r="AA168" s="126">
        <v>0</v>
      </c>
      <c r="AB168" s="141" t="s">
        <v>78</v>
      </c>
      <c r="AC168" s="126">
        <v>0</v>
      </c>
      <c r="AD168" s="139" t="s">
        <v>78</v>
      </c>
      <c r="AE168" s="126">
        <v>0</v>
      </c>
      <c r="AF168" s="126" t="s">
        <v>78</v>
      </c>
      <c r="AG168" s="126">
        <v>0</v>
      </c>
      <c r="AH168" s="142" t="s">
        <v>81</v>
      </c>
      <c r="AI168" s="142" t="s">
        <v>78</v>
      </c>
      <c r="AJ168" s="142" t="s">
        <v>81</v>
      </c>
      <c r="AK168" s="142" t="s">
        <v>78</v>
      </c>
      <c r="AL168" s="142" t="s">
        <v>78</v>
      </c>
      <c r="AM168" s="142" t="s">
        <v>81</v>
      </c>
      <c r="AN168" s="142" t="s">
        <v>81</v>
      </c>
      <c r="AO168" s="142" t="s">
        <v>78</v>
      </c>
      <c r="AP168" s="142" t="s">
        <v>81</v>
      </c>
      <c r="AQ168" s="142">
        <v>1</v>
      </c>
      <c r="AR168" s="142" t="s">
        <v>74</v>
      </c>
    </row>
    <row r="169" spans="1:44" s="143" customFormat="1" ht="25.05" customHeight="1" x14ac:dyDescent="0.3">
      <c r="A169" s="126" t="s">
        <v>887</v>
      </c>
      <c r="B169" s="125" t="s">
        <v>888</v>
      </c>
      <c r="C169" s="139">
        <v>2018</v>
      </c>
      <c r="D169" s="139" t="s">
        <v>87</v>
      </c>
      <c r="E169" s="139" t="s">
        <v>184</v>
      </c>
      <c r="F169" s="139" t="s">
        <v>1848</v>
      </c>
      <c r="G169" s="139" t="s">
        <v>87</v>
      </c>
      <c r="H169" s="139" t="s">
        <v>585</v>
      </c>
      <c r="I169" s="126" t="s">
        <v>228</v>
      </c>
      <c r="J169" s="126" t="s">
        <v>676</v>
      </c>
      <c r="K169" s="126" t="s">
        <v>75</v>
      </c>
      <c r="L169" s="140" t="s">
        <v>126</v>
      </c>
      <c r="M169" s="140">
        <v>1000000</v>
      </c>
      <c r="N169" s="126">
        <v>702183.08721816132</v>
      </c>
      <c r="O169" s="126">
        <v>1000000</v>
      </c>
      <c r="P169" s="126">
        <v>723227.91</v>
      </c>
      <c r="Q169" s="126">
        <v>723227.91</v>
      </c>
      <c r="R169" s="126">
        <v>1029970.5634682999</v>
      </c>
      <c r="S169" s="126">
        <v>0</v>
      </c>
      <c r="T169" s="126">
        <v>0</v>
      </c>
      <c r="U169" s="127">
        <v>0</v>
      </c>
      <c r="V169" s="140" t="s">
        <v>81</v>
      </c>
      <c r="W169" s="126" t="s">
        <v>78</v>
      </c>
      <c r="X169" s="126" t="s">
        <v>81</v>
      </c>
      <c r="Y169" s="126" t="s">
        <v>78</v>
      </c>
      <c r="Z169" s="126" t="s">
        <v>81</v>
      </c>
      <c r="AA169" s="126">
        <v>0</v>
      </c>
      <c r="AB169" s="141" t="s">
        <v>78</v>
      </c>
      <c r="AC169" s="126">
        <v>0</v>
      </c>
      <c r="AD169" s="139" t="s">
        <v>78</v>
      </c>
      <c r="AE169" s="144">
        <v>0</v>
      </c>
      <c r="AF169" s="126" t="s">
        <v>78</v>
      </c>
      <c r="AG169" s="126">
        <v>0</v>
      </c>
      <c r="AH169" s="142" t="s">
        <v>81</v>
      </c>
      <c r="AI169" s="142" t="s">
        <v>78</v>
      </c>
      <c r="AJ169" s="142" t="s">
        <v>81</v>
      </c>
      <c r="AK169" s="142" t="s">
        <v>78</v>
      </c>
      <c r="AL169" s="142" t="s">
        <v>78</v>
      </c>
      <c r="AM169" s="142" t="s">
        <v>81</v>
      </c>
      <c r="AN169" s="142" t="s">
        <v>81</v>
      </c>
      <c r="AO169" s="142" t="s">
        <v>78</v>
      </c>
      <c r="AP169" s="142" t="s">
        <v>81</v>
      </c>
      <c r="AQ169" s="142">
        <v>1</v>
      </c>
      <c r="AR169" s="142" t="s">
        <v>126</v>
      </c>
    </row>
    <row r="170" spans="1:44" s="143" customFormat="1" ht="25.05" customHeight="1" x14ac:dyDescent="0.3">
      <c r="A170" s="126" t="s">
        <v>1207</v>
      </c>
      <c r="B170" s="125" t="s">
        <v>1208</v>
      </c>
      <c r="C170" s="139">
        <v>2016</v>
      </c>
      <c r="D170" s="139" t="s">
        <v>377</v>
      </c>
      <c r="E170" s="139" t="s">
        <v>78</v>
      </c>
      <c r="F170" s="139" t="s">
        <v>544</v>
      </c>
      <c r="G170" s="139" t="s">
        <v>520</v>
      </c>
      <c r="H170" s="139" t="s">
        <v>598</v>
      </c>
      <c r="I170" s="126" t="s">
        <v>101</v>
      </c>
      <c r="J170" s="126" t="s">
        <v>676</v>
      </c>
      <c r="K170" s="126" t="s">
        <v>81</v>
      </c>
      <c r="L170" s="140" t="s">
        <v>126</v>
      </c>
      <c r="M170" s="140">
        <v>2500000</v>
      </c>
      <c r="N170" s="126">
        <v>1804103.2524373436</v>
      </c>
      <c r="O170" s="126">
        <v>2500000</v>
      </c>
      <c r="P170" s="126">
        <v>1723227.91</v>
      </c>
      <c r="Q170" s="126">
        <v>1723227.91</v>
      </c>
      <c r="R170" s="126">
        <v>2387928.6117242998</v>
      </c>
      <c r="S170" s="126">
        <v>1000000</v>
      </c>
      <c r="T170" s="126">
        <v>1000000</v>
      </c>
      <c r="U170" s="127">
        <v>1385730</v>
      </c>
      <c r="V170" s="140" t="s">
        <v>81</v>
      </c>
      <c r="W170" s="126" t="s">
        <v>78</v>
      </c>
      <c r="X170" s="126" t="s">
        <v>81</v>
      </c>
      <c r="Y170" s="126" t="s">
        <v>78</v>
      </c>
      <c r="Z170" s="126" t="s">
        <v>81</v>
      </c>
      <c r="AA170" s="126">
        <v>0</v>
      </c>
      <c r="AB170" s="141" t="s">
        <v>78</v>
      </c>
      <c r="AC170" s="126">
        <v>0</v>
      </c>
      <c r="AD170" s="139" t="s">
        <v>78</v>
      </c>
      <c r="AE170" s="126">
        <v>0</v>
      </c>
      <c r="AF170" s="126" t="s">
        <v>78</v>
      </c>
      <c r="AG170" s="126">
        <v>0</v>
      </c>
      <c r="AH170" s="142" t="s">
        <v>81</v>
      </c>
      <c r="AI170" s="142" t="s">
        <v>78</v>
      </c>
      <c r="AJ170" s="142" t="s">
        <v>81</v>
      </c>
      <c r="AK170" s="142" t="s">
        <v>78</v>
      </c>
      <c r="AL170" s="142" t="s">
        <v>78</v>
      </c>
      <c r="AM170" s="142" t="s">
        <v>81</v>
      </c>
      <c r="AN170" s="142" t="s">
        <v>81</v>
      </c>
      <c r="AO170" s="142" t="s">
        <v>78</v>
      </c>
      <c r="AP170" s="142" t="s">
        <v>81</v>
      </c>
      <c r="AQ170" s="142">
        <v>1</v>
      </c>
      <c r="AR170" s="142" t="s">
        <v>126</v>
      </c>
    </row>
    <row r="171" spans="1:44" s="143" customFormat="1" ht="25.05" customHeight="1" x14ac:dyDescent="0.3">
      <c r="A171" s="126" t="s">
        <v>924</v>
      </c>
      <c r="B171" s="125" t="s">
        <v>925</v>
      </c>
      <c r="C171" s="139">
        <v>2017</v>
      </c>
      <c r="D171" s="139" t="s">
        <v>87</v>
      </c>
      <c r="E171" s="139" t="s">
        <v>926</v>
      </c>
      <c r="F171" s="139" t="s">
        <v>1848</v>
      </c>
      <c r="G171" s="139" t="s">
        <v>87</v>
      </c>
      <c r="H171" s="139" t="s">
        <v>599</v>
      </c>
      <c r="I171" s="126" t="s">
        <v>101</v>
      </c>
      <c r="J171" s="126" t="s">
        <v>676</v>
      </c>
      <c r="K171" s="126" t="s">
        <v>81</v>
      </c>
      <c r="L171" s="140" t="s">
        <v>74</v>
      </c>
      <c r="M171" s="140">
        <v>6000000</v>
      </c>
      <c r="N171" s="126">
        <v>6000000</v>
      </c>
      <c r="O171" s="126">
        <v>8065980</v>
      </c>
      <c r="P171" s="126">
        <v>6000000</v>
      </c>
      <c r="Q171" s="126">
        <v>6000000</v>
      </c>
      <c r="R171" s="126">
        <v>8065980</v>
      </c>
      <c r="S171" s="126">
        <v>6000000</v>
      </c>
      <c r="T171" s="126">
        <v>6000000</v>
      </c>
      <c r="U171" s="127">
        <v>8065980</v>
      </c>
      <c r="V171" s="140" t="s">
        <v>81</v>
      </c>
      <c r="W171" s="126" t="s">
        <v>78</v>
      </c>
      <c r="X171" s="126" t="s">
        <v>81</v>
      </c>
      <c r="Y171" s="126" t="s">
        <v>78</v>
      </c>
      <c r="Z171" s="126" t="s">
        <v>81</v>
      </c>
      <c r="AA171" s="126">
        <v>0</v>
      </c>
      <c r="AB171" s="141" t="s">
        <v>78</v>
      </c>
      <c r="AC171" s="126">
        <v>0</v>
      </c>
      <c r="AD171" s="139" t="s">
        <v>78</v>
      </c>
      <c r="AE171" s="126">
        <v>0</v>
      </c>
      <c r="AF171" s="126" t="s">
        <v>78</v>
      </c>
      <c r="AG171" s="126">
        <v>0</v>
      </c>
      <c r="AH171" s="142" t="s">
        <v>81</v>
      </c>
      <c r="AI171" s="142" t="s">
        <v>78</v>
      </c>
      <c r="AJ171" s="142" t="s">
        <v>81</v>
      </c>
      <c r="AK171" s="142" t="s">
        <v>78</v>
      </c>
      <c r="AL171" s="142" t="s">
        <v>78</v>
      </c>
      <c r="AM171" s="142" t="s">
        <v>81</v>
      </c>
      <c r="AN171" s="142" t="s">
        <v>81</v>
      </c>
      <c r="AO171" s="142" t="s">
        <v>78</v>
      </c>
      <c r="AP171" s="142" t="s">
        <v>81</v>
      </c>
      <c r="AQ171" s="142">
        <v>1</v>
      </c>
      <c r="AR171" s="142" t="s">
        <v>74</v>
      </c>
    </row>
    <row r="172" spans="1:44" s="143" customFormat="1" ht="25.05" customHeight="1" x14ac:dyDescent="0.3">
      <c r="A172" s="126" t="s">
        <v>1209</v>
      </c>
      <c r="B172" s="125" t="s">
        <v>1210</v>
      </c>
      <c r="C172" s="139">
        <v>2016</v>
      </c>
      <c r="D172" s="139" t="s">
        <v>419</v>
      </c>
      <c r="E172" s="139" t="s">
        <v>78</v>
      </c>
      <c r="F172" s="139" t="s">
        <v>563</v>
      </c>
      <c r="G172" s="139" t="s">
        <v>519</v>
      </c>
      <c r="H172" s="139" t="s">
        <v>581</v>
      </c>
      <c r="I172" s="126" t="s">
        <v>228</v>
      </c>
      <c r="J172" s="126" t="s">
        <v>689</v>
      </c>
      <c r="K172" s="126" t="s">
        <v>81</v>
      </c>
      <c r="L172" s="140" t="s">
        <v>616</v>
      </c>
      <c r="M172" s="140">
        <v>855131000</v>
      </c>
      <c r="N172" s="126">
        <v>39697463.465359405</v>
      </c>
      <c r="O172" s="126">
        <v>55009966.047852486</v>
      </c>
      <c r="P172" s="126">
        <v>43156393.990000002</v>
      </c>
      <c r="Q172" s="126">
        <v>43156393.990000002</v>
      </c>
      <c r="R172" s="126">
        <v>59803109.843762696</v>
      </c>
      <c r="S172" s="126">
        <v>43156393.990000002</v>
      </c>
      <c r="T172" s="126">
        <v>43156393.990000002</v>
      </c>
      <c r="U172" s="127">
        <v>59803109.843762696</v>
      </c>
      <c r="V172" s="140" t="s">
        <v>81</v>
      </c>
      <c r="W172" s="126" t="s">
        <v>78</v>
      </c>
      <c r="X172" s="126" t="s">
        <v>81</v>
      </c>
      <c r="Y172" s="126" t="s">
        <v>78</v>
      </c>
      <c r="Z172" s="126" t="s">
        <v>81</v>
      </c>
      <c r="AA172" s="126">
        <v>0</v>
      </c>
      <c r="AB172" s="141" t="s">
        <v>78</v>
      </c>
      <c r="AC172" s="126">
        <v>0</v>
      </c>
      <c r="AD172" s="139" t="s">
        <v>78</v>
      </c>
      <c r="AE172" s="144">
        <v>0</v>
      </c>
      <c r="AF172" s="126" t="s">
        <v>78</v>
      </c>
      <c r="AG172" s="126">
        <v>0</v>
      </c>
      <c r="AH172" s="142" t="s">
        <v>81</v>
      </c>
      <c r="AI172" s="142" t="s">
        <v>78</v>
      </c>
      <c r="AJ172" s="142" t="s">
        <v>81</v>
      </c>
      <c r="AK172" s="142" t="s">
        <v>78</v>
      </c>
      <c r="AL172" s="142" t="s">
        <v>78</v>
      </c>
      <c r="AM172" s="142" t="s">
        <v>81</v>
      </c>
      <c r="AN172" s="142" t="s">
        <v>81</v>
      </c>
      <c r="AO172" s="142" t="s">
        <v>78</v>
      </c>
      <c r="AP172" s="142" t="s">
        <v>81</v>
      </c>
      <c r="AQ172" s="142">
        <v>1</v>
      </c>
      <c r="AR172" s="142" t="s">
        <v>616</v>
      </c>
    </row>
    <row r="173" spans="1:44" s="143" customFormat="1" ht="25.05" customHeight="1" x14ac:dyDescent="0.3">
      <c r="A173" s="126" t="s">
        <v>1475</v>
      </c>
      <c r="B173" s="126" t="s">
        <v>1476</v>
      </c>
      <c r="C173" s="139">
        <v>2019</v>
      </c>
      <c r="D173" s="139" t="s">
        <v>396</v>
      </c>
      <c r="E173" s="139" t="s">
        <v>78</v>
      </c>
      <c r="F173" s="139" t="s">
        <v>545</v>
      </c>
      <c r="G173" s="139" t="s">
        <v>519</v>
      </c>
      <c r="H173" s="139" t="s">
        <v>587</v>
      </c>
      <c r="I173" s="126" t="s">
        <v>256</v>
      </c>
      <c r="J173" s="126" t="s">
        <v>679</v>
      </c>
      <c r="K173" s="126" t="s">
        <v>75</v>
      </c>
      <c r="L173" s="126" t="s">
        <v>74</v>
      </c>
      <c r="M173" s="126">
        <v>3143904</v>
      </c>
      <c r="N173" s="126">
        <v>3143904</v>
      </c>
      <c r="O173" s="126">
        <v>4372510.2441600002</v>
      </c>
      <c r="P173" s="126">
        <v>3222170.34</v>
      </c>
      <c r="Q173" s="126">
        <v>3222170.34</v>
      </c>
      <c r="R173" s="126">
        <v>4481362.2871685997</v>
      </c>
      <c r="S173" s="126">
        <v>0</v>
      </c>
      <c r="T173" s="126">
        <v>0</v>
      </c>
      <c r="U173" s="127">
        <v>0</v>
      </c>
      <c r="V173" s="126" t="s">
        <v>75</v>
      </c>
      <c r="W173" s="126" t="s">
        <v>1477</v>
      </c>
      <c r="X173" s="126" t="s">
        <v>75</v>
      </c>
      <c r="Y173" s="126" t="s">
        <v>1478</v>
      </c>
      <c r="Z173" s="126" t="s">
        <v>75</v>
      </c>
      <c r="AA173" s="126">
        <v>999</v>
      </c>
      <c r="AB173" s="141" t="s">
        <v>1479</v>
      </c>
      <c r="AC173" s="126">
        <v>999</v>
      </c>
      <c r="AD173" s="139" t="s">
        <v>1480</v>
      </c>
      <c r="AE173" s="126">
        <v>999</v>
      </c>
      <c r="AF173" s="126" t="s">
        <v>1481</v>
      </c>
      <c r="AG173" s="126">
        <v>3</v>
      </c>
      <c r="AH173" s="142" t="s">
        <v>81</v>
      </c>
      <c r="AI173" s="142" t="s">
        <v>78</v>
      </c>
      <c r="AJ173" s="142" t="s">
        <v>75</v>
      </c>
      <c r="AK173" s="142" t="s">
        <v>1482</v>
      </c>
      <c r="AL173" s="142" t="s">
        <v>121</v>
      </c>
      <c r="AM173" s="142" t="s">
        <v>75</v>
      </c>
      <c r="AN173" s="142" t="s">
        <v>75</v>
      </c>
      <c r="AO173" s="142" t="s">
        <v>78</v>
      </c>
      <c r="AP173" s="142" t="s">
        <v>75</v>
      </c>
      <c r="AQ173" s="142">
        <v>1</v>
      </c>
      <c r="AR173" s="142" t="s">
        <v>74</v>
      </c>
    </row>
    <row r="174" spans="1:44" s="143" customFormat="1" ht="25.05" customHeight="1" x14ac:dyDescent="0.3">
      <c r="A174" s="126" t="s">
        <v>1348</v>
      </c>
      <c r="B174" s="125" t="s">
        <v>1349</v>
      </c>
      <c r="C174" s="139">
        <v>2015</v>
      </c>
      <c r="D174" s="145" t="s">
        <v>516</v>
      </c>
      <c r="E174" s="139" t="s">
        <v>78</v>
      </c>
      <c r="F174" s="139" t="s">
        <v>569</v>
      </c>
      <c r="G174" s="139" t="s">
        <v>519</v>
      </c>
      <c r="H174" s="139" t="s">
        <v>587</v>
      </c>
      <c r="I174" s="126" t="s">
        <v>256</v>
      </c>
      <c r="J174" s="126" t="s">
        <v>689</v>
      </c>
      <c r="K174" s="126" t="s">
        <v>81</v>
      </c>
      <c r="L174" s="140" t="s">
        <v>126</v>
      </c>
      <c r="M174" s="140">
        <v>168000000</v>
      </c>
      <c r="N174" s="126">
        <v>115957233.86779496</v>
      </c>
      <c r="O174" s="126">
        <v>168000000</v>
      </c>
      <c r="P174" s="126">
        <v>36161395.539999999</v>
      </c>
      <c r="Q174" s="126">
        <v>36161395.539999999</v>
      </c>
      <c r="R174" s="126">
        <v>52390991.472307399</v>
      </c>
      <c r="S174" s="126">
        <v>36161395.539999999</v>
      </c>
      <c r="T174" s="126">
        <v>36161395.539999999</v>
      </c>
      <c r="U174" s="127">
        <v>52390991.472307399</v>
      </c>
      <c r="V174" s="140" t="s">
        <v>75</v>
      </c>
      <c r="W174" s="126" t="s">
        <v>1350</v>
      </c>
      <c r="X174" s="126" t="s">
        <v>81</v>
      </c>
      <c r="Y174" s="126" t="s">
        <v>78</v>
      </c>
      <c r="Z174" s="126" t="s">
        <v>75</v>
      </c>
      <c r="AA174" s="126">
        <v>999</v>
      </c>
      <c r="AB174" s="141" t="s">
        <v>1351</v>
      </c>
      <c r="AC174" s="126">
        <v>999</v>
      </c>
      <c r="AD174" s="139" t="s">
        <v>1331</v>
      </c>
      <c r="AE174" s="126">
        <v>0</v>
      </c>
      <c r="AF174" s="126" t="s">
        <v>78</v>
      </c>
      <c r="AG174" s="126">
        <v>2</v>
      </c>
      <c r="AH174" s="142" t="s">
        <v>75</v>
      </c>
      <c r="AI174" s="142" t="s">
        <v>1352</v>
      </c>
      <c r="AJ174" s="142" t="s">
        <v>75</v>
      </c>
      <c r="AK174" s="142" t="s">
        <v>466</v>
      </c>
      <c r="AL174" s="142" t="s">
        <v>704</v>
      </c>
      <c r="AM174" s="142" t="s">
        <v>81</v>
      </c>
      <c r="AN174" s="142" t="s">
        <v>81</v>
      </c>
      <c r="AO174" s="142" t="s">
        <v>78</v>
      </c>
      <c r="AP174" s="142" t="s">
        <v>81</v>
      </c>
      <c r="AQ174" s="142">
        <v>1</v>
      </c>
      <c r="AR174" s="142" t="s">
        <v>126</v>
      </c>
    </row>
    <row r="175" spans="1:44" s="143" customFormat="1" ht="25.05" customHeight="1" x14ac:dyDescent="0.3">
      <c r="A175" s="126" t="s">
        <v>863</v>
      </c>
      <c r="B175" s="125" t="s">
        <v>864</v>
      </c>
      <c r="C175" s="139">
        <v>2018</v>
      </c>
      <c r="D175" s="139" t="s">
        <v>87</v>
      </c>
      <c r="E175" s="139" t="s">
        <v>500</v>
      </c>
      <c r="F175" s="139" t="s">
        <v>1848</v>
      </c>
      <c r="G175" s="139" t="s">
        <v>87</v>
      </c>
      <c r="H175" s="139" t="s">
        <v>594</v>
      </c>
      <c r="I175" s="126" t="s">
        <v>101</v>
      </c>
      <c r="J175" s="126" t="s">
        <v>676</v>
      </c>
      <c r="K175" s="126" t="s">
        <v>81</v>
      </c>
      <c r="L175" s="140" t="s">
        <v>74</v>
      </c>
      <c r="M175" s="140">
        <v>112280000</v>
      </c>
      <c r="N175" s="126">
        <v>112280000</v>
      </c>
      <c r="O175" s="126">
        <v>159901316.39999998</v>
      </c>
      <c r="P175" s="126">
        <v>94532230.969999999</v>
      </c>
      <c r="Q175" s="126">
        <v>94532230.969999999</v>
      </c>
      <c r="R175" s="126">
        <v>134626186.09130609</v>
      </c>
      <c r="S175" s="126">
        <v>62380000</v>
      </c>
      <c r="T175" s="126">
        <v>62380000</v>
      </c>
      <c r="U175" s="127">
        <v>88837229.399999991</v>
      </c>
      <c r="V175" s="140" t="s">
        <v>81</v>
      </c>
      <c r="W175" s="126" t="s">
        <v>78</v>
      </c>
      <c r="X175" s="126" t="s">
        <v>81</v>
      </c>
      <c r="Y175" s="126" t="s">
        <v>78</v>
      </c>
      <c r="Z175" s="126" t="s">
        <v>81</v>
      </c>
      <c r="AA175" s="126">
        <v>0</v>
      </c>
      <c r="AB175" s="141" t="s">
        <v>78</v>
      </c>
      <c r="AC175" s="126">
        <v>0</v>
      </c>
      <c r="AD175" s="139" t="s">
        <v>78</v>
      </c>
      <c r="AE175" s="126">
        <v>0</v>
      </c>
      <c r="AF175" s="126" t="s">
        <v>78</v>
      </c>
      <c r="AG175" s="126">
        <v>0</v>
      </c>
      <c r="AH175" s="142" t="s">
        <v>81</v>
      </c>
      <c r="AI175" s="142" t="s">
        <v>78</v>
      </c>
      <c r="AJ175" s="142" t="s">
        <v>81</v>
      </c>
      <c r="AK175" s="142" t="s">
        <v>78</v>
      </c>
      <c r="AL175" s="142" t="s">
        <v>78</v>
      </c>
      <c r="AM175" s="142" t="s">
        <v>81</v>
      </c>
      <c r="AN175" s="142" t="s">
        <v>81</v>
      </c>
      <c r="AO175" s="142" t="s">
        <v>78</v>
      </c>
      <c r="AP175" s="142" t="s">
        <v>81</v>
      </c>
      <c r="AQ175" s="142">
        <v>1</v>
      </c>
      <c r="AR175" s="142" t="s">
        <v>74</v>
      </c>
    </row>
    <row r="176" spans="1:44" s="143" customFormat="1" ht="25.05" customHeight="1" x14ac:dyDescent="0.3">
      <c r="A176" s="126" t="s">
        <v>1359</v>
      </c>
      <c r="B176" s="125" t="s">
        <v>1360</v>
      </c>
      <c r="C176" s="139">
        <v>2015</v>
      </c>
      <c r="D176" s="145" t="s">
        <v>163</v>
      </c>
      <c r="E176" s="139" t="s">
        <v>78</v>
      </c>
      <c r="F176" s="139" t="s">
        <v>556</v>
      </c>
      <c r="G176" s="139" t="s">
        <v>522</v>
      </c>
      <c r="H176" s="139" t="s">
        <v>588</v>
      </c>
      <c r="I176" s="126" t="s">
        <v>256</v>
      </c>
      <c r="J176" s="126" t="s">
        <v>689</v>
      </c>
      <c r="K176" s="126" t="s">
        <v>81</v>
      </c>
      <c r="L176" s="140" t="s">
        <v>126</v>
      </c>
      <c r="M176" s="140">
        <v>26374096</v>
      </c>
      <c r="N176" s="126">
        <v>18203971.535259973</v>
      </c>
      <c r="O176" s="126">
        <v>26374096</v>
      </c>
      <c r="P176" s="126">
        <v>16098494.960000001</v>
      </c>
      <c r="Q176" s="126">
        <v>16098494.960000001</v>
      </c>
      <c r="R176" s="126">
        <v>23323660.4829976</v>
      </c>
      <c r="S176" s="126">
        <v>16098494.960000001</v>
      </c>
      <c r="T176" s="126">
        <v>16098494.960000001</v>
      </c>
      <c r="U176" s="127">
        <v>23323660.4829976</v>
      </c>
      <c r="V176" s="140" t="s">
        <v>81</v>
      </c>
      <c r="W176" s="126" t="s">
        <v>78</v>
      </c>
      <c r="X176" s="126" t="s">
        <v>81</v>
      </c>
      <c r="Y176" s="126" t="s">
        <v>78</v>
      </c>
      <c r="Z176" s="126" t="s">
        <v>81</v>
      </c>
      <c r="AA176" s="126">
        <v>0</v>
      </c>
      <c r="AB176" s="141" t="s">
        <v>78</v>
      </c>
      <c r="AC176" s="126">
        <v>0</v>
      </c>
      <c r="AD176" s="139" t="s">
        <v>78</v>
      </c>
      <c r="AE176" s="126">
        <v>0</v>
      </c>
      <c r="AF176" s="126" t="s">
        <v>78</v>
      </c>
      <c r="AG176" s="126">
        <v>0</v>
      </c>
      <c r="AH176" s="142" t="s">
        <v>81</v>
      </c>
      <c r="AI176" s="142" t="s">
        <v>78</v>
      </c>
      <c r="AJ176" s="142" t="s">
        <v>81</v>
      </c>
      <c r="AK176" s="142" t="s">
        <v>78</v>
      </c>
      <c r="AL176" s="142" t="s">
        <v>78</v>
      </c>
      <c r="AM176" s="142" t="s">
        <v>81</v>
      </c>
      <c r="AN176" s="142" t="s">
        <v>81</v>
      </c>
      <c r="AO176" s="142" t="s">
        <v>78</v>
      </c>
      <c r="AP176" s="142" t="s">
        <v>81</v>
      </c>
      <c r="AQ176" s="142">
        <v>1</v>
      </c>
      <c r="AR176" s="142" t="s">
        <v>126</v>
      </c>
    </row>
    <row r="177" spans="1:44" s="143" customFormat="1" ht="25.05" customHeight="1" x14ac:dyDescent="0.3">
      <c r="A177" s="126" t="s">
        <v>1211</v>
      </c>
      <c r="B177" s="125" t="s">
        <v>1212</v>
      </c>
      <c r="C177" s="139">
        <v>2016</v>
      </c>
      <c r="D177" s="139" t="s">
        <v>151</v>
      </c>
      <c r="E177" s="139" t="s">
        <v>78</v>
      </c>
      <c r="F177" s="139" t="s">
        <v>546</v>
      </c>
      <c r="G177" s="139" t="s">
        <v>518</v>
      </c>
      <c r="H177" s="139" t="s">
        <v>589</v>
      </c>
      <c r="I177" s="126" t="s">
        <v>256</v>
      </c>
      <c r="J177" s="126" t="s">
        <v>679</v>
      </c>
      <c r="K177" s="126" t="s">
        <v>75</v>
      </c>
      <c r="L177" s="140" t="s">
        <v>104</v>
      </c>
      <c r="M177" s="140">
        <v>2910000</v>
      </c>
      <c r="N177" s="126">
        <v>2286244.0388740054</v>
      </c>
      <c r="O177" s="126">
        <v>3168116.9519888754</v>
      </c>
      <c r="P177" s="126">
        <v>668553.15</v>
      </c>
      <c r="Q177" s="126">
        <v>668553.15</v>
      </c>
      <c r="R177" s="126">
        <v>926434.15654949995</v>
      </c>
      <c r="S177" s="126">
        <v>0</v>
      </c>
      <c r="T177" s="126">
        <v>0</v>
      </c>
      <c r="U177" s="127">
        <v>0</v>
      </c>
      <c r="V177" s="140" t="s">
        <v>81</v>
      </c>
      <c r="W177" s="126" t="s">
        <v>78</v>
      </c>
      <c r="X177" s="126" t="s">
        <v>81</v>
      </c>
      <c r="Y177" s="126" t="s">
        <v>78</v>
      </c>
      <c r="Z177" s="126" t="s">
        <v>81</v>
      </c>
      <c r="AA177" s="126">
        <v>0</v>
      </c>
      <c r="AB177" s="141" t="s">
        <v>78</v>
      </c>
      <c r="AC177" s="126">
        <v>0</v>
      </c>
      <c r="AD177" s="139" t="s">
        <v>78</v>
      </c>
      <c r="AE177" s="126">
        <v>0</v>
      </c>
      <c r="AF177" s="126" t="s">
        <v>78</v>
      </c>
      <c r="AG177" s="126">
        <v>0</v>
      </c>
      <c r="AH177" s="142" t="s">
        <v>81</v>
      </c>
      <c r="AI177" s="142" t="s">
        <v>78</v>
      </c>
      <c r="AJ177" s="142" t="s">
        <v>81</v>
      </c>
      <c r="AK177" s="142" t="s">
        <v>78</v>
      </c>
      <c r="AL177" s="142" t="s">
        <v>78</v>
      </c>
      <c r="AM177" s="142" t="s">
        <v>81</v>
      </c>
      <c r="AN177" s="142" t="s">
        <v>81</v>
      </c>
      <c r="AO177" s="142" t="s">
        <v>78</v>
      </c>
      <c r="AP177" s="142" t="s">
        <v>81</v>
      </c>
      <c r="AQ177" s="142">
        <v>1</v>
      </c>
      <c r="AR177" s="142" t="s">
        <v>104</v>
      </c>
    </row>
    <row r="178" spans="1:44" s="143" customFormat="1" ht="25.05" customHeight="1" x14ac:dyDescent="0.3">
      <c r="A178" s="126" t="s">
        <v>852</v>
      </c>
      <c r="B178" s="125" t="s">
        <v>853</v>
      </c>
      <c r="C178" s="139">
        <v>2018</v>
      </c>
      <c r="D178" s="139" t="s">
        <v>419</v>
      </c>
      <c r="E178" s="139" t="s">
        <v>78</v>
      </c>
      <c r="F178" s="139" t="s">
        <v>563</v>
      </c>
      <c r="G178" s="139" t="s">
        <v>519</v>
      </c>
      <c r="H178" s="139" t="s">
        <v>588</v>
      </c>
      <c r="I178" s="126" t="s">
        <v>256</v>
      </c>
      <c r="J178" s="126" t="s">
        <v>689</v>
      </c>
      <c r="K178" s="126" t="s">
        <v>81</v>
      </c>
      <c r="L178" s="140" t="s">
        <v>616</v>
      </c>
      <c r="M178" s="140">
        <v>807528000</v>
      </c>
      <c r="N178" s="126">
        <v>46080471.117248617</v>
      </c>
      <c r="O178" s="139">
        <v>65624581.33220727</v>
      </c>
      <c r="P178" s="126">
        <v>36321518.869999997</v>
      </c>
      <c r="Q178" s="126">
        <v>36321518.869999997</v>
      </c>
      <c r="R178" s="126">
        <v>51726564.668333091</v>
      </c>
      <c r="S178" s="126">
        <v>36321518.869999997</v>
      </c>
      <c r="T178" s="139">
        <v>36321518.869999997</v>
      </c>
      <c r="U178" s="127">
        <v>51726564.668333091</v>
      </c>
      <c r="V178" s="140" t="s">
        <v>75</v>
      </c>
      <c r="W178" s="126" t="s">
        <v>854</v>
      </c>
      <c r="X178" s="126" t="s">
        <v>75</v>
      </c>
      <c r="Y178" s="126" t="s">
        <v>855</v>
      </c>
      <c r="Z178" s="126" t="s">
        <v>75</v>
      </c>
      <c r="AA178" s="126">
        <v>0</v>
      </c>
      <c r="AB178" s="141" t="s">
        <v>78</v>
      </c>
      <c r="AC178" s="126">
        <v>999</v>
      </c>
      <c r="AD178" s="139" t="s">
        <v>856</v>
      </c>
      <c r="AE178" s="126">
        <v>999</v>
      </c>
      <c r="AF178" s="126" t="s">
        <v>857</v>
      </c>
      <c r="AG178" s="126">
        <v>2</v>
      </c>
      <c r="AH178" s="142" t="s">
        <v>75</v>
      </c>
      <c r="AI178" s="142" t="s">
        <v>826</v>
      </c>
      <c r="AJ178" s="142" t="s">
        <v>75</v>
      </c>
      <c r="AK178" s="142" t="s">
        <v>795</v>
      </c>
      <c r="AL178" s="142" t="s">
        <v>78</v>
      </c>
      <c r="AM178" s="142" t="s">
        <v>81</v>
      </c>
      <c r="AN178" s="142" t="s">
        <v>81</v>
      </c>
      <c r="AO178" s="142" t="s">
        <v>78</v>
      </c>
      <c r="AP178" s="142" t="s">
        <v>75</v>
      </c>
      <c r="AQ178" s="142">
        <v>1</v>
      </c>
      <c r="AR178" s="142" t="s">
        <v>616</v>
      </c>
    </row>
    <row r="179" spans="1:44" s="143" customFormat="1" ht="25.05" customHeight="1" x14ac:dyDescent="0.3">
      <c r="A179" s="126" t="s">
        <v>819</v>
      </c>
      <c r="B179" s="125" t="s">
        <v>820</v>
      </c>
      <c r="C179" s="139">
        <v>2018</v>
      </c>
      <c r="D179" s="139" t="s">
        <v>445</v>
      </c>
      <c r="E179" s="139" t="s">
        <v>78</v>
      </c>
      <c r="F179" s="139" t="s">
        <v>552</v>
      </c>
      <c r="G179" s="139" t="s">
        <v>519</v>
      </c>
      <c r="H179" s="139" t="s">
        <v>581</v>
      </c>
      <c r="I179" s="126" t="s">
        <v>228</v>
      </c>
      <c r="J179" s="126" t="s">
        <v>676</v>
      </c>
      <c r="K179" s="126" t="s">
        <v>81</v>
      </c>
      <c r="L179" s="140" t="s">
        <v>74</v>
      </c>
      <c r="M179" s="140">
        <v>5000000</v>
      </c>
      <c r="N179" s="126">
        <v>5000000</v>
      </c>
      <c r="O179" s="126">
        <v>7120649.9999999991</v>
      </c>
      <c r="P179" s="126">
        <v>4940000</v>
      </c>
      <c r="Q179" s="126">
        <v>4940000</v>
      </c>
      <c r="R179" s="126">
        <v>7035202.1999999993</v>
      </c>
      <c r="S179" s="126">
        <v>4940000</v>
      </c>
      <c r="T179" s="126">
        <v>4940000</v>
      </c>
      <c r="U179" s="127">
        <v>7035202.1999999993</v>
      </c>
      <c r="V179" s="140" t="s">
        <v>81</v>
      </c>
      <c r="W179" s="126" t="s">
        <v>78</v>
      </c>
      <c r="X179" s="126" t="s">
        <v>81</v>
      </c>
      <c r="Y179" s="126" t="s">
        <v>78</v>
      </c>
      <c r="Z179" s="126" t="s">
        <v>81</v>
      </c>
      <c r="AA179" s="126">
        <v>0</v>
      </c>
      <c r="AB179" s="141" t="s">
        <v>78</v>
      </c>
      <c r="AC179" s="126">
        <v>0</v>
      </c>
      <c r="AD179" s="139" t="s">
        <v>78</v>
      </c>
      <c r="AE179" s="126">
        <v>0</v>
      </c>
      <c r="AF179" s="126" t="s">
        <v>78</v>
      </c>
      <c r="AG179" s="126">
        <v>0</v>
      </c>
      <c r="AH179" s="142" t="s">
        <v>81</v>
      </c>
      <c r="AI179" s="142" t="s">
        <v>78</v>
      </c>
      <c r="AJ179" s="142" t="s">
        <v>81</v>
      </c>
      <c r="AK179" s="142" t="s">
        <v>78</v>
      </c>
      <c r="AL179" s="142" t="s">
        <v>78</v>
      </c>
      <c r="AM179" s="142" t="s">
        <v>81</v>
      </c>
      <c r="AN179" s="142" t="s">
        <v>81</v>
      </c>
      <c r="AO179" s="142" t="s">
        <v>78</v>
      </c>
      <c r="AP179" s="142" t="s">
        <v>81</v>
      </c>
      <c r="AQ179" s="142">
        <v>1</v>
      </c>
      <c r="AR179" s="142" t="s">
        <v>74</v>
      </c>
    </row>
    <row r="180" spans="1:44" s="143" customFormat="1" ht="25.05" customHeight="1" x14ac:dyDescent="0.3">
      <c r="A180" s="126" t="s">
        <v>1315</v>
      </c>
      <c r="B180" s="125" t="s">
        <v>1316</v>
      </c>
      <c r="C180" s="139">
        <v>2015</v>
      </c>
      <c r="D180" s="145" t="s">
        <v>419</v>
      </c>
      <c r="E180" s="139" t="s">
        <v>78</v>
      </c>
      <c r="F180" s="139" t="s">
        <v>563</v>
      </c>
      <c r="G180" s="139" t="s">
        <v>519</v>
      </c>
      <c r="H180" s="139" t="s">
        <v>589</v>
      </c>
      <c r="I180" s="126" t="s">
        <v>256</v>
      </c>
      <c r="J180" s="126" t="s">
        <v>689</v>
      </c>
      <c r="K180" s="126" t="s">
        <v>81</v>
      </c>
      <c r="L180" s="140" t="s">
        <v>74</v>
      </c>
      <c r="M180" s="140">
        <v>797500</v>
      </c>
      <c r="N180" s="126">
        <v>797500</v>
      </c>
      <c r="O180" s="126">
        <v>1155425.9749999999</v>
      </c>
      <c r="P180" s="126">
        <v>797416</v>
      </c>
      <c r="Q180" s="126">
        <v>797416</v>
      </c>
      <c r="R180" s="126">
        <v>1155304.2749599998</v>
      </c>
      <c r="S180" s="126">
        <v>797416</v>
      </c>
      <c r="T180" s="126">
        <v>797416</v>
      </c>
      <c r="U180" s="127">
        <v>1155304.2749599998</v>
      </c>
      <c r="V180" s="140" t="s">
        <v>81</v>
      </c>
      <c r="W180" s="126" t="s">
        <v>78</v>
      </c>
      <c r="X180" s="126" t="s">
        <v>81</v>
      </c>
      <c r="Y180" s="126" t="s">
        <v>78</v>
      </c>
      <c r="Z180" s="126" t="s">
        <v>75</v>
      </c>
      <c r="AA180" s="126">
        <v>0</v>
      </c>
      <c r="AB180" s="141" t="s">
        <v>78</v>
      </c>
      <c r="AC180" s="126">
        <v>0</v>
      </c>
      <c r="AD180" s="139" t="s">
        <v>78</v>
      </c>
      <c r="AE180" s="126">
        <v>0</v>
      </c>
      <c r="AF180" s="126" t="s">
        <v>78</v>
      </c>
      <c r="AG180" s="126">
        <v>0</v>
      </c>
      <c r="AH180" s="142" t="s">
        <v>81</v>
      </c>
      <c r="AI180" s="142" t="s">
        <v>78</v>
      </c>
      <c r="AJ180" s="142" t="s">
        <v>81</v>
      </c>
      <c r="AK180" s="142" t="s">
        <v>78</v>
      </c>
      <c r="AL180" s="142" t="s">
        <v>78</v>
      </c>
      <c r="AM180" s="142" t="s">
        <v>81</v>
      </c>
      <c r="AN180" s="142" t="s">
        <v>81</v>
      </c>
      <c r="AO180" s="142" t="s">
        <v>78</v>
      </c>
      <c r="AP180" s="142" t="s">
        <v>81</v>
      </c>
      <c r="AQ180" s="142">
        <v>1</v>
      </c>
      <c r="AR180" s="142" t="s">
        <v>74</v>
      </c>
    </row>
    <row r="181" spans="1:44" s="143" customFormat="1" ht="25.05" customHeight="1" x14ac:dyDescent="0.3">
      <c r="A181" s="126" t="s">
        <v>1030</v>
      </c>
      <c r="B181" s="125" t="s">
        <v>1031</v>
      </c>
      <c r="C181" s="139">
        <v>2017</v>
      </c>
      <c r="D181" s="139" t="s">
        <v>87</v>
      </c>
      <c r="E181" s="139" t="s">
        <v>1032</v>
      </c>
      <c r="F181" s="139" t="s">
        <v>1848</v>
      </c>
      <c r="G181" s="139" t="s">
        <v>87</v>
      </c>
      <c r="H181" s="139" t="s">
        <v>585</v>
      </c>
      <c r="I181" s="126" t="s">
        <v>228</v>
      </c>
      <c r="J181" s="126" t="s">
        <v>689</v>
      </c>
      <c r="K181" s="126" t="s">
        <v>81</v>
      </c>
      <c r="L181" s="140" t="s">
        <v>126</v>
      </c>
      <c r="M181" s="140">
        <v>20000000</v>
      </c>
      <c r="N181" s="126">
        <v>14877299.472599734</v>
      </c>
      <c r="O181" s="126">
        <v>20000000</v>
      </c>
      <c r="P181" s="126">
        <v>14464558.220000001</v>
      </c>
      <c r="Q181" s="126">
        <v>14464558.220000001</v>
      </c>
      <c r="R181" s="126">
        <v>19445139.551892601</v>
      </c>
      <c r="S181" s="126">
        <v>14464558.220000001</v>
      </c>
      <c r="T181" s="126">
        <v>14464558.220000001</v>
      </c>
      <c r="U181" s="127">
        <v>19445139.551892601</v>
      </c>
      <c r="V181" s="140" t="s">
        <v>81</v>
      </c>
      <c r="W181" s="126" t="s">
        <v>78</v>
      </c>
      <c r="X181" s="126" t="s">
        <v>81</v>
      </c>
      <c r="Y181" s="126" t="s">
        <v>78</v>
      </c>
      <c r="Z181" s="126" t="s">
        <v>81</v>
      </c>
      <c r="AA181" s="126">
        <v>0</v>
      </c>
      <c r="AB181" s="141" t="s">
        <v>78</v>
      </c>
      <c r="AC181" s="126">
        <v>0</v>
      </c>
      <c r="AD181" s="139" t="s">
        <v>78</v>
      </c>
      <c r="AE181" s="126">
        <v>0</v>
      </c>
      <c r="AF181" s="126" t="s">
        <v>78</v>
      </c>
      <c r="AG181" s="126">
        <v>0</v>
      </c>
      <c r="AH181" s="142" t="s">
        <v>81</v>
      </c>
      <c r="AI181" s="142" t="s">
        <v>78</v>
      </c>
      <c r="AJ181" s="142" t="s">
        <v>81</v>
      </c>
      <c r="AK181" s="142" t="s">
        <v>78</v>
      </c>
      <c r="AL181" s="142" t="s">
        <v>78</v>
      </c>
      <c r="AM181" s="142" t="s">
        <v>81</v>
      </c>
      <c r="AN181" s="142" t="s">
        <v>81</v>
      </c>
      <c r="AO181" s="142" t="s">
        <v>78</v>
      </c>
      <c r="AP181" s="142" t="s">
        <v>81</v>
      </c>
      <c r="AQ181" s="142">
        <v>1</v>
      </c>
      <c r="AR181" s="142" t="s">
        <v>126</v>
      </c>
    </row>
    <row r="182" spans="1:44" s="143" customFormat="1" ht="25.05" customHeight="1" x14ac:dyDescent="0.3">
      <c r="A182" s="126" t="s">
        <v>1229</v>
      </c>
      <c r="B182" s="125" t="s">
        <v>1230</v>
      </c>
      <c r="C182" s="139">
        <v>2016</v>
      </c>
      <c r="D182" s="139" t="s">
        <v>510</v>
      </c>
      <c r="E182" s="139" t="s">
        <v>78</v>
      </c>
      <c r="F182" s="139" t="s">
        <v>568</v>
      </c>
      <c r="G182" s="139" t="s">
        <v>519</v>
      </c>
      <c r="H182" s="139" t="s">
        <v>466</v>
      </c>
      <c r="I182" s="126" t="s">
        <v>466</v>
      </c>
      <c r="J182" s="126" t="s">
        <v>689</v>
      </c>
      <c r="K182" s="126" t="s">
        <v>81</v>
      </c>
      <c r="L182" s="140" t="s">
        <v>74</v>
      </c>
      <c r="M182" s="140">
        <v>269486</v>
      </c>
      <c r="N182" s="126">
        <v>269486</v>
      </c>
      <c r="O182" s="126">
        <v>373434.83477999998</v>
      </c>
      <c r="P182" s="126">
        <v>205950</v>
      </c>
      <c r="Q182" s="126">
        <v>205950</v>
      </c>
      <c r="R182" s="126">
        <v>285391.09349999996</v>
      </c>
      <c r="S182" s="126">
        <v>205950</v>
      </c>
      <c r="T182" s="126">
        <v>205950</v>
      </c>
      <c r="U182" s="127">
        <v>285391.09349999996</v>
      </c>
      <c r="V182" s="140" t="s">
        <v>81</v>
      </c>
      <c r="W182" s="126" t="s">
        <v>78</v>
      </c>
      <c r="X182" s="126" t="s">
        <v>81</v>
      </c>
      <c r="Y182" s="126" t="s">
        <v>78</v>
      </c>
      <c r="Z182" s="126" t="s">
        <v>81</v>
      </c>
      <c r="AA182" s="126">
        <v>0</v>
      </c>
      <c r="AB182" s="141" t="s">
        <v>78</v>
      </c>
      <c r="AC182" s="126">
        <v>0</v>
      </c>
      <c r="AD182" s="139" t="s">
        <v>78</v>
      </c>
      <c r="AE182" s="126">
        <v>0</v>
      </c>
      <c r="AF182" s="126" t="s">
        <v>78</v>
      </c>
      <c r="AG182" s="126">
        <v>0</v>
      </c>
      <c r="AH182" s="142" t="s">
        <v>81</v>
      </c>
      <c r="AI182" s="142" t="s">
        <v>78</v>
      </c>
      <c r="AJ182" s="142" t="s">
        <v>81</v>
      </c>
      <c r="AK182" s="142" t="s">
        <v>78</v>
      </c>
      <c r="AL182" s="142" t="s">
        <v>78</v>
      </c>
      <c r="AM182" s="142" t="s">
        <v>81</v>
      </c>
      <c r="AN182" s="142" t="s">
        <v>81</v>
      </c>
      <c r="AO182" s="142" t="s">
        <v>78</v>
      </c>
      <c r="AP182" s="142" t="s">
        <v>81</v>
      </c>
      <c r="AQ182" s="142">
        <v>1</v>
      </c>
      <c r="AR182" s="142" t="s">
        <v>74</v>
      </c>
    </row>
    <row r="183" spans="1:44" s="143" customFormat="1" ht="25.05" customHeight="1" x14ac:dyDescent="0.3">
      <c r="A183" s="126" t="s">
        <v>1231</v>
      </c>
      <c r="B183" s="125" t="s">
        <v>1232</v>
      </c>
      <c r="C183" s="139">
        <v>2016</v>
      </c>
      <c r="D183" s="139" t="s">
        <v>353</v>
      </c>
      <c r="E183" s="139" t="s">
        <v>78</v>
      </c>
      <c r="F183" s="139" t="s">
        <v>78</v>
      </c>
      <c r="G183" s="139" t="s">
        <v>519</v>
      </c>
      <c r="H183" s="139" t="s">
        <v>571</v>
      </c>
      <c r="I183" s="126" t="s">
        <v>466</v>
      </c>
      <c r="J183" s="126" t="s">
        <v>689</v>
      </c>
      <c r="K183" s="126" t="s">
        <v>81</v>
      </c>
      <c r="L183" s="140" t="s">
        <v>74</v>
      </c>
      <c r="M183" s="140">
        <v>460000</v>
      </c>
      <c r="N183" s="126">
        <v>460000</v>
      </c>
      <c r="O183" s="126">
        <v>637435.79999999993</v>
      </c>
      <c r="P183" s="126">
        <v>396985</v>
      </c>
      <c r="Q183" s="126">
        <v>396985</v>
      </c>
      <c r="R183" s="126">
        <v>550114.02405000001</v>
      </c>
      <c r="S183" s="126">
        <v>396985</v>
      </c>
      <c r="T183" s="126">
        <v>396985</v>
      </c>
      <c r="U183" s="127">
        <v>550114.02405000001</v>
      </c>
      <c r="V183" s="140" t="s">
        <v>81</v>
      </c>
      <c r="W183" s="126" t="s">
        <v>78</v>
      </c>
      <c r="X183" s="126" t="s">
        <v>81</v>
      </c>
      <c r="Y183" s="126" t="s">
        <v>78</v>
      </c>
      <c r="Z183" s="126" t="s">
        <v>81</v>
      </c>
      <c r="AA183" s="126">
        <v>0</v>
      </c>
      <c r="AB183" s="141" t="s">
        <v>78</v>
      </c>
      <c r="AC183" s="126">
        <v>0</v>
      </c>
      <c r="AD183" s="139" t="s">
        <v>78</v>
      </c>
      <c r="AE183" s="126">
        <v>0</v>
      </c>
      <c r="AF183" s="126" t="s">
        <v>78</v>
      </c>
      <c r="AG183" s="126">
        <v>0</v>
      </c>
      <c r="AH183" s="142" t="s">
        <v>81</v>
      </c>
      <c r="AI183" s="142" t="s">
        <v>78</v>
      </c>
      <c r="AJ183" s="142" t="s">
        <v>81</v>
      </c>
      <c r="AK183" s="142" t="s">
        <v>78</v>
      </c>
      <c r="AL183" s="142" t="s">
        <v>78</v>
      </c>
      <c r="AM183" s="142" t="s">
        <v>81</v>
      </c>
      <c r="AN183" s="142" t="s">
        <v>81</v>
      </c>
      <c r="AO183" s="142" t="s">
        <v>78</v>
      </c>
      <c r="AP183" s="142" t="s">
        <v>81</v>
      </c>
      <c r="AQ183" s="142">
        <v>1</v>
      </c>
      <c r="AR183" s="142" t="s">
        <v>74</v>
      </c>
    </row>
    <row r="184" spans="1:44" s="143" customFormat="1" ht="25.05" customHeight="1" x14ac:dyDescent="0.3">
      <c r="A184" s="126" t="s">
        <v>1343</v>
      </c>
      <c r="B184" s="125" t="s">
        <v>1344</v>
      </c>
      <c r="C184" s="139">
        <v>2015</v>
      </c>
      <c r="D184" s="145" t="s">
        <v>353</v>
      </c>
      <c r="E184" s="139" t="s">
        <v>78</v>
      </c>
      <c r="F184" s="139" t="s">
        <v>78</v>
      </c>
      <c r="G184" s="139" t="s">
        <v>519</v>
      </c>
      <c r="H184" s="139" t="s">
        <v>597</v>
      </c>
      <c r="I184" s="126" t="s">
        <v>101</v>
      </c>
      <c r="J184" s="126" t="s">
        <v>689</v>
      </c>
      <c r="K184" s="126" t="s">
        <v>81</v>
      </c>
      <c r="L184" s="140" t="s">
        <v>74</v>
      </c>
      <c r="M184" s="140">
        <v>787681</v>
      </c>
      <c r="N184" s="126">
        <v>787681</v>
      </c>
      <c r="O184" s="126">
        <v>1141200.1096099999</v>
      </c>
      <c r="P184" s="126">
        <v>787671</v>
      </c>
      <c r="Q184" s="126">
        <v>787671</v>
      </c>
      <c r="R184" s="126">
        <v>1141185.62151</v>
      </c>
      <c r="S184" s="126">
        <v>787671</v>
      </c>
      <c r="T184" s="126">
        <v>787671</v>
      </c>
      <c r="U184" s="127">
        <v>1141185.62151</v>
      </c>
      <c r="V184" s="140" t="s">
        <v>81</v>
      </c>
      <c r="W184" s="126" t="s">
        <v>78</v>
      </c>
      <c r="X184" s="126" t="s">
        <v>81</v>
      </c>
      <c r="Y184" s="126" t="s">
        <v>78</v>
      </c>
      <c r="Z184" s="126" t="s">
        <v>81</v>
      </c>
      <c r="AA184" s="126">
        <v>0</v>
      </c>
      <c r="AB184" s="141" t="s">
        <v>78</v>
      </c>
      <c r="AC184" s="126">
        <v>0</v>
      </c>
      <c r="AD184" s="139" t="s">
        <v>78</v>
      </c>
      <c r="AE184" s="126">
        <v>0</v>
      </c>
      <c r="AF184" s="126" t="s">
        <v>78</v>
      </c>
      <c r="AG184" s="126">
        <v>0</v>
      </c>
      <c r="AH184" s="142" t="s">
        <v>81</v>
      </c>
      <c r="AI184" s="142" t="s">
        <v>78</v>
      </c>
      <c r="AJ184" s="142" t="s">
        <v>81</v>
      </c>
      <c r="AK184" s="142" t="s">
        <v>78</v>
      </c>
      <c r="AL184" s="142" t="s">
        <v>78</v>
      </c>
      <c r="AM184" s="142" t="s">
        <v>81</v>
      </c>
      <c r="AN184" s="142" t="s">
        <v>81</v>
      </c>
      <c r="AO184" s="142" t="s">
        <v>78</v>
      </c>
      <c r="AP184" s="142" t="s">
        <v>81</v>
      </c>
      <c r="AQ184" s="142">
        <v>1</v>
      </c>
      <c r="AR184" s="142" t="s">
        <v>74</v>
      </c>
    </row>
    <row r="185" spans="1:44" s="143" customFormat="1" ht="25.05" customHeight="1" x14ac:dyDescent="0.3">
      <c r="A185" s="126" t="s">
        <v>1198</v>
      </c>
      <c r="B185" s="125" t="s">
        <v>1199</v>
      </c>
      <c r="C185" s="139">
        <v>2016</v>
      </c>
      <c r="D185" s="139" t="s">
        <v>184</v>
      </c>
      <c r="E185" s="139" t="s">
        <v>78</v>
      </c>
      <c r="F185" s="139" t="s">
        <v>554</v>
      </c>
      <c r="G185" s="139" t="s">
        <v>520</v>
      </c>
      <c r="H185" s="139" t="s">
        <v>228</v>
      </c>
      <c r="I185" s="126" t="s">
        <v>228</v>
      </c>
      <c r="J185" s="126" t="s">
        <v>689</v>
      </c>
      <c r="K185" s="126" t="s">
        <v>81</v>
      </c>
      <c r="L185" s="140" t="s">
        <v>74</v>
      </c>
      <c r="M185" s="140">
        <v>507246</v>
      </c>
      <c r="N185" s="126">
        <v>507246</v>
      </c>
      <c r="O185" s="126">
        <v>702905.99957999995</v>
      </c>
      <c r="P185" s="126">
        <v>507246</v>
      </c>
      <c r="Q185" s="126">
        <v>507246</v>
      </c>
      <c r="R185" s="126">
        <v>702905.99957999995</v>
      </c>
      <c r="S185" s="126">
        <v>507246</v>
      </c>
      <c r="T185" s="126">
        <v>507246</v>
      </c>
      <c r="U185" s="127">
        <v>702905.99957999995</v>
      </c>
      <c r="V185" s="140" t="s">
        <v>81</v>
      </c>
      <c r="W185" s="126" t="s">
        <v>78</v>
      </c>
      <c r="X185" s="126" t="s">
        <v>81</v>
      </c>
      <c r="Y185" s="126" t="s">
        <v>78</v>
      </c>
      <c r="Z185" s="126" t="s">
        <v>81</v>
      </c>
      <c r="AA185" s="126">
        <v>0</v>
      </c>
      <c r="AB185" s="141" t="s">
        <v>78</v>
      </c>
      <c r="AC185" s="126">
        <v>0</v>
      </c>
      <c r="AD185" s="139" t="s">
        <v>78</v>
      </c>
      <c r="AE185" s="126">
        <v>0</v>
      </c>
      <c r="AF185" s="126" t="s">
        <v>78</v>
      </c>
      <c r="AG185" s="126">
        <v>0</v>
      </c>
      <c r="AH185" s="142" t="s">
        <v>81</v>
      </c>
      <c r="AI185" s="142" t="s">
        <v>78</v>
      </c>
      <c r="AJ185" s="142" t="s">
        <v>81</v>
      </c>
      <c r="AK185" s="142" t="s">
        <v>78</v>
      </c>
      <c r="AL185" s="142" t="s">
        <v>78</v>
      </c>
      <c r="AM185" s="142" t="s">
        <v>81</v>
      </c>
      <c r="AN185" s="142" t="s">
        <v>81</v>
      </c>
      <c r="AO185" s="142" t="s">
        <v>78</v>
      </c>
      <c r="AP185" s="142" t="s">
        <v>81</v>
      </c>
      <c r="AQ185" s="142">
        <v>1</v>
      </c>
      <c r="AR185" s="142" t="s">
        <v>74</v>
      </c>
    </row>
    <row r="186" spans="1:44" s="143" customFormat="1" ht="25.05" customHeight="1" x14ac:dyDescent="0.3">
      <c r="A186" s="126" t="s">
        <v>1222</v>
      </c>
      <c r="B186" s="125" t="s">
        <v>1223</v>
      </c>
      <c r="C186" s="139">
        <v>2016</v>
      </c>
      <c r="D186" s="139" t="s">
        <v>516</v>
      </c>
      <c r="E186" s="139" t="s">
        <v>78</v>
      </c>
      <c r="F186" s="139" t="s">
        <v>569</v>
      </c>
      <c r="G186" s="139" t="s">
        <v>519</v>
      </c>
      <c r="H186" s="139" t="s">
        <v>228</v>
      </c>
      <c r="I186" s="126" t="s">
        <v>228</v>
      </c>
      <c r="J186" s="126" t="s">
        <v>689</v>
      </c>
      <c r="K186" s="126" t="s">
        <v>81</v>
      </c>
      <c r="L186" s="140" t="s">
        <v>74</v>
      </c>
      <c r="M186" s="140">
        <v>917000</v>
      </c>
      <c r="N186" s="126">
        <v>917000</v>
      </c>
      <c r="O186" s="126">
        <v>1270714.4099999999</v>
      </c>
      <c r="P186" s="126">
        <v>720000</v>
      </c>
      <c r="Q186" s="126">
        <v>720000</v>
      </c>
      <c r="R186" s="126">
        <v>997725.6</v>
      </c>
      <c r="S186" s="126">
        <v>720000</v>
      </c>
      <c r="T186" s="126">
        <v>720000</v>
      </c>
      <c r="U186" s="127">
        <v>997725.6</v>
      </c>
      <c r="V186" s="140" t="s">
        <v>81</v>
      </c>
      <c r="W186" s="126" t="s">
        <v>78</v>
      </c>
      <c r="X186" s="126" t="s">
        <v>81</v>
      </c>
      <c r="Y186" s="126" t="s">
        <v>78</v>
      </c>
      <c r="Z186" s="126" t="s">
        <v>81</v>
      </c>
      <c r="AA186" s="126">
        <v>0</v>
      </c>
      <c r="AB186" s="141" t="s">
        <v>78</v>
      </c>
      <c r="AC186" s="126">
        <v>0</v>
      </c>
      <c r="AD186" s="139" t="s">
        <v>78</v>
      </c>
      <c r="AE186" s="126">
        <v>0</v>
      </c>
      <c r="AF186" s="126" t="s">
        <v>78</v>
      </c>
      <c r="AG186" s="126">
        <v>0</v>
      </c>
      <c r="AH186" s="142" t="s">
        <v>81</v>
      </c>
      <c r="AI186" s="142" t="s">
        <v>78</v>
      </c>
      <c r="AJ186" s="142" t="s">
        <v>81</v>
      </c>
      <c r="AK186" s="142" t="s">
        <v>78</v>
      </c>
      <c r="AL186" s="142" t="s">
        <v>78</v>
      </c>
      <c r="AM186" s="142" t="s">
        <v>81</v>
      </c>
      <c r="AN186" s="142" t="s">
        <v>81</v>
      </c>
      <c r="AO186" s="142" t="s">
        <v>78</v>
      </c>
      <c r="AP186" s="142" t="s">
        <v>81</v>
      </c>
      <c r="AQ186" s="142">
        <v>1</v>
      </c>
      <c r="AR186" s="142" t="s">
        <v>74</v>
      </c>
    </row>
    <row r="187" spans="1:44" s="143" customFormat="1" ht="25.05" customHeight="1" x14ac:dyDescent="0.3">
      <c r="A187" s="126" t="s">
        <v>1205</v>
      </c>
      <c r="B187" s="125" t="s">
        <v>1206</v>
      </c>
      <c r="C187" s="139">
        <v>2016</v>
      </c>
      <c r="D187" s="139" t="s">
        <v>184</v>
      </c>
      <c r="E187" s="139" t="s">
        <v>78</v>
      </c>
      <c r="F187" s="139" t="s">
        <v>554</v>
      </c>
      <c r="G187" s="139" t="s">
        <v>520</v>
      </c>
      <c r="H187" s="139" t="s">
        <v>228</v>
      </c>
      <c r="I187" s="126" t="s">
        <v>228</v>
      </c>
      <c r="J187" s="126" t="s">
        <v>689</v>
      </c>
      <c r="K187" s="126" t="s">
        <v>81</v>
      </c>
      <c r="L187" s="140" t="s">
        <v>74</v>
      </c>
      <c r="M187" s="140">
        <v>715328</v>
      </c>
      <c r="N187" s="126">
        <v>715328</v>
      </c>
      <c r="O187" s="126">
        <v>991251.4694399999</v>
      </c>
      <c r="P187" s="126">
        <v>715328</v>
      </c>
      <c r="Q187" s="126">
        <v>715328</v>
      </c>
      <c r="R187" s="126">
        <v>991251.4694399999</v>
      </c>
      <c r="S187" s="126">
        <v>715328</v>
      </c>
      <c r="T187" s="126">
        <v>715328</v>
      </c>
      <c r="U187" s="127">
        <v>991251.4694399999</v>
      </c>
      <c r="V187" s="140" t="s">
        <v>81</v>
      </c>
      <c r="W187" s="126" t="s">
        <v>78</v>
      </c>
      <c r="X187" s="126" t="s">
        <v>81</v>
      </c>
      <c r="Y187" s="126" t="s">
        <v>78</v>
      </c>
      <c r="Z187" s="126" t="s">
        <v>81</v>
      </c>
      <c r="AA187" s="126">
        <v>0</v>
      </c>
      <c r="AB187" s="141" t="s">
        <v>78</v>
      </c>
      <c r="AC187" s="126">
        <v>0</v>
      </c>
      <c r="AD187" s="139" t="s">
        <v>78</v>
      </c>
      <c r="AE187" s="144">
        <v>0</v>
      </c>
      <c r="AF187" s="126" t="s">
        <v>78</v>
      </c>
      <c r="AG187" s="126">
        <v>0</v>
      </c>
      <c r="AH187" s="142" t="s">
        <v>81</v>
      </c>
      <c r="AI187" s="142" t="s">
        <v>78</v>
      </c>
      <c r="AJ187" s="142" t="s">
        <v>81</v>
      </c>
      <c r="AK187" s="142" t="s">
        <v>78</v>
      </c>
      <c r="AL187" s="142" t="s">
        <v>78</v>
      </c>
      <c r="AM187" s="142" t="s">
        <v>81</v>
      </c>
      <c r="AN187" s="142" t="s">
        <v>81</v>
      </c>
      <c r="AO187" s="142" t="s">
        <v>78</v>
      </c>
      <c r="AP187" s="142" t="s">
        <v>81</v>
      </c>
      <c r="AQ187" s="142">
        <v>1</v>
      </c>
      <c r="AR187" s="142" t="s">
        <v>74</v>
      </c>
    </row>
    <row r="188" spans="1:44" s="143" customFormat="1" ht="25.05" customHeight="1" x14ac:dyDescent="0.3">
      <c r="A188" s="126" t="s">
        <v>831</v>
      </c>
      <c r="B188" s="125" t="s">
        <v>832</v>
      </c>
      <c r="C188" s="139">
        <v>2018</v>
      </c>
      <c r="D188" s="139" t="s">
        <v>145</v>
      </c>
      <c r="E188" s="139" t="s">
        <v>78</v>
      </c>
      <c r="F188" s="139" t="s">
        <v>543</v>
      </c>
      <c r="G188" s="139" t="s">
        <v>522</v>
      </c>
      <c r="H188" s="139" t="s">
        <v>596</v>
      </c>
      <c r="I188" s="126" t="s">
        <v>101</v>
      </c>
      <c r="J188" s="126" t="s">
        <v>689</v>
      </c>
      <c r="K188" s="126" t="s">
        <v>81</v>
      </c>
      <c r="L188" s="140" t="s">
        <v>74</v>
      </c>
      <c r="M188" s="140">
        <v>1200000</v>
      </c>
      <c r="N188" s="126">
        <v>1200000</v>
      </c>
      <c r="O188" s="126">
        <v>1708955.9999999998</v>
      </c>
      <c r="P188" s="126">
        <v>1200000</v>
      </c>
      <c r="Q188" s="126">
        <v>1200000</v>
      </c>
      <c r="R188" s="126">
        <v>1708955.9999999998</v>
      </c>
      <c r="S188" s="126">
        <v>1200000</v>
      </c>
      <c r="T188" s="126">
        <v>1200000</v>
      </c>
      <c r="U188" s="127">
        <v>1708955.9999999998</v>
      </c>
      <c r="V188" s="140" t="s">
        <v>81</v>
      </c>
      <c r="W188" s="126" t="s">
        <v>78</v>
      </c>
      <c r="X188" s="126" t="s">
        <v>81</v>
      </c>
      <c r="Y188" s="126" t="s">
        <v>78</v>
      </c>
      <c r="Z188" s="126" t="s">
        <v>81</v>
      </c>
      <c r="AA188" s="126">
        <v>0</v>
      </c>
      <c r="AB188" s="141" t="s">
        <v>78</v>
      </c>
      <c r="AC188" s="126">
        <v>0</v>
      </c>
      <c r="AD188" s="139" t="s">
        <v>78</v>
      </c>
      <c r="AE188" s="144">
        <v>0</v>
      </c>
      <c r="AF188" s="126" t="s">
        <v>78</v>
      </c>
      <c r="AG188" s="126">
        <v>0</v>
      </c>
      <c r="AH188" s="142" t="s">
        <v>81</v>
      </c>
      <c r="AI188" s="142" t="s">
        <v>78</v>
      </c>
      <c r="AJ188" s="142" t="s">
        <v>81</v>
      </c>
      <c r="AK188" s="142" t="s">
        <v>78</v>
      </c>
      <c r="AL188" s="142" t="s">
        <v>78</v>
      </c>
      <c r="AM188" s="142" t="s">
        <v>81</v>
      </c>
      <c r="AN188" s="142" t="s">
        <v>81</v>
      </c>
      <c r="AO188" s="142" t="s">
        <v>78</v>
      </c>
      <c r="AP188" s="142" t="s">
        <v>81</v>
      </c>
      <c r="AQ188" s="142">
        <v>1</v>
      </c>
      <c r="AR188" s="142" t="s">
        <v>74</v>
      </c>
    </row>
    <row r="189" spans="1:44" s="143" customFormat="1" ht="25.05" customHeight="1" x14ac:dyDescent="0.3">
      <c r="A189" s="126" t="s">
        <v>417</v>
      </c>
      <c r="B189" s="126" t="s">
        <v>418</v>
      </c>
      <c r="C189" s="139">
        <v>2021</v>
      </c>
      <c r="D189" s="139" t="s">
        <v>419</v>
      </c>
      <c r="E189" s="139">
        <v>0</v>
      </c>
      <c r="F189" s="139" t="s">
        <v>563</v>
      </c>
      <c r="G189" s="139" t="s">
        <v>519</v>
      </c>
      <c r="H189" s="139" t="s">
        <v>264</v>
      </c>
      <c r="I189" s="126" t="s">
        <v>228</v>
      </c>
      <c r="J189" s="126" t="s">
        <v>116</v>
      </c>
      <c r="K189" s="126" t="s">
        <v>81</v>
      </c>
      <c r="L189" s="126" t="s">
        <v>74</v>
      </c>
      <c r="M189" s="126">
        <v>230000000</v>
      </c>
      <c r="N189" s="126">
        <v>230000000</v>
      </c>
      <c r="O189" s="126">
        <v>331262100</v>
      </c>
      <c r="P189" s="126" t="s">
        <v>659</v>
      </c>
      <c r="Q189" s="126" t="s">
        <v>659</v>
      </c>
      <c r="R189" s="126" t="s">
        <v>659</v>
      </c>
      <c r="S189" s="126">
        <v>210000000</v>
      </c>
      <c r="T189" s="126">
        <v>210000000</v>
      </c>
      <c r="U189" s="127">
        <v>302456700</v>
      </c>
      <c r="V189" s="126" t="s">
        <v>75</v>
      </c>
      <c r="W189" s="126" t="s">
        <v>420</v>
      </c>
      <c r="X189" s="126" t="s">
        <v>81</v>
      </c>
      <c r="Y189" s="126">
        <v>0</v>
      </c>
      <c r="Z189" s="126" t="s">
        <v>75</v>
      </c>
      <c r="AA189" s="126">
        <v>0</v>
      </c>
      <c r="AB189" s="141" t="s">
        <v>78</v>
      </c>
      <c r="AC189" s="126">
        <v>0</v>
      </c>
      <c r="AD189" s="139" t="s">
        <v>78</v>
      </c>
      <c r="AE189" s="126">
        <v>2</v>
      </c>
      <c r="AF189" s="126" t="s">
        <v>421</v>
      </c>
      <c r="AG189" s="126">
        <v>2</v>
      </c>
      <c r="AH189" s="142" t="s">
        <v>81</v>
      </c>
      <c r="AI189" s="142">
        <v>0</v>
      </c>
      <c r="AJ189" s="142" t="s">
        <v>75</v>
      </c>
      <c r="AK189" s="142" t="s">
        <v>422</v>
      </c>
      <c r="AL189" s="142" t="s">
        <v>423</v>
      </c>
      <c r="AM189" s="142" t="s">
        <v>75</v>
      </c>
      <c r="AN189" s="142" t="s">
        <v>75</v>
      </c>
      <c r="AO189" s="142" t="s">
        <v>110</v>
      </c>
      <c r="AP189" s="142" t="s">
        <v>81</v>
      </c>
      <c r="AQ189" s="142">
        <v>1</v>
      </c>
      <c r="AR189" s="142" t="s">
        <v>74</v>
      </c>
    </row>
    <row r="190" spans="1:44" s="143" customFormat="1" ht="25.05" customHeight="1" x14ac:dyDescent="0.3">
      <c r="A190" s="126" t="s">
        <v>1202</v>
      </c>
      <c r="B190" s="125" t="s">
        <v>1203</v>
      </c>
      <c r="C190" s="139">
        <v>2016</v>
      </c>
      <c r="D190" s="139" t="s">
        <v>87</v>
      </c>
      <c r="E190" s="139" t="s">
        <v>1204</v>
      </c>
      <c r="F190" s="139" t="s">
        <v>1848</v>
      </c>
      <c r="G190" s="139" t="s">
        <v>87</v>
      </c>
      <c r="H190" s="139" t="s">
        <v>596</v>
      </c>
      <c r="I190" s="126" t="s">
        <v>101</v>
      </c>
      <c r="J190" s="126" t="s">
        <v>676</v>
      </c>
      <c r="K190" s="126" t="s">
        <v>81</v>
      </c>
      <c r="L190" s="140" t="s">
        <v>74</v>
      </c>
      <c r="M190" s="140">
        <v>2670000</v>
      </c>
      <c r="N190" s="126">
        <v>2670000</v>
      </c>
      <c r="O190" s="126">
        <v>3699899.0999999996</v>
      </c>
      <c r="P190" s="126">
        <v>2670000</v>
      </c>
      <c r="Q190" s="126">
        <v>2670000</v>
      </c>
      <c r="R190" s="126">
        <v>3699899.0999999996</v>
      </c>
      <c r="S190" s="126">
        <v>2670000</v>
      </c>
      <c r="T190" s="126">
        <v>2670000</v>
      </c>
      <c r="U190" s="127">
        <v>3699899.0999999996</v>
      </c>
      <c r="V190" s="140" t="s">
        <v>81</v>
      </c>
      <c r="W190" s="126" t="s">
        <v>78</v>
      </c>
      <c r="X190" s="126" t="s">
        <v>81</v>
      </c>
      <c r="Y190" s="126" t="s">
        <v>78</v>
      </c>
      <c r="Z190" s="126" t="s">
        <v>81</v>
      </c>
      <c r="AA190" s="126">
        <v>0</v>
      </c>
      <c r="AB190" s="141" t="s">
        <v>78</v>
      </c>
      <c r="AC190" s="126">
        <v>0</v>
      </c>
      <c r="AD190" s="139" t="s">
        <v>78</v>
      </c>
      <c r="AE190" s="126">
        <v>0</v>
      </c>
      <c r="AF190" s="126" t="s">
        <v>78</v>
      </c>
      <c r="AG190" s="126">
        <v>0</v>
      </c>
      <c r="AH190" s="142" t="s">
        <v>81</v>
      </c>
      <c r="AI190" s="142" t="s">
        <v>78</v>
      </c>
      <c r="AJ190" s="142" t="s">
        <v>81</v>
      </c>
      <c r="AK190" s="142" t="s">
        <v>78</v>
      </c>
      <c r="AL190" s="142" t="s">
        <v>78</v>
      </c>
      <c r="AM190" s="142" t="s">
        <v>81</v>
      </c>
      <c r="AN190" s="142" t="s">
        <v>81</v>
      </c>
      <c r="AO190" s="142" t="s">
        <v>78</v>
      </c>
      <c r="AP190" s="142" t="s">
        <v>81</v>
      </c>
      <c r="AQ190" s="142">
        <v>1</v>
      </c>
      <c r="AR190" s="142" t="s">
        <v>74</v>
      </c>
    </row>
    <row r="191" spans="1:44" s="143" customFormat="1" ht="25.05" customHeight="1" x14ac:dyDescent="0.3">
      <c r="A191" s="126" t="s">
        <v>1334</v>
      </c>
      <c r="B191" s="125" t="s">
        <v>1335</v>
      </c>
      <c r="C191" s="139">
        <v>2015</v>
      </c>
      <c r="D191" s="145" t="s">
        <v>87</v>
      </c>
      <c r="E191" s="139" t="s">
        <v>1336</v>
      </c>
      <c r="F191" s="139" t="s">
        <v>1848</v>
      </c>
      <c r="G191" s="139" t="s">
        <v>87</v>
      </c>
      <c r="H191" s="139" t="s">
        <v>596</v>
      </c>
      <c r="I191" s="126" t="s">
        <v>101</v>
      </c>
      <c r="J191" s="126" t="s">
        <v>676</v>
      </c>
      <c r="K191" s="126" t="s">
        <v>81</v>
      </c>
      <c r="L191" s="140" t="s">
        <v>74</v>
      </c>
      <c r="M191" s="140">
        <v>10000000</v>
      </c>
      <c r="N191" s="126">
        <v>10000000</v>
      </c>
      <c r="O191" s="126">
        <v>14488100</v>
      </c>
      <c r="P191" s="126">
        <v>10000000</v>
      </c>
      <c r="Q191" s="126">
        <v>10000000</v>
      </c>
      <c r="R191" s="126">
        <v>14488100</v>
      </c>
      <c r="S191" s="126">
        <v>10000000</v>
      </c>
      <c r="T191" s="126">
        <v>10000000</v>
      </c>
      <c r="U191" s="127">
        <v>14488100</v>
      </c>
      <c r="V191" s="140" t="s">
        <v>81</v>
      </c>
      <c r="W191" s="126" t="s">
        <v>78</v>
      </c>
      <c r="X191" s="126" t="s">
        <v>81</v>
      </c>
      <c r="Y191" s="126" t="s">
        <v>78</v>
      </c>
      <c r="Z191" s="126" t="s">
        <v>81</v>
      </c>
      <c r="AA191" s="126">
        <v>0</v>
      </c>
      <c r="AB191" s="141" t="s">
        <v>78</v>
      </c>
      <c r="AC191" s="126">
        <v>0</v>
      </c>
      <c r="AD191" s="139" t="s">
        <v>78</v>
      </c>
      <c r="AE191" s="126">
        <v>0</v>
      </c>
      <c r="AF191" s="126" t="s">
        <v>78</v>
      </c>
      <c r="AG191" s="126">
        <v>0</v>
      </c>
      <c r="AH191" s="142" t="s">
        <v>81</v>
      </c>
      <c r="AI191" s="142" t="s">
        <v>78</v>
      </c>
      <c r="AJ191" s="142" t="s">
        <v>81</v>
      </c>
      <c r="AK191" s="142" t="s">
        <v>78</v>
      </c>
      <c r="AL191" s="142" t="s">
        <v>78</v>
      </c>
      <c r="AM191" s="142" t="s">
        <v>81</v>
      </c>
      <c r="AN191" s="142" t="s">
        <v>81</v>
      </c>
      <c r="AO191" s="142" t="s">
        <v>78</v>
      </c>
      <c r="AP191" s="142" t="s">
        <v>81</v>
      </c>
      <c r="AQ191" s="142">
        <v>1</v>
      </c>
      <c r="AR191" s="142" t="s">
        <v>74</v>
      </c>
    </row>
    <row r="192" spans="1:44" s="143" customFormat="1" ht="25.05" customHeight="1" x14ac:dyDescent="0.3">
      <c r="A192" s="126" t="s">
        <v>1099</v>
      </c>
      <c r="B192" s="125" t="s">
        <v>1100</v>
      </c>
      <c r="C192" s="139">
        <v>2016</v>
      </c>
      <c r="D192" s="139" t="s">
        <v>87</v>
      </c>
      <c r="E192" s="139" t="s">
        <v>1101</v>
      </c>
      <c r="F192" s="139" t="s">
        <v>1848</v>
      </c>
      <c r="G192" s="139" t="s">
        <v>87</v>
      </c>
      <c r="H192" s="139" t="s">
        <v>585</v>
      </c>
      <c r="I192" s="126" t="s">
        <v>228</v>
      </c>
      <c r="J192" s="126" t="s">
        <v>679</v>
      </c>
      <c r="K192" s="126" t="s">
        <v>75</v>
      </c>
      <c r="L192" s="140" t="s">
        <v>126</v>
      </c>
      <c r="M192" s="140">
        <v>2577778</v>
      </c>
      <c r="N192" s="126">
        <v>1860231.0695445724</v>
      </c>
      <c r="O192" s="126">
        <v>2577778</v>
      </c>
      <c r="P192" s="126">
        <v>2013466.5</v>
      </c>
      <c r="Q192" s="126">
        <v>2013466.5</v>
      </c>
      <c r="R192" s="126">
        <v>2790120.9330449998</v>
      </c>
      <c r="S192" s="126">
        <v>0</v>
      </c>
      <c r="T192" s="126">
        <v>0</v>
      </c>
      <c r="U192" s="127">
        <v>0</v>
      </c>
      <c r="V192" s="140" t="s">
        <v>81</v>
      </c>
      <c r="W192" s="126" t="s">
        <v>78</v>
      </c>
      <c r="X192" s="126" t="s">
        <v>81</v>
      </c>
      <c r="Y192" s="126" t="s">
        <v>78</v>
      </c>
      <c r="Z192" s="126" t="s">
        <v>81</v>
      </c>
      <c r="AA192" s="126">
        <v>0</v>
      </c>
      <c r="AB192" s="141" t="s">
        <v>78</v>
      </c>
      <c r="AC192" s="126">
        <v>0</v>
      </c>
      <c r="AD192" s="139" t="s">
        <v>78</v>
      </c>
      <c r="AE192" s="126">
        <v>0</v>
      </c>
      <c r="AF192" s="126" t="s">
        <v>78</v>
      </c>
      <c r="AG192" s="126">
        <v>0</v>
      </c>
      <c r="AH192" s="142" t="s">
        <v>81</v>
      </c>
      <c r="AI192" s="142" t="s">
        <v>78</v>
      </c>
      <c r="AJ192" s="142" t="s">
        <v>81</v>
      </c>
      <c r="AK192" s="142" t="s">
        <v>78</v>
      </c>
      <c r="AL192" s="142" t="s">
        <v>78</v>
      </c>
      <c r="AM192" s="142" t="s">
        <v>81</v>
      </c>
      <c r="AN192" s="142" t="s">
        <v>81</v>
      </c>
      <c r="AO192" s="142" t="s">
        <v>78</v>
      </c>
      <c r="AP192" s="142" t="s">
        <v>81</v>
      </c>
      <c r="AQ192" s="142">
        <v>1</v>
      </c>
      <c r="AR192" s="142" t="s">
        <v>126</v>
      </c>
    </row>
    <row r="193" spans="1:44" s="143" customFormat="1" ht="25.05" customHeight="1" x14ac:dyDescent="0.3">
      <c r="A193" s="126" t="s">
        <v>357</v>
      </c>
      <c r="B193" s="126" t="s">
        <v>358</v>
      </c>
      <c r="C193" s="139">
        <v>2021</v>
      </c>
      <c r="D193" s="139" t="s">
        <v>195</v>
      </c>
      <c r="E193" s="139">
        <v>0</v>
      </c>
      <c r="F193" s="139" t="s">
        <v>536</v>
      </c>
      <c r="G193" s="139" t="s">
        <v>522</v>
      </c>
      <c r="H193" s="139" t="s">
        <v>359</v>
      </c>
      <c r="I193" s="126" t="s">
        <v>115</v>
      </c>
      <c r="J193" s="126" t="s">
        <v>73</v>
      </c>
      <c r="K193" s="126" t="s">
        <v>81</v>
      </c>
      <c r="L193" s="126" t="s">
        <v>74</v>
      </c>
      <c r="M193" s="126">
        <v>34170000</v>
      </c>
      <c r="N193" s="126">
        <v>34170000</v>
      </c>
      <c r="O193" s="126">
        <v>49214025.899999999</v>
      </c>
      <c r="P193" s="126" t="s">
        <v>659</v>
      </c>
      <c r="Q193" s="126" t="s">
        <v>659</v>
      </c>
      <c r="R193" s="126" t="s">
        <v>659</v>
      </c>
      <c r="S193" s="126">
        <v>22000000</v>
      </c>
      <c r="T193" s="126">
        <v>22000000</v>
      </c>
      <c r="U193" s="127">
        <v>31685940</v>
      </c>
      <c r="V193" s="126" t="s">
        <v>75</v>
      </c>
      <c r="W193" s="126" t="s">
        <v>360</v>
      </c>
      <c r="X193" s="126" t="s">
        <v>75</v>
      </c>
      <c r="Y193" s="126" t="s">
        <v>361</v>
      </c>
      <c r="Z193" s="126" t="s">
        <v>75</v>
      </c>
      <c r="AA193" s="126">
        <v>1</v>
      </c>
      <c r="AB193" s="141" t="s">
        <v>362</v>
      </c>
      <c r="AC193" s="126">
        <v>4</v>
      </c>
      <c r="AD193" s="139" t="s">
        <v>363</v>
      </c>
      <c r="AE193" s="126">
        <v>6</v>
      </c>
      <c r="AF193" s="126" t="s">
        <v>364</v>
      </c>
      <c r="AG193" s="126">
        <v>11</v>
      </c>
      <c r="AH193" s="142" t="s">
        <v>81</v>
      </c>
      <c r="AI193" s="142">
        <v>0</v>
      </c>
      <c r="AJ193" s="142" t="s">
        <v>75</v>
      </c>
      <c r="AK193" s="142" t="s">
        <v>365</v>
      </c>
      <c r="AL193" s="142" t="s">
        <v>121</v>
      </c>
      <c r="AM193" s="142" t="s">
        <v>75</v>
      </c>
      <c r="AN193" s="142" t="s">
        <v>75</v>
      </c>
      <c r="AO193" s="142" t="s">
        <v>110</v>
      </c>
      <c r="AP193" s="142" t="s">
        <v>75</v>
      </c>
      <c r="AQ193" s="142">
        <v>1</v>
      </c>
      <c r="AR193" s="142" t="s">
        <v>74</v>
      </c>
    </row>
    <row r="194" spans="1:44" s="143" customFormat="1" ht="25.05" customHeight="1" x14ac:dyDescent="0.3">
      <c r="A194" s="126" t="s">
        <v>252</v>
      </c>
      <c r="B194" s="126" t="s">
        <v>253</v>
      </c>
      <c r="C194" s="139">
        <v>2020</v>
      </c>
      <c r="D194" s="139" t="s">
        <v>254</v>
      </c>
      <c r="E194" s="139">
        <v>0</v>
      </c>
      <c r="F194" s="139" t="s">
        <v>555</v>
      </c>
      <c r="G194" s="139" t="s">
        <v>522</v>
      </c>
      <c r="H194" s="139" t="s">
        <v>255</v>
      </c>
      <c r="I194" s="126" t="s">
        <v>256</v>
      </c>
      <c r="J194" s="126" t="s">
        <v>116</v>
      </c>
      <c r="K194" s="126" t="s">
        <v>81</v>
      </c>
      <c r="L194" s="126" t="s">
        <v>104</v>
      </c>
      <c r="M194" s="126">
        <v>124190000</v>
      </c>
      <c r="N194" s="126">
        <v>100487102.3076674</v>
      </c>
      <c r="O194" s="126">
        <v>138956579.68411171</v>
      </c>
      <c r="P194" s="126" t="s">
        <v>659</v>
      </c>
      <c r="Q194" s="126" t="s">
        <v>659</v>
      </c>
      <c r="R194" s="126" t="s">
        <v>659</v>
      </c>
      <c r="S194" s="126">
        <v>121502000</v>
      </c>
      <c r="T194" s="126">
        <v>98312133.864129201</v>
      </c>
      <c r="U194" s="127">
        <v>135948968.0713338</v>
      </c>
      <c r="V194" s="126" t="s">
        <v>75</v>
      </c>
      <c r="W194" s="126" t="s">
        <v>257</v>
      </c>
      <c r="X194" s="126" t="s">
        <v>75</v>
      </c>
      <c r="Y194" s="126" t="s">
        <v>258</v>
      </c>
      <c r="Z194" s="126" t="s">
        <v>75</v>
      </c>
      <c r="AA194" s="126">
        <v>0</v>
      </c>
      <c r="AB194" s="141" t="s">
        <v>78</v>
      </c>
      <c r="AC194" s="126">
        <v>3</v>
      </c>
      <c r="AD194" s="139" t="s">
        <v>259</v>
      </c>
      <c r="AE194" s="126">
        <v>0</v>
      </c>
      <c r="AF194" s="126" t="s">
        <v>78</v>
      </c>
      <c r="AG194" s="126">
        <v>3</v>
      </c>
      <c r="AH194" s="142" t="s">
        <v>75</v>
      </c>
      <c r="AI194" s="142" t="s">
        <v>260</v>
      </c>
      <c r="AJ194" s="142" t="s">
        <v>75</v>
      </c>
      <c r="AK194" s="142" t="s">
        <v>261</v>
      </c>
      <c r="AL194" s="142" t="s">
        <v>132</v>
      </c>
      <c r="AM194" s="142" t="s">
        <v>75</v>
      </c>
      <c r="AN194" s="142" t="s">
        <v>75</v>
      </c>
      <c r="AO194" s="142" t="s">
        <v>110</v>
      </c>
      <c r="AP194" s="142" t="s">
        <v>75</v>
      </c>
      <c r="AQ194" s="142">
        <v>1</v>
      </c>
      <c r="AR194" s="142" t="s">
        <v>104</v>
      </c>
    </row>
    <row r="195" spans="1:44" s="143" customFormat="1" ht="25.05" customHeight="1" x14ac:dyDescent="0.3">
      <c r="A195" s="126" t="s">
        <v>971</v>
      </c>
      <c r="B195" s="125" t="s">
        <v>972</v>
      </c>
      <c r="C195" s="139">
        <v>2017</v>
      </c>
      <c r="D195" s="139" t="s">
        <v>445</v>
      </c>
      <c r="E195" s="139" t="s">
        <v>78</v>
      </c>
      <c r="F195" s="139" t="s">
        <v>552</v>
      </c>
      <c r="G195" s="139" t="s">
        <v>519</v>
      </c>
      <c r="H195" s="139" t="s">
        <v>598</v>
      </c>
      <c r="I195" s="126" t="s">
        <v>101</v>
      </c>
      <c r="J195" s="126" t="s">
        <v>679</v>
      </c>
      <c r="K195" s="126" t="s">
        <v>75</v>
      </c>
      <c r="L195" s="140" t="s">
        <v>126</v>
      </c>
      <c r="M195" s="140">
        <v>1000000</v>
      </c>
      <c r="N195" s="126">
        <v>743864.97362998663</v>
      </c>
      <c r="O195" s="126">
        <v>1000000</v>
      </c>
      <c r="P195" s="126">
        <v>723227.91</v>
      </c>
      <c r="Q195" s="126">
        <v>723227.91</v>
      </c>
      <c r="R195" s="126">
        <v>972256.97625030007</v>
      </c>
      <c r="S195" s="126">
        <v>0</v>
      </c>
      <c r="T195" s="126">
        <v>0</v>
      </c>
      <c r="U195" s="127">
        <v>0</v>
      </c>
      <c r="V195" s="140" t="s">
        <v>81</v>
      </c>
      <c r="W195" s="126" t="s">
        <v>78</v>
      </c>
      <c r="X195" s="126" t="s">
        <v>81</v>
      </c>
      <c r="Y195" s="126" t="s">
        <v>78</v>
      </c>
      <c r="Z195" s="126" t="s">
        <v>81</v>
      </c>
      <c r="AA195" s="126">
        <v>0</v>
      </c>
      <c r="AB195" s="141" t="s">
        <v>78</v>
      </c>
      <c r="AC195" s="126">
        <v>0</v>
      </c>
      <c r="AD195" s="139" t="s">
        <v>78</v>
      </c>
      <c r="AE195" s="126">
        <v>0</v>
      </c>
      <c r="AF195" s="126" t="s">
        <v>78</v>
      </c>
      <c r="AG195" s="126">
        <v>0</v>
      </c>
      <c r="AH195" s="142" t="s">
        <v>81</v>
      </c>
      <c r="AI195" s="142" t="s">
        <v>78</v>
      </c>
      <c r="AJ195" s="142" t="s">
        <v>81</v>
      </c>
      <c r="AK195" s="142" t="s">
        <v>78</v>
      </c>
      <c r="AL195" s="142" t="s">
        <v>78</v>
      </c>
      <c r="AM195" s="142" t="s">
        <v>81</v>
      </c>
      <c r="AN195" s="142" t="s">
        <v>81</v>
      </c>
      <c r="AO195" s="142" t="s">
        <v>78</v>
      </c>
      <c r="AP195" s="142" t="s">
        <v>81</v>
      </c>
      <c r="AQ195" s="142">
        <v>1</v>
      </c>
      <c r="AR195" s="142" t="s">
        <v>126</v>
      </c>
    </row>
    <row r="196" spans="1:44" s="143" customFormat="1" ht="25.05" customHeight="1" x14ac:dyDescent="0.3">
      <c r="A196" s="126" t="s">
        <v>975</v>
      </c>
      <c r="B196" s="125" t="s">
        <v>976</v>
      </c>
      <c r="C196" s="139">
        <v>2017</v>
      </c>
      <c r="D196" s="139" t="s">
        <v>501</v>
      </c>
      <c r="E196" s="139" t="s">
        <v>78</v>
      </c>
      <c r="F196" s="139" t="s">
        <v>551</v>
      </c>
      <c r="G196" s="139" t="s">
        <v>519</v>
      </c>
      <c r="H196" s="139" t="s">
        <v>598</v>
      </c>
      <c r="I196" s="126" t="s">
        <v>101</v>
      </c>
      <c r="J196" s="126" t="s">
        <v>679</v>
      </c>
      <c r="K196" s="126" t="s">
        <v>75</v>
      </c>
      <c r="L196" s="140" t="s">
        <v>126</v>
      </c>
      <c r="M196" s="140">
        <v>1000000</v>
      </c>
      <c r="N196" s="126">
        <v>743864.97362998663</v>
      </c>
      <c r="O196" s="126">
        <v>1000000</v>
      </c>
      <c r="P196" s="126">
        <v>723227.91</v>
      </c>
      <c r="Q196" s="126">
        <v>723227.91</v>
      </c>
      <c r="R196" s="126">
        <v>972256.97625030007</v>
      </c>
      <c r="S196" s="126">
        <v>0</v>
      </c>
      <c r="T196" s="126">
        <v>0</v>
      </c>
      <c r="U196" s="127">
        <v>0</v>
      </c>
      <c r="V196" s="140" t="s">
        <v>81</v>
      </c>
      <c r="W196" s="126" t="s">
        <v>78</v>
      </c>
      <c r="X196" s="126" t="s">
        <v>81</v>
      </c>
      <c r="Y196" s="126" t="s">
        <v>78</v>
      </c>
      <c r="Z196" s="126" t="s">
        <v>81</v>
      </c>
      <c r="AA196" s="126">
        <v>0</v>
      </c>
      <c r="AB196" s="141" t="s">
        <v>78</v>
      </c>
      <c r="AC196" s="126">
        <v>0</v>
      </c>
      <c r="AD196" s="139" t="s">
        <v>78</v>
      </c>
      <c r="AE196" s="126">
        <v>0</v>
      </c>
      <c r="AF196" s="126" t="s">
        <v>78</v>
      </c>
      <c r="AG196" s="126">
        <v>0</v>
      </c>
      <c r="AH196" s="142" t="s">
        <v>81</v>
      </c>
      <c r="AI196" s="142" t="s">
        <v>78</v>
      </c>
      <c r="AJ196" s="142" t="s">
        <v>81</v>
      </c>
      <c r="AK196" s="142" t="s">
        <v>78</v>
      </c>
      <c r="AL196" s="142" t="s">
        <v>78</v>
      </c>
      <c r="AM196" s="142" t="s">
        <v>81</v>
      </c>
      <c r="AN196" s="142" t="s">
        <v>81</v>
      </c>
      <c r="AO196" s="142" t="s">
        <v>78</v>
      </c>
      <c r="AP196" s="142" t="s">
        <v>81</v>
      </c>
      <c r="AQ196" s="142">
        <v>1</v>
      </c>
      <c r="AR196" s="142" t="s">
        <v>126</v>
      </c>
    </row>
    <row r="197" spans="1:44" s="143" customFormat="1" ht="25.05" customHeight="1" x14ac:dyDescent="0.3">
      <c r="A197" s="126" t="s">
        <v>1284</v>
      </c>
      <c r="B197" s="125" t="s">
        <v>1285</v>
      </c>
      <c r="C197" s="139">
        <v>2016</v>
      </c>
      <c r="D197" s="139" t="s">
        <v>145</v>
      </c>
      <c r="E197" s="139" t="s">
        <v>78</v>
      </c>
      <c r="F197" s="139" t="s">
        <v>543</v>
      </c>
      <c r="G197" s="139" t="s">
        <v>522</v>
      </c>
      <c r="H197" s="139" t="s">
        <v>590</v>
      </c>
      <c r="I197" s="126" t="s">
        <v>256</v>
      </c>
      <c r="J197" s="126" t="s">
        <v>676</v>
      </c>
      <c r="K197" s="126" t="s">
        <v>81</v>
      </c>
      <c r="L197" s="140" t="s">
        <v>74</v>
      </c>
      <c r="M197" s="140">
        <v>53818794.869999997</v>
      </c>
      <c r="N197" s="126">
        <v>53818794.869999997</v>
      </c>
      <c r="O197" s="126">
        <v>74578318.615205094</v>
      </c>
      <c r="P197" s="126">
        <v>51636213.909999996</v>
      </c>
      <c r="Q197" s="126">
        <v>51636213.909999996</v>
      </c>
      <c r="R197" s="126">
        <v>71553850.70150429</v>
      </c>
      <c r="S197" s="126">
        <v>51636213.909999996</v>
      </c>
      <c r="T197" s="126">
        <v>51636213.909999996</v>
      </c>
      <c r="U197" s="127">
        <v>71553850.70150429</v>
      </c>
      <c r="V197" s="140" t="s">
        <v>75</v>
      </c>
      <c r="W197" s="126" t="s">
        <v>1286</v>
      </c>
      <c r="X197" s="126" t="s">
        <v>81</v>
      </c>
      <c r="Y197" s="126" t="s">
        <v>78</v>
      </c>
      <c r="Z197" s="126" t="s">
        <v>75</v>
      </c>
      <c r="AA197" s="126">
        <v>999</v>
      </c>
      <c r="AB197" s="141" t="s">
        <v>1287</v>
      </c>
      <c r="AC197" s="126">
        <v>999</v>
      </c>
      <c r="AD197" s="139" t="s">
        <v>1288</v>
      </c>
      <c r="AE197" s="126">
        <v>0</v>
      </c>
      <c r="AF197" s="126" t="s">
        <v>78</v>
      </c>
      <c r="AG197" s="126">
        <v>2</v>
      </c>
      <c r="AH197" s="142" t="s">
        <v>81</v>
      </c>
      <c r="AI197" s="142" t="s">
        <v>78</v>
      </c>
      <c r="AJ197" s="142" t="s">
        <v>75</v>
      </c>
      <c r="AK197" s="142" t="s">
        <v>256</v>
      </c>
      <c r="AL197" s="142" t="s">
        <v>796</v>
      </c>
      <c r="AM197" s="142" t="s">
        <v>81</v>
      </c>
      <c r="AN197" s="142" t="s">
        <v>81</v>
      </c>
      <c r="AO197" s="142" t="s">
        <v>78</v>
      </c>
      <c r="AP197" s="142" t="s">
        <v>81</v>
      </c>
      <c r="AQ197" s="142">
        <v>1</v>
      </c>
      <c r="AR197" s="142" t="s">
        <v>74</v>
      </c>
    </row>
    <row r="198" spans="1:44" s="143" customFormat="1" ht="25.05" customHeight="1" x14ac:dyDescent="0.3">
      <c r="A198" s="126" t="s">
        <v>927</v>
      </c>
      <c r="B198" s="125" t="s">
        <v>928</v>
      </c>
      <c r="C198" s="139">
        <v>2017</v>
      </c>
      <c r="D198" s="139" t="s">
        <v>353</v>
      </c>
      <c r="E198" s="139" t="s">
        <v>78</v>
      </c>
      <c r="F198" s="139" t="s">
        <v>78</v>
      </c>
      <c r="G198" s="139" t="s">
        <v>519</v>
      </c>
      <c r="H198" s="139" t="s">
        <v>228</v>
      </c>
      <c r="I198" s="126" t="s">
        <v>228</v>
      </c>
      <c r="J198" s="126" t="s">
        <v>689</v>
      </c>
      <c r="K198" s="126" t="s">
        <v>81</v>
      </c>
      <c r="L198" s="140" t="s">
        <v>616</v>
      </c>
      <c r="M198" s="140">
        <v>1420000000</v>
      </c>
      <c r="N198" s="126">
        <v>77188595.656782538</v>
      </c>
      <c r="O198" s="126">
        <v>103766944.79928248</v>
      </c>
      <c r="P198" s="126">
        <v>50467582.149999999</v>
      </c>
      <c r="Q198" s="126">
        <v>50467582.149999999</v>
      </c>
      <c r="R198" s="126">
        <v>67845084.711709499</v>
      </c>
      <c r="S198" s="126">
        <v>50467582.149999999</v>
      </c>
      <c r="T198" s="126">
        <v>50467582.149999999</v>
      </c>
      <c r="U198" s="127">
        <v>67845084.711709499</v>
      </c>
      <c r="V198" s="140" t="s">
        <v>75</v>
      </c>
      <c r="W198" s="126" t="s">
        <v>929</v>
      </c>
      <c r="X198" s="126" t="s">
        <v>75</v>
      </c>
      <c r="Y198" s="126" t="s">
        <v>930</v>
      </c>
      <c r="Z198" s="126" t="s">
        <v>75</v>
      </c>
      <c r="AA198" s="126">
        <v>999</v>
      </c>
      <c r="AB198" s="141" t="s">
        <v>931</v>
      </c>
      <c r="AC198" s="126">
        <v>999</v>
      </c>
      <c r="AD198" s="139" t="s">
        <v>932</v>
      </c>
      <c r="AE198" s="126">
        <v>0</v>
      </c>
      <c r="AF198" s="126" t="s">
        <v>78</v>
      </c>
      <c r="AG198" s="126">
        <v>2</v>
      </c>
      <c r="AH198" s="142" t="s">
        <v>75</v>
      </c>
      <c r="AI198" s="142" t="s">
        <v>933</v>
      </c>
      <c r="AJ198" s="142" t="s">
        <v>75</v>
      </c>
      <c r="AK198" s="142" t="s">
        <v>228</v>
      </c>
      <c r="AL198" s="142" t="s">
        <v>934</v>
      </c>
      <c r="AM198" s="142" t="s">
        <v>75</v>
      </c>
      <c r="AN198" s="142" t="s">
        <v>81</v>
      </c>
      <c r="AO198" s="142" t="s">
        <v>78</v>
      </c>
      <c r="AP198" s="142" t="s">
        <v>75</v>
      </c>
      <c r="AQ198" s="142">
        <v>1</v>
      </c>
      <c r="AR198" s="142" t="s">
        <v>616</v>
      </c>
    </row>
    <row r="199" spans="1:44" s="143" customFormat="1" ht="25.05" customHeight="1" x14ac:dyDescent="0.3">
      <c r="A199" s="126" t="s">
        <v>1243</v>
      </c>
      <c r="B199" s="125" t="s">
        <v>1244</v>
      </c>
      <c r="C199" s="139">
        <v>2016</v>
      </c>
      <c r="D199" s="139" t="s">
        <v>226</v>
      </c>
      <c r="E199" s="139" t="s">
        <v>78</v>
      </c>
      <c r="F199" s="139" t="s">
        <v>534</v>
      </c>
      <c r="G199" s="139" t="s">
        <v>518</v>
      </c>
      <c r="H199" s="139" t="s">
        <v>581</v>
      </c>
      <c r="I199" s="126" t="s">
        <v>228</v>
      </c>
      <c r="J199" s="126" t="s">
        <v>689</v>
      </c>
      <c r="K199" s="126" t="s">
        <v>81</v>
      </c>
      <c r="L199" s="140" t="s">
        <v>74</v>
      </c>
      <c r="M199" s="140">
        <v>440000</v>
      </c>
      <c r="N199" s="126">
        <v>440000</v>
      </c>
      <c r="O199" s="126">
        <v>609721.19999999995</v>
      </c>
      <c r="P199" s="126">
        <v>400000</v>
      </c>
      <c r="Q199" s="126">
        <v>400000</v>
      </c>
      <c r="R199" s="126">
        <v>554292</v>
      </c>
      <c r="S199" s="126">
        <v>400000</v>
      </c>
      <c r="T199" s="126">
        <v>400000</v>
      </c>
      <c r="U199" s="127">
        <v>554292</v>
      </c>
      <c r="V199" s="140" t="s">
        <v>81</v>
      </c>
      <c r="W199" s="126" t="s">
        <v>78</v>
      </c>
      <c r="X199" s="126" t="s">
        <v>81</v>
      </c>
      <c r="Y199" s="126" t="s">
        <v>78</v>
      </c>
      <c r="Z199" s="126" t="s">
        <v>81</v>
      </c>
      <c r="AA199" s="126">
        <v>0</v>
      </c>
      <c r="AB199" s="141" t="s">
        <v>78</v>
      </c>
      <c r="AC199" s="126">
        <v>0</v>
      </c>
      <c r="AD199" s="139" t="s">
        <v>78</v>
      </c>
      <c r="AE199" s="126">
        <v>0</v>
      </c>
      <c r="AF199" s="126" t="s">
        <v>78</v>
      </c>
      <c r="AG199" s="126">
        <v>0</v>
      </c>
      <c r="AH199" s="142" t="s">
        <v>81</v>
      </c>
      <c r="AI199" s="142" t="s">
        <v>78</v>
      </c>
      <c r="AJ199" s="142" t="s">
        <v>81</v>
      </c>
      <c r="AK199" s="142" t="s">
        <v>78</v>
      </c>
      <c r="AL199" s="142" t="s">
        <v>78</v>
      </c>
      <c r="AM199" s="142" t="s">
        <v>81</v>
      </c>
      <c r="AN199" s="142" t="s">
        <v>81</v>
      </c>
      <c r="AO199" s="142" t="s">
        <v>78</v>
      </c>
      <c r="AP199" s="142" t="s">
        <v>81</v>
      </c>
      <c r="AQ199" s="142">
        <v>1</v>
      </c>
      <c r="AR199" s="142" t="s">
        <v>74</v>
      </c>
    </row>
    <row r="200" spans="1:44" s="143" customFormat="1" ht="25.05" customHeight="1" x14ac:dyDescent="0.3">
      <c r="A200" s="126" t="s">
        <v>1253</v>
      </c>
      <c r="B200" s="125" t="s">
        <v>1254</v>
      </c>
      <c r="C200" s="139">
        <v>2016</v>
      </c>
      <c r="D200" s="139" t="s">
        <v>282</v>
      </c>
      <c r="E200" s="139" t="s">
        <v>78</v>
      </c>
      <c r="F200" s="139" t="s">
        <v>553</v>
      </c>
      <c r="G200" s="139" t="s">
        <v>520</v>
      </c>
      <c r="H200" s="139" t="s">
        <v>228</v>
      </c>
      <c r="I200" s="126" t="s">
        <v>228</v>
      </c>
      <c r="J200" s="126" t="s">
        <v>689</v>
      </c>
      <c r="K200" s="126" t="s">
        <v>81</v>
      </c>
      <c r="L200" s="140" t="s">
        <v>126</v>
      </c>
      <c r="M200" s="140">
        <v>1000000</v>
      </c>
      <c r="N200" s="126">
        <v>721641.30097493739</v>
      </c>
      <c r="O200" s="126">
        <v>999999.99999999988</v>
      </c>
      <c r="P200" s="126">
        <v>723227.91</v>
      </c>
      <c r="Q200" s="126">
        <v>723227.91</v>
      </c>
      <c r="R200" s="126">
        <v>1002198.6117243</v>
      </c>
      <c r="S200" s="126">
        <v>723227.91</v>
      </c>
      <c r="T200" s="126">
        <v>723227.91</v>
      </c>
      <c r="U200" s="127">
        <v>1002198.6117243</v>
      </c>
      <c r="V200" s="140" t="s">
        <v>75</v>
      </c>
      <c r="W200" s="126" t="s">
        <v>1255</v>
      </c>
      <c r="X200" s="126" t="s">
        <v>81</v>
      </c>
      <c r="Y200" s="126" t="s">
        <v>78</v>
      </c>
      <c r="Z200" s="126" t="s">
        <v>75</v>
      </c>
      <c r="AA200" s="126">
        <v>999</v>
      </c>
      <c r="AB200" s="141" t="s">
        <v>1256</v>
      </c>
      <c r="AC200" s="126">
        <v>999</v>
      </c>
      <c r="AD200" s="139" t="s">
        <v>1257</v>
      </c>
      <c r="AE200" s="126">
        <v>999</v>
      </c>
      <c r="AF200" s="126" t="s">
        <v>1258</v>
      </c>
      <c r="AG200" s="126">
        <v>3</v>
      </c>
      <c r="AH200" s="142" t="s">
        <v>81</v>
      </c>
      <c r="AI200" s="142" t="s">
        <v>78</v>
      </c>
      <c r="AJ200" s="142" t="s">
        <v>75</v>
      </c>
      <c r="AK200" s="142" t="s">
        <v>256</v>
      </c>
      <c r="AL200" s="142" t="s">
        <v>78</v>
      </c>
      <c r="AM200" s="142" t="s">
        <v>81</v>
      </c>
      <c r="AN200" s="142" t="s">
        <v>81</v>
      </c>
      <c r="AO200" s="142" t="s">
        <v>78</v>
      </c>
      <c r="AP200" s="142" t="s">
        <v>81</v>
      </c>
      <c r="AQ200" s="142">
        <v>1</v>
      </c>
      <c r="AR200" s="142" t="s">
        <v>126</v>
      </c>
    </row>
    <row r="201" spans="1:44" s="143" customFormat="1" ht="25.05" customHeight="1" x14ac:dyDescent="0.3">
      <c r="A201" s="126" t="s">
        <v>876</v>
      </c>
      <c r="B201" s="125" t="s">
        <v>877</v>
      </c>
      <c r="C201" s="139">
        <v>2018</v>
      </c>
      <c r="D201" s="139" t="s">
        <v>87</v>
      </c>
      <c r="E201" s="139" t="s">
        <v>184</v>
      </c>
      <c r="F201" s="139" t="s">
        <v>1848</v>
      </c>
      <c r="G201" s="139" t="s">
        <v>87</v>
      </c>
      <c r="H201" s="139" t="s">
        <v>593</v>
      </c>
      <c r="I201" s="126" t="s">
        <v>101</v>
      </c>
      <c r="J201" s="126" t="s">
        <v>676</v>
      </c>
      <c r="K201" s="126" t="s">
        <v>75</v>
      </c>
      <c r="L201" s="140" t="s">
        <v>126</v>
      </c>
      <c r="M201" s="140">
        <v>4141429</v>
      </c>
      <c r="N201" s="126">
        <v>2908041.4007148226</v>
      </c>
      <c r="O201" s="126">
        <v>4141429</v>
      </c>
      <c r="P201" s="126">
        <v>2995197.04</v>
      </c>
      <c r="Q201" s="126">
        <v>2995197.04</v>
      </c>
      <c r="R201" s="126">
        <v>4265549.9605751997</v>
      </c>
      <c r="S201" s="126">
        <v>0</v>
      </c>
      <c r="T201" s="126">
        <v>0</v>
      </c>
      <c r="U201" s="127">
        <v>0</v>
      </c>
      <c r="V201" s="140" t="s">
        <v>81</v>
      </c>
      <c r="W201" s="126" t="s">
        <v>78</v>
      </c>
      <c r="X201" s="126" t="s">
        <v>81</v>
      </c>
      <c r="Y201" s="126" t="s">
        <v>78</v>
      </c>
      <c r="Z201" s="126" t="s">
        <v>81</v>
      </c>
      <c r="AA201" s="126">
        <v>0</v>
      </c>
      <c r="AB201" s="141" t="s">
        <v>78</v>
      </c>
      <c r="AC201" s="126">
        <v>0</v>
      </c>
      <c r="AD201" s="139" t="s">
        <v>78</v>
      </c>
      <c r="AE201" s="126">
        <v>0</v>
      </c>
      <c r="AF201" s="126" t="s">
        <v>78</v>
      </c>
      <c r="AG201" s="126">
        <v>0</v>
      </c>
      <c r="AH201" s="142" t="s">
        <v>81</v>
      </c>
      <c r="AI201" s="142" t="s">
        <v>78</v>
      </c>
      <c r="AJ201" s="142" t="s">
        <v>81</v>
      </c>
      <c r="AK201" s="142" t="s">
        <v>78</v>
      </c>
      <c r="AL201" s="142" t="s">
        <v>78</v>
      </c>
      <c r="AM201" s="142" t="s">
        <v>81</v>
      </c>
      <c r="AN201" s="142" t="s">
        <v>81</v>
      </c>
      <c r="AO201" s="142" t="s">
        <v>78</v>
      </c>
      <c r="AP201" s="142" t="s">
        <v>81</v>
      </c>
      <c r="AQ201" s="142">
        <v>1</v>
      </c>
      <c r="AR201" s="142" t="s">
        <v>126</v>
      </c>
    </row>
    <row r="202" spans="1:44" s="143" customFormat="1" ht="25.05" customHeight="1" x14ac:dyDescent="0.3">
      <c r="A202" s="126" t="s">
        <v>1699</v>
      </c>
      <c r="B202" s="126" t="s">
        <v>1700</v>
      </c>
      <c r="C202" s="139">
        <v>2019</v>
      </c>
      <c r="D202" s="139" t="s">
        <v>184</v>
      </c>
      <c r="E202" s="139" t="s">
        <v>78</v>
      </c>
      <c r="F202" s="139" t="s">
        <v>554</v>
      </c>
      <c r="G202" s="139" t="s">
        <v>520</v>
      </c>
      <c r="H202" s="139" t="s">
        <v>587</v>
      </c>
      <c r="I202" s="126" t="s">
        <v>256</v>
      </c>
      <c r="J202" s="126" t="s">
        <v>679</v>
      </c>
      <c r="K202" s="126" t="s">
        <v>81</v>
      </c>
      <c r="L202" s="126" t="s">
        <v>126</v>
      </c>
      <c r="M202" s="126">
        <v>222900000</v>
      </c>
      <c r="N202" s="126">
        <v>160268624.30704853</v>
      </c>
      <c r="O202" s="126">
        <v>222900000.00000003</v>
      </c>
      <c r="P202" s="126">
        <v>76026762.590000004</v>
      </c>
      <c r="Q202" s="126">
        <v>76026762.590000004</v>
      </c>
      <c r="R202" s="126">
        <v>105737261.1425461</v>
      </c>
      <c r="S202" s="126">
        <v>76026762.590000004</v>
      </c>
      <c r="T202" s="126">
        <v>76026762.590000004</v>
      </c>
      <c r="U202" s="127">
        <v>105737261.1425461</v>
      </c>
      <c r="V202" s="126" t="s">
        <v>75</v>
      </c>
      <c r="W202" s="126" t="s">
        <v>1701</v>
      </c>
      <c r="X202" s="126" t="s">
        <v>75</v>
      </c>
      <c r="Y202" s="126" t="s">
        <v>1702</v>
      </c>
      <c r="Z202" s="126" t="s">
        <v>75</v>
      </c>
      <c r="AA202" s="126">
        <v>999</v>
      </c>
      <c r="AB202" s="141" t="s">
        <v>1703</v>
      </c>
      <c r="AC202" s="126">
        <v>0</v>
      </c>
      <c r="AD202" s="139" t="s">
        <v>78</v>
      </c>
      <c r="AE202" s="126">
        <v>0</v>
      </c>
      <c r="AF202" s="126" t="s">
        <v>78</v>
      </c>
      <c r="AG202" s="126">
        <v>1</v>
      </c>
      <c r="AH202" s="142" t="s">
        <v>81</v>
      </c>
      <c r="AI202" s="142" t="s">
        <v>78</v>
      </c>
      <c r="AJ202" s="142" t="s">
        <v>75</v>
      </c>
      <c r="AK202" s="142" t="s">
        <v>1704</v>
      </c>
      <c r="AL202" s="142" t="s">
        <v>121</v>
      </c>
      <c r="AM202" s="142" t="s">
        <v>75</v>
      </c>
      <c r="AN202" s="142" t="s">
        <v>75</v>
      </c>
      <c r="AO202" s="142" t="s">
        <v>78</v>
      </c>
      <c r="AP202" s="142" t="s">
        <v>75</v>
      </c>
      <c r="AQ202" s="142">
        <v>1</v>
      </c>
      <c r="AR202" s="142" t="s">
        <v>126</v>
      </c>
    </row>
    <row r="203" spans="1:44" s="143" customFormat="1" ht="25.05" customHeight="1" x14ac:dyDescent="0.3">
      <c r="A203" s="126" t="s">
        <v>1369</v>
      </c>
      <c r="B203" s="125" t="s">
        <v>1370</v>
      </c>
      <c r="C203" s="139">
        <v>2015</v>
      </c>
      <c r="D203" s="145" t="s">
        <v>501</v>
      </c>
      <c r="E203" s="139" t="s">
        <v>78</v>
      </c>
      <c r="F203" s="139" t="s">
        <v>551</v>
      </c>
      <c r="G203" s="139" t="s">
        <v>519</v>
      </c>
      <c r="H203" s="139" t="s">
        <v>587</v>
      </c>
      <c r="I203" s="126" t="s">
        <v>256</v>
      </c>
      <c r="J203" s="126" t="s">
        <v>676</v>
      </c>
      <c r="K203" s="126" t="s">
        <v>81</v>
      </c>
      <c r="L203" s="140" t="s">
        <v>74</v>
      </c>
      <c r="M203" s="140">
        <v>22500000</v>
      </c>
      <c r="N203" s="126">
        <v>22500000</v>
      </c>
      <c r="O203" s="126">
        <v>32598225</v>
      </c>
      <c r="P203" s="126">
        <v>10500000</v>
      </c>
      <c r="Q203" s="126">
        <v>10500000</v>
      </c>
      <c r="R203" s="126">
        <v>15212505</v>
      </c>
      <c r="S203" s="126">
        <v>10500000</v>
      </c>
      <c r="T203" s="126">
        <v>10500000</v>
      </c>
      <c r="U203" s="127">
        <v>15212505</v>
      </c>
      <c r="V203" s="140" t="s">
        <v>75</v>
      </c>
      <c r="W203" s="126" t="s">
        <v>1371</v>
      </c>
      <c r="X203" s="126" t="s">
        <v>75</v>
      </c>
      <c r="Y203" s="126" t="s">
        <v>1372</v>
      </c>
      <c r="Z203" s="126" t="s">
        <v>75</v>
      </c>
      <c r="AA203" s="126">
        <v>999</v>
      </c>
      <c r="AB203" s="141" t="s">
        <v>1373</v>
      </c>
      <c r="AC203" s="126">
        <v>999</v>
      </c>
      <c r="AD203" s="139" t="s">
        <v>1374</v>
      </c>
      <c r="AE203" s="126">
        <v>999</v>
      </c>
      <c r="AF203" s="126" t="s">
        <v>1375</v>
      </c>
      <c r="AG203" s="126">
        <v>3</v>
      </c>
      <c r="AH203" s="142" t="s">
        <v>81</v>
      </c>
      <c r="AI203" s="142" t="s">
        <v>78</v>
      </c>
      <c r="AJ203" s="142" t="s">
        <v>75</v>
      </c>
      <c r="AK203" s="142" t="s">
        <v>256</v>
      </c>
      <c r="AL203" s="142" t="s">
        <v>796</v>
      </c>
      <c r="AM203" s="142" t="s">
        <v>81</v>
      </c>
      <c r="AN203" s="142" t="s">
        <v>81</v>
      </c>
      <c r="AO203" s="142" t="s">
        <v>78</v>
      </c>
      <c r="AP203" s="142" t="s">
        <v>75</v>
      </c>
      <c r="AQ203" s="142">
        <v>1</v>
      </c>
      <c r="AR203" s="142" t="s">
        <v>74</v>
      </c>
    </row>
    <row r="204" spans="1:44" s="143" customFormat="1" ht="25.05" customHeight="1" x14ac:dyDescent="0.3">
      <c r="A204" s="126" t="s">
        <v>1006</v>
      </c>
      <c r="B204" s="125" t="s">
        <v>1007</v>
      </c>
      <c r="C204" s="139">
        <v>2017</v>
      </c>
      <c r="D204" s="139" t="s">
        <v>179</v>
      </c>
      <c r="E204" s="139" t="s">
        <v>78</v>
      </c>
      <c r="F204" s="139" t="s">
        <v>561</v>
      </c>
      <c r="G204" s="139" t="s">
        <v>522</v>
      </c>
      <c r="H204" s="139" t="s">
        <v>599</v>
      </c>
      <c r="I204" s="126" t="s">
        <v>101</v>
      </c>
      <c r="J204" s="126" t="s">
        <v>676</v>
      </c>
      <c r="K204" s="126" t="s">
        <v>81</v>
      </c>
      <c r="L204" s="140" t="s">
        <v>74</v>
      </c>
      <c r="M204" s="140">
        <v>10650000</v>
      </c>
      <c r="N204" s="126">
        <v>10650000</v>
      </c>
      <c r="O204" s="126">
        <v>14317114.5</v>
      </c>
      <c r="P204" s="126">
        <v>10650000</v>
      </c>
      <c r="Q204" s="126">
        <v>10650000</v>
      </c>
      <c r="R204" s="126">
        <v>14317114.5</v>
      </c>
      <c r="S204" s="126">
        <v>10650000</v>
      </c>
      <c r="T204" s="126">
        <v>10650000</v>
      </c>
      <c r="U204" s="127">
        <v>14317114.5</v>
      </c>
      <c r="V204" s="140" t="s">
        <v>81</v>
      </c>
      <c r="W204" s="126" t="s">
        <v>78</v>
      </c>
      <c r="X204" s="126" t="s">
        <v>81</v>
      </c>
      <c r="Y204" s="126" t="s">
        <v>78</v>
      </c>
      <c r="Z204" s="126" t="s">
        <v>81</v>
      </c>
      <c r="AA204" s="126">
        <v>0</v>
      </c>
      <c r="AB204" s="141" t="s">
        <v>78</v>
      </c>
      <c r="AC204" s="126">
        <v>0</v>
      </c>
      <c r="AD204" s="139" t="s">
        <v>78</v>
      </c>
      <c r="AE204" s="126">
        <v>0</v>
      </c>
      <c r="AF204" s="126" t="s">
        <v>78</v>
      </c>
      <c r="AG204" s="126">
        <v>0</v>
      </c>
      <c r="AH204" s="142" t="s">
        <v>81</v>
      </c>
      <c r="AI204" s="142" t="s">
        <v>78</v>
      </c>
      <c r="AJ204" s="142" t="s">
        <v>81</v>
      </c>
      <c r="AK204" s="142" t="s">
        <v>78</v>
      </c>
      <c r="AL204" s="142" t="s">
        <v>78</v>
      </c>
      <c r="AM204" s="142" t="s">
        <v>81</v>
      </c>
      <c r="AN204" s="142" t="s">
        <v>81</v>
      </c>
      <c r="AO204" s="142" t="s">
        <v>78</v>
      </c>
      <c r="AP204" s="142" t="s">
        <v>81</v>
      </c>
      <c r="AQ204" s="142">
        <v>1</v>
      </c>
      <c r="AR204" s="142" t="s">
        <v>74</v>
      </c>
    </row>
    <row r="205" spans="1:44" s="143" customFormat="1" ht="25.05" customHeight="1" x14ac:dyDescent="0.3">
      <c r="A205" s="126" t="s">
        <v>1164</v>
      </c>
      <c r="B205" s="125" t="s">
        <v>1165</v>
      </c>
      <c r="C205" s="139">
        <v>2016</v>
      </c>
      <c r="D205" s="139" t="s">
        <v>87</v>
      </c>
      <c r="E205" s="139" t="s">
        <v>937</v>
      </c>
      <c r="F205" s="139" t="s">
        <v>1848</v>
      </c>
      <c r="G205" s="139" t="s">
        <v>87</v>
      </c>
      <c r="H205" s="139" t="s">
        <v>584</v>
      </c>
      <c r="I205" s="126" t="s">
        <v>228</v>
      </c>
      <c r="J205" s="126" t="s">
        <v>679</v>
      </c>
      <c r="K205" s="126" t="s">
        <v>75</v>
      </c>
      <c r="L205" s="140" t="s">
        <v>126</v>
      </c>
      <c r="M205" s="140">
        <v>250000000</v>
      </c>
      <c r="N205" s="126">
        <v>180410325.24373436</v>
      </c>
      <c r="O205" s="126">
        <v>250000000</v>
      </c>
      <c r="P205" s="126">
        <v>8158010.8300000001</v>
      </c>
      <c r="Q205" s="126">
        <v>8158010.8300000001</v>
      </c>
      <c r="R205" s="126">
        <v>11304800.3474559</v>
      </c>
      <c r="S205" s="126">
        <v>0</v>
      </c>
      <c r="T205" s="126">
        <v>0</v>
      </c>
      <c r="U205" s="127">
        <v>0</v>
      </c>
      <c r="V205" s="140" t="s">
        <v>81</v>
      </c>
      <c r="W205" s="126" t="s">
        <v>78</v>
      </c>
      <c r="X205" s="126" t="s">
        <v>81</v>
      </c>
      <c r="Y205" s="126" t="s">
        <v>78</v>
      </c>
      <c r="Z205" s="126" t="s">
        <v>81</v>
      </c>
      <c r="AA205" s="126">
        <v>0</v>
      </c>
      <c r="AB205" s="141" t="s">
        <v>78</v>
      </c>
      <c r="AC205" s="126">
        <v>0</v>
      </c>
      <c r="AD205" s="139" t="s">
        <v>78</v>
      </c>
      <c r="AE205" s="126">
        <v>0</v>
      </c>
      <c r="AF205" s="126" t="s">
        <v>78</v>
      </c>
      <c r="AG205" s="126">
        <v>0</v>
      </c>
      <c r="AH205" s="142" t="s">
        <v>81</v>
      </c>
      <c r="AI205" s="142" t="s">
        <v>78</v>
      </c>
      <c r="AJ205" s="142" t="s">
        <v>81</v>
      </c>
      <c r="AK205" s="142" t="s">
        <v>78</v>
      </c>
      <c r="AL205" s="142" t="s">
        <v>78</v>
      </c>
      <c r="AM205" s="142" t="s">
        <v>81</v>
      </c>
      <c r="AN205" s="142" t="s">
        <v>81</v>
      </c>
      <c r="AO205" s="142" t="s">
        <v>78</v>
      </c>
      <c r="AP205" s="142" t="s">
        <v>81</v>
      </c>
      <c r="AQ205" s="142">
        <v>1</v>
      </c>
      <c r="AR205" s="142" t="s">
        <v>126</v>
      </c>
    </row>
    <row r="206" spans="1:44" s="143" customFormat="1" ht="25.05" customHeight="1" x14ac:dyDescent="0.3">
      <c r="A206" s="126" t="s">
        <v>1035</v>
      </c>
      <c r="B206" s="125" t="s">
        <v>1036</v>
      </c>
      <c r="C206" s="139">
        <v>2017</v>
      </c>
      <c r="D206" s="139" t="s">
        <v>87</v>
      </c>
      <c r="E206" s="139" t="s">
        <v>1037</v>
      </c>
      <c r="F206" s="139" t="s">
        <v>1848</v>
      </c>
      <c r="G206" s="139" t="s">
        <v>87</v>
      </c>
      <c r="H206" s="139" t="s">
        <v>584</v>
      </c>
      <c r="I206" s="126" t="s">
        <v>228</v>
      </c>
      <c r="J206" s="126" t="s">
        <v>689</v>
      </c>
      <c r="K206" s="126" t="s">
        <v>81</v>
      </c>
      <c r="L206" s="140" t="s">
        <v>126</v>
      </c>
      <c r="M206" s="140">
        <v>250000000</v>
      </c>
      <c r="N206" s="126">
        <v>185966243.40749666</v>
      </c>
      <c r="O206" s="126">
        <v>250000000</v>
      </c>
      <c r="P206" s="126">
        <v>77385386.459999993</v>
      </c>
      <c r="Q206" s="126">
        <v>77385386.459999993</v>
      </c>
      <c r="R206" s="126">
        <v>104031496.57977179</v>
      </c>
      <c r="S206" s="126">
        <v>77385386.459999993</v>
      </c>
      <c r="T206" s="126">
        <v>77385386.459999993</v>
      </c>
      <c r="U206" s="127">
        <v>104031496.57977179</v>
      </c>
      <c r="V206" s="140" t="s">
        <v>81</v>
      </c>
      <c r="W206" s="126" t="s">
        <v>78</v>
      </c>
      <c r="X206" s="126" t="s">
        <v>81</v>
      </c>
      <c r="Y206" s="126" t="s">
        <v>78</v>
      </c>
      <c r="Z206" s="126" t="s">
        <v>81</v>
      </c>
      <c r="AA206" s="126">
        <v>0</v>
      </c>
      <c r="AB206" s="141" t="s">
        <v>78</v>
      </c>
      <c r="AC206" s="126">
        <v>0</v>
      </c>
      <c r="AD206" s="139" t="s">
        <v>78</v>
      </c>
      <c r="AE206" s="144">
        <v>0</v>
      </c>
      <c r="AF206" s="126" t="s">
        <v>78</v>
      </c>
      <c r="AG206" s="126">
        <v>0</v>
      </c>
      <c r="AH206" s="142" t="s">
        <v>81</v>
      </c>
      <c r="AI206" s="142" t="s">
        <v>78</v>
      </c>
      <c r="AJ206" s="142" t="s">
        <v>81</v>
      </c>
      <c r="AK206" s="142" t="s">
        <v>78</v>
      </c>
      <c r="AL206" s="142" t="s">
        <v>78</v>
      </c>
      <c r="AM206" s="142" t="s">
        <v>81</v>
      </c>
      <c r="AN206" s="142" t="s">
        <v>81</v>
      </c>
      <c r="AO206" s="142" t="s">
        <v>78</v>
      </c>
      <c r="AP206" s="142" t="s">
        <v>81</v>
      </c>
      <c r="AQ206" s="142">
        <v>1</v>
      </c>
      <c r="AR206" s="142" t="s">
        <v>126</v>
      </c>
    </row>
    <row r="207" spans="1:44" s="143" customFormat="1" ht="25.05" customHeight="1" x14ac:dyDescent="0.3">
      <c r="A207" s="126" t="s">
        <v>1226</v>
      </c>
      <c r="B207" s="125" t="s">
        <v>1227</v>
      </c>
      <c r="C207" s="139">
        <v>2016</v>
      </c>
      <c r="D207" s="139" t="s">
        <v>87</v>
      </c>
      <c r="E207" s="139" t="s">
        <v>1228</v>
      </c>
      <c r="F207" s="139" t="s">
        <v>1848</v>
      </c>
      <c r="G207" s="139" t="s">
        <v>87</v>
      </c>
      <c r="H207" s="139" t="s">
        <v>596</v>
      </c>
      <c r="I207" s="126" t="s">
        <v>101</v>
      </c>
      <c r="J207" s="126" t="s">
        <v>676</v>
      </c>
      <c r="K207" s="126" t="s">
        <v>81</v>
      </c>
      <c r="L207" s="140" t="s">
        <v>74</v>
      </c>
      <c r="M207" s="140">
        <v>16000000</v>
      </c>
      <c r="N207" s="126">
        <v>16000000</v>
      </c>
      <c r="O207" s="126">
        <v>22171680</v>
      </c>
      <c r="P207" s="126">
        <v>16000000</v>
      </c>
      <c r="Q207" s="126">
        <v>16000000</v>
      </c>
      <c r="R207" s="126">
        <v>22171680</v>
      </c>
      <c r="S207" s="126">
        <v>16000000</v>
      </c>
      <c r="T207" s="126">
        <v>16000000</v>
      </c>
      <c r="U207" s="127">
        <v>22171680</v>
      </c>
      <c r="V207" s="140" t="s">
        <v>81</v>
      </c>
      <c r="W207" s="126" t="s">
        <v>78</v>
      </c>
      <c r="X207" s="126" t="s">
        <v>81</v>
      </c>
      <c r="Y207" s="126" t="s">
        <v>78</v>
      </c>
      <c r="Z207" s="126" t="s">
        <v>81</v>
      </c>
      <c r="AA207" s="126">
        <v>0</v>
      </c>
      <c r="AB207" s="141" t="s">
        <v>78</v>
      </c>
      <c r="AC207" s="126">
        <v>0</v>
      </c>
      <c r="AD207" s="139" t="s">
        <v>78</v>
      </c>
      <c r="AE207" s="126">
        <v>0</v>
      </c>
      <c r="AF207" s="126" t="s">
        <v>78</v>
      </c>
      <c r="AG207" s="126">
        <v>0</v>
      </c>
      <c r="AH207" s="142" t="s">
        <v>81</v>
      </c>
      <c r="AI207" s="142" t="s">
        <v>78</v>
      </c>
      <c r="AJ207" s="142" t="s">
        <v>81</v>
      </c>
      <c r="AK207" s="142" t="s">
        <v>78</v>
      </c>
      <c r="AL207" s="142" t="s">
        <v>78</v>
      </c>
      <c r="AM207" s="142" t="s">
        <v>81</v>
      </c>
      <c r="AN207" s="142" t="s">
        <v>81</v>
      </c>
      <c r="AO207" s="142" t="s">
        <v>78</v>
      </c>
      <c r="AP207" s="142" t="s">
        <v>81</v>
      </c>
      <c r="AQ207" s="142">
        <v>1</v>
      </c>
      <c r="AR207" s="142" t="s">
        <v>74</v>
      </c>
    </row>
    <row r="208" spans="1:44" s="143" customFormat="1" ht="25.05" customHeight="1" x14ac:dyDescent="0.3">
      <c r="A208" s="126" t="s">
        <v>1135</v>
      </c>
      <c r="B208" s="125" t="s">
        <v>1136</v>
      </c>
      <c r="C208" s="139">
        <v>2016</v>
      </c>
      <c r="D208" s="139" t="s">
        <v>87</v>
      </c>
      <c r="E208" s="139" t="s">
        <v>1137</v>
      </c>
      <c r="F208" s="139" t="s">
        <v>1848</v>
      </c>
      <c r="G208" s="139" t="s">
        <v>87</v>
      </c>
      <c r="H208" s="139" t="s">
        <v>589</v>
      </c>
      <c r="I208" s="126" t="s">
        <v>256</v>
      </c>
      <c r="J208" s="126" t="s">
        <v>679</v>
      </c>
      <c r="K208" s="126" t="s">
        <v>75</v>
      </c>
      <c r="L208" s="140" t="s">
        <v>126</v>
      </c>
      <c r="M208" s="140">
        <v>4000000</v>
      </c>
      <c r="N208" s="126">
        <v>2886565.2038997496</v>
      </c>
      <c r="O208" s="126">
        <v>3999999.9999999995</v>
      </c>
      <c r="P208" s="126">
        <v>2535852.52</v>
      </c>
      <c r="Q208" s="126">
        <v>2535852.52</v>
      </c>
      <c r="R208" s="126">
        <v>3514006.9125395999</v>
      </c>
      <c r="S208" s="126">
        <v>0</v>
      </c>
      <c r="T208" s="126">
        <v>0</v>
      </c>
      <c r="U208" s="127">
        <v>0</v>
      </c>
      <c r="V208" s="140" t="s">
        <v>81</v>
      </c>
      <c r="W208" s="126" t="s">
        <v>78</v>
      </c>
      <c r="X208" s="126" t="s">
        <v>81</v>
      </c>
      <c r="Y208" s="126" t="s">
        <v>78</v>
      </c>
      <c r="Z208" s="126" t="s">
        <v>81</v>
      </c>
      <c r="AA208" s="126">
        <v>0</v>
      </c>
      <c r="AB208" s="141" t="s">
        <v>78</v>
      </c>
      <c r="AC208" s="126">
        <v>0</v>
      </c>
      <c r="AD208" s="139" t="s">
        <v>78</v>
      </c>
      <c r="AE208" s="126">
        <v>0</v>
      </c>
      <c r="AF208" s="126" t="s">
        <v>78</v>
      </c>
      <c r="AG208" s="126">
        <v>0</v>
      </c>
      <c r="AH208" s="142" t="s">
        <v>81</v>
      </c>
      <c r="AI208" s="142" t="s">
        <v>78</v>
      </c>
      <c r="AJ208" s="142" t="s">
        <v>81</v>
      </c>
      <c r="AK208" s="142" t="s">
        <v>78</v>
      </c>
      <c r="AL208" s="142" t="s">
        <v>78</v>
      </c>
      <c r="AM208" s="142" t="s">
        <v>81</v>
      </c>
      <c r="AN208" s="142" t="s">
        <v>81</v>
      </c>
      <c r="AO208" s="142" t="s">
        <v>78</v>
      </c>
      <c r="AP208" s="142" t="s">
        <v>81</v>
      </c>
      <c r="AQ208" s="142">
        <v>1</v>
      </c>
      <c r="AR208" s="142" t="s">
        <v>126</v>
      </c>
    </row>
    <row r="209" spans="1:44" s="143" customFormat="1" ht="25.05" customHeight="1" x14ac:dyDescent="0.3">
      <c r="A209" s="126" t="s">
        <v>443</v>
      </c>
      <c r="B209" s="126" t="s">
        <v>444</v>
      </c>
      <c r="C209" s="139">
        <v>2021</v>
      </c>
      <c r="D209" s="139" t="s">
        <v>445</v>
      </c>
      <c r="E209" s="139">
        <v>0</v>
      </c>
      <c r="F209" s="139" t="s">
        <v>552</v>
      </c>
      <c r="G209" s="139" t="s">
        <v>519</v>
      </c>
      <c r="H209" s="139" t="s">
        <v>227</v>
      </c>
      <c r="I209" s="126" t="s">
        <v>228</v>
      </c>
      <c r="J209" s="126" t="s">
        <v>73</v>
      </c>
      <c r="K209" s="126" t="s">
        <v>81</v>
      </c>
      <c r="L209" s="126" t="s">
        <v>74</v>
      </c>
      <c r="M209" s="126">
        <v>32790000</v>
      </c>
      <c r="N209" s="126">
        <v>32790000</v>
      </c>
      <c r="O209" s="126">
        <v>47226453.299999997</v>
      </c>
      <c r="P209" s="126" t="s">
        <v>659</v>
      </c>
      <c r="Q209" s="126" t="s">
        <v>659</v>
      </c>
      <c r="R209" s="126" t="s">
        <v>659</v>
      </c>
      <c r="S209" s="126">
        <v>15000000</v>
      </c>
      <c r="T209" s="126">
        <v>15000000</v>
      </c>
      <c r="U209" s="127">
        <v>21604050</v>
      </c>
      <c r="V209" s="126" t="s">
        <v>75</v>
      </c>
      <c r="W209" s="126" t="s">
        <v>446</v>
      </c>
      <c r="X209" s="126" t="s">
        <v>81</v>
      </c>
      <c r="Y209" s="126">
        <v>0</v>
      </c>
      <c r="Z209" s="126" t="s">
        <v>75</v>
      </c>
      <c r="AA209" s="126">
        <v>0</v>
      </c>
      <c r="AB209" s="141" t="s">
        <v>78</v>
      </c>
      <c r="AC209" s="126">
        <v>0</v>
      </c>
      <c r="AD209" s="139" t="s">
        <v>78</v>
      </c>
      <c r="AE209" s="126">
        <v>2</v>
      </c>
      <c r="AF209" s="126" t="s">
        <v>447</v>
      </c>
      <c r="AG209" s="126">
        <v>2</v>
      </c>
      <c r="AH209" s="142" t="s">
        <v>75</v>
      </c>
      <c r="AI209" s="142" t="s">
        <v>448</v>
      </c>
      <c r="AJ209" s="142" t="s">
        <v>75</v>
      </c>
      <c r="AK209" s="142" t="s">
        <v>449</v>
      </c>
      <c r="AL209" s="142" t="s">
        <v>132</v>
      </c>
      <c r="AM209" s="142" t="s">
        <v>75</v>
      </c>
      <c r="AN209" s="142" t="s">
        <v>75</v>
      </c>
      <c r="AO209" s="142" t="s">
        <v>110</v>
      </c>
      <c r="AP209" s="142" t="s">
        <v>81</v>
      </c>
      <c r="AQ209" s="142">
        <v>1</v>
      </c>
      <c r="AR209" s="142" t="s">
        <v>74</v>
      </c>
    </row>
    <row r="210" spans="1:44" s="143" customFormat="1" ht="25.05" customHeight="1" x14ac:dyDescent="0.3">
      <c r="A210" s="126" t="s">
        <v>450</v>
      </c>
      <c r="B210" s="126" t="s">
        <v>451</v>
      </c>
      <c r="C210" s="139">
        <v>2021</v>
      </c>
      <c r="D210" s="139" t="s">
        <v>87</v>
      </c>
      <c r="E210" s="139" t="s">
        <v>452</v>
      </c>
      <c r="F210" s="139" t="s">
        <v>1848</v>
      </c>
      <c r="G210" s="139" t="s">
        <v>87</v>
      </c>
      <c r="H210" s="139" t="s">
        <v>216</v>
      </c>
      <c r="I210" s="126" t="s">
        <v>101</v>
      </c>
      <c r="J210" s="126" t="s">
        <v>73</v>
      </c>
      <c r="K210" s="126" t="s">
        <v>81</v>
      </c>
      <c r="L210" s="126" t="s">
        <v>74</v>
      </c>
      <c r="M210" s="126">
        <v>5500000</v>
      </c>
      <c r="N210" s="126">
        <v>5500000</v>
      </c>
      <c r="O210" s="126">
        <v>7921485</v>
      </c>
      <c r="P210" s="126" t="s">
        <v>659</v>
      </c>
      <c r="Q210" s="126" t="s">
        <v>659</v>
      </c>
      <c r="R210" s="126" t="s">
        <v>659</v>
      </c>
      <c r="S210" s="126">
        <v>5000000</v>
      </c>
      <c r="T210" s="126">
        <v>5000000</v>
      </c>
      <c r="U210" s="127">
        <v>7201350</v>
      </c>
      <c r="V210" s="126" t="s">
        <v>81</v>
      </c>
      <c r="W210" s="126">
        <v>0</v>
      </c>
      <c r="X210" s="126" t="s">
        <v>81</v>
      </c>
      <c r="Y210" s="126">
        <v>0</v>
      </c>
      <c r="Z210" s="126" t="s">
        <v>81</v>
      </c>
      <c r="AA210" s="126">
        <v>0</v>
      </c>
      <c r="AB210" s="141">
        <v>0</v>
      </c>
      <c r="AC210" s="126">
        <v>0</v>
      </c>
      <c r="AD210" s="139">
        <v>0</v>
      </c>
      <c r="AE210" s="126">
        <v>0</v>
      </c>
      <c r="AF210" s="126">
        <v>0</v>
      </c>
      <c r="AG210" s="126">
        <v>0</v>
      </c>
      <c r="AH210" s="142" t="s">
        <v>81</v>
      </c>
      <c r="AI210" s="142">
        <v>0</v>
      </c>
      <c r="AJ210" s="142" t="s">
        <v>81</v>
      </c>
      <c r="AK210" s="142">
        <v>0</v>
      </c>
      <c r="AL210" s="142" t="s">
        <v>121</v>
      </c>
      <c r="AM210" s="142" t="s">
        <v>75</v>
      </c>
      <c r="AN210" s="142" t="s">
        <v>81</v>
      </c>
      <c r="AO210" s="142" t="s">
        <v>84</v>
      </c>
      <c r="AP210" s="142" t="s">
        <v>81</v>
      </c>
      <c r="AQ210" s="142">
        <v>1</v>
      </c>
      <c r="AR210" s="142" t="s">
        <v>74</v>
      </c>
    </row>
    <row r="211" spans="1:44" s="143" customFormat="1" ht="25.05" customHeight="1" x14ac:dyDescent="0.3">
      <c r="A211" s="126" t="s">
        <v>995</v>
      </c>
      <c r="B211" s="125" t="s">
        <v>996</v>
      </c>
      <c r="C211" s="139">
        <v>2017</v>
      </c>
      <c r="D211" s="139" t="s">
        <v>184</v>
      </c>
      <c r="E211" s="139" t="s">
        <v>78</v>
      </c>
      <c r="F211" s="139" t="s">
        <v>554</v>
      </c>
      <c r="G211" s="139" t="s">
        <v>520</v>
      </c>
      <c r="H211" s="139" t="s">
        <v>228</v>
      </c>
      <c r="I211" s="126" t="s">
        <v>228</v>
      </c>
      <c r="J211" s="126" t="s">
        <v>676</v>
      </c>
      <c r="K211" s="126" t="s">
        <v>81</v>
      </c>
      <c r="L211" s="140" t="s">
        <v>74</v>
      </c>
      <c r="M211" s="140">
        <v>10000000</v>
      </c>
      <c r="N211" s="126">
        <v>10000000</v>
      </c>
      <c r="O211" s="126">
        <v>13443300</v>
      </c>
      <c r="P211" s="126">
        <v>8000000</v>
      </c>
      <c r="Q211" s="126">
        <v>8000000</v>
      </c>
      <c r="R211" s="126">
        <v>10754640</v>
      </c>
      <c r="S211" s="126">
        <v>8000000</v>
      </c>
      <c r="T211" s="126">
        <v>8000000</v>
      </c>
      <c r="U211" s="127">
        <v>10754640</v>
      </c>
      <c r="V211" s="140" t="s">
        <v>81</v>
      </c>
      <c r="W211" s="126" t="s">
        <v>78</v>
      </c>
      <c r="X211" s="126" t="s">
        <v>81</v>
      </c>
      <c r="Y211" s="126" t="s">
        <v>78</v>
      </c>
      <c r="Z211" s="126" t="s">
        <v>81</v>
      </c>
      <c r="AA211" s="126">
        <v>0</v>
      </c>
      <c r="AB211" s="141" t="s">
        <v>78</v>
      </c>
      <c r="AC211" s="126">
        <v>0</v>
      </c>
      <c r="AD211" s="139" t="s">
        <v>78</v>
      </c>
      <c r="AE211" s="126">
        <v>0</v>
      </c>
      <c r="AF211" s="126" t="s">
        <v>78</v>
      </c>
      <c r="AG211" s="126">
        <v>0</v>
      </c>
      <c r="AH211" s="142" t="s">
        <v>81</v>
      </c>
      <c r="AI211" s="142" t="s">
        <v>78</v>
      </c>
      <c r="AJ211" s="142" t="s">
        <v>81</v>
      </c>
      <c r="AK211" s="142" t="s">
        <v>78</v>
      </c>
      <c r="AL211" s="142" t="s">
        <v>78</v>
      </c>
      <c r="AM211" s="142" t="s">
        <v>81</v>
      </c>
      <c r="AN211" s="142" t="s">
        <v>81</v>
      </c>
      <c r="AO211" s="142" t="s">
        <v>78</v>
      </c>
      <c r="AP211" s="142" t="s">
        <v>81</v>
      </c>
      <c r="AQ211" s="142">
        <v>1</v>
      </c>
      <c r="AR211" s="142" t="s">
        <v>74</v>
      </c>
    </row>
    <row r="212" spans="1:44" s="143" customFormat="1" ht="25.05" customHeight="1" x14ac:dyDescent="0.3">
      <c r="A212" s="126" t="s">
        <v>97</v>
      </c>
      <c r="B212" s="126" t="s">
        <v>98</v>
      </c>
      <c r="C212" s="139">
        <v>2020</v>
      </c>
      <c r="D212" s="139" t="s">
        <v>99</v>
      </c>
      <c r="E212" s="139">
        <v>0</v>
      </c>
      <c r="F212" s="139" t="s">
        <v>532</v>
      </c>
      <c r="G212" s="139" t="s">
        <v>520</v>
      </c>
      <c r="H212" s="139" t="s">
        <v>100</v>
      </c>
      <c r="I212" s="126" t="s">
        <v>101</v>
      </c>
      <c r="J212" s="126" t="s">
        <v>103</v>
      </c>
      <c r="K212" s="126" t="s">
        <v>81</v>
      </c>
      <c r="L212" s="126" t="s">
        <v>104</v>
      </c>
      <c r="M212" s="126">
        <v>35740000</v>
      </c>
      <c r="N212" s="126">
        <v>28918665.242580183</v>
      </c>
      <c r="O212" s="126">
        <v>39989597.857397154</v>
      </c>
      <c r="P212" s="126" t="s">
        <v>659</v>
      </c>
      <c r="Q212" s="126" t="s">
        <v>659</v>
      </c>
      <c r="R212" s="126" t="s">
        <v>659</v>
      </c>
      <c r="S212" s="126">
        <v>17870000</v>
      </c>
      <c r="T212" s="126">
        <v>14459332.621290091</v>
      </c>
      <c r="U212" s="127">
        <v>19994798.928698577</v>
      </c>
      <c r="V212" s="126" t="s">
        <v>75</v>
      </c>
      <c r="W212" s="126" t="s">
        <v>105</v>
      </c>
      <c r="X212" s="126" t="s">
        <v>75</v>
      </c>
      <c r="Y212" s="126" t="s">
        <v>106</v>
      </c>
      <c r="Z212" s="126" t="s">
        <v>75</v>
      </c>
      <c r="AA212" s="126">
        <v>0</v>
      </c>
      <c r="AB212" s="141" t="s">
        <v>78</v>
      </c>
      <c r="AC212" s="126">
        <v>1</v>
      </c>
      <c r="AD212" s="139" t="s">
        <v>107</v>
      </c>
      <c r="AE212" s="126">
        <v>2</v>
      </c>
      <c r="AF212" s="126" t="s">
        <v>108</v>
      </c>
      <c r="AG212" s="126">
        <v>3</v>
      </c>
      <c r="AH212" s="142" t="s">
        <v>81</v>
      </c>
      <c r="AI212" s="142">
        <v>0</v>
      </c>
      <c r="AJ212" s="142" t="s">
        <v>75</v>
      </c>
      <c r="AK212" s="142" t="s">
        <v>109</v>
      </c>
      <c r="AL212" s="142" t="s">
        <v>83</v>
      </c>
      <c r="AM212" s="142" t="s">
        <v>75</v>
      </c>
      <c r="AN212" s="142" t="s">
        <v>81</v>
      </c>
      <c r="AO212" s="142" t="s">
        <v>110</v>
      </c>
      <c r="AP212" s="142" t="s">
        <v>75</v>
      </c>
      <c r="AQ212" s="142">
        <v>1</v>
      </c>
      <c r="AR212" s="142" t="s">
        <v>104</v>
      </c>
    </row>
    <row r="213" spans="1:44" s="143" customFormat="1" ht="25.05" customHeight="1" x14ac:dyDescent="0.3">
      <c r="A213" s="126" t="s">
        <v>1353</v>
      </c>
      <c r="B213" s="125" t="s">
        <v>1354</v>
      </c>
      <c r="C213" s="139">
        <v>2015</v>
      </c>
      <c r="D213" s="145" t="s">
        <v>297</v>
      </c>
      <c r="E213" s="139" t="s">
        <v>78</v>
      </c>
      <c r="F213" s="139" t="s">
        <v>566</v>
      </c>
      <c r="G213" s="139" t="s">
        <v>522</v>
      </c>
      <c r="H213" s="139" t="s">
        <v>596</v>
      </c>
      <c r="I213" s="126" t="s">
        <v>101</v>
      </c>
      <c r="J213" s="126" t="s">
        <v>676</v>
      </c>
      <c r="K213" s="126" t="s">
        <v>81</v>
      </c>
      <c r="L213" s="140" t="s">
        <v>74</v>
      </c>
      <c r="M213" s="140">
        <v>50000000</v>
      </c>
      <c r="N213" s="126">
        <v>50000000</v>
      </c>
      <c r="O213" s="126">
        <v>72440500</v>
      </c>
      <c r="P213" s="126">
        <v>50000000</v>
      </c>
      <c r="Q213" s="126">
        <v>50000000</v>
      </c>
      <c r="R213" s="126">
        <v>72440500</v>
      </c>
      <c r="S213" s="126">
        <v>50000000</v>
      </c>
      <c r="T213" s="126">
        <v>50000000</v>
      </c>
      <c r="U213" s="127">
        <v>72440500</v>
      </c>
      <c r="V213" s="140" t="s">
        <v>81</v>
      </c>
      <c r="W213" s="126" t="s">
        <v>78</v>
      </c>
      <c r="X213" s="126" t="s">
        <v>81</v>
      </c>
      <c r="Y213" s="126" t="s">
        <v>78</v>
      </c>
      <c r="Z213" s="126" t="s">
        <v>81</v>
      </c>
      <c r="AA213" s="126">
        <v>0</v>
      </c>
      <c r="AB213" s="141" t="s">
        <v>78</v>
      </c>
      <c r="AC213" s="126">
        <v>0</v>
      </c>
      <c r="AD213" s="139" t="s">
        <v>78</v>
      </c>
      <c r="AE213" s="126">
        <v>0</v>
      </c>
      <c r="AF213" s="126" t="s">
        <v>78</v>
      </c>
      <c r="AG213" s="126">
        <v>0</v>
      </c>
      <c r="AH213" s="142" t="s">
        <v>81</v>
      </c>
      <c r="AI213" s="142" t="s">
        <v>78</v>
      </c>
      <c r="AJ213" s="142" t="s">
        <v>81</v>
      </c>
      <c r="AK213" s="142" t="s">
        <v>78</v>
      </c>
      <c r="AL213" s="142" t="s">
        <v>78</v>
      </c>
      <c r="AM213" s="142" t="s">
        <v>81</v>
      </c>
      <c r="AN213" s="142" t="s">
        <v>81</v>
      </c>
      <c r="AO213" s="142" t="s">
        <v>78</v>
      </c>
      <c r="AP213" s="142" t="s">
        <v>81</v>
      </c>
      <c r="AQ213" s="142">
        <v>1</v>
      </c>
      <c r="AR213" s="142" t="s">
        <v>74</v>
      </c>
    </row>
    <row r="214" spans="1:44" s="143" customFormat="1" ht="25.05" customHeight="1" x14ac:dyDescent="0.3">
      <c r="A214" s="126" t="s">
        <v>1367</v>
      </c>
      <c r="B214" s="125" t="s">
        <v>1368</v>
      </c>
      <c r="C214" s="139">
        <v>2015</v>
      </c>
      <c r="D214" s="145" t="s">
        <v>500</v>
      </c>
      <c r="E214" s="139" t="s">
        <v>78</v>
      </c>
      <c r="F214" s="139" t="s">
        <v>547</v>
      </c>
      <c r="G214" s="139" t="s">
        <v>519</v>
      </c>
      <c r="H214" s="139" t="s">
        <v>228</v>
      </c>
      <c r="I214" s="126" t="s">
        <v>228</v>
      </c>
      <c r="J214" s="126" t="s">
        <v>676</v>
      </c>
      <c r="K214" s="126" t="s">
        <v>81</v>
      </c>
      <c r="L214" s="140" t="s">
        <v>74</v>
      </c>
      <c r="M214" s="140">
        <v>467666</v>
      </c>
      <c r="N214" s="126">
        <v>467666</v>
      </c>
      <c r="O214" s="126">
        <v>677559.17745999992</v>
      </c>
      <c r="P214" s="126">
        <v>467666</v>
      </c>
      <c r="Q214" s="126">
        <v>467666</v>
      </c>
      <c r="R214" s="126">
        <v>677559.17745999992</v>
      </c>
      <c r="S214" s="126">
        <v>467666</v>
      </c>
      <c r="T214" s="126">
        <v>467666</v>
      </c>
      <c r="U214" s="127">
        <v>677559.17745999992</v>
      </c>
      <c r="V214" s="140" t="s">
        <v>81</v>
      </c>
      <c r="W214" s="126" t="s">
        <v>78</v>
      </c>
      <c r="X214" s="126" t="s">
        <v>81</v>
      </c>
      <c r="Y214" s="126" t="s">
        <v>78</v>
      </c>
      <c r="Z214" s="126" t="s">
        <v>81</v>
      </c>
      <c r="AA214" s="126">
        <v>0</v>
      </c>
      <c r="AB214" s="141" t="s">
        <v>78</v>
      </c>
      <c r="AC214" s="126">
        <v>0</v>
      </c>
      <c r="AD214" s="139" t="s">
        <v>78</v>
      </c>
      <c r="AE214" s="126">
        <v>0</v>
      </c>
      <c r="AF214" s="126" t="s">
        <v>78</v>
      </c>
      <c r="AG214" s="126">
        <v>0</v>
      </c>
      <c r="AH214" s="142" t="s">
        <v>81</v>
      </c>
      <c r="AI214" s="142" t="s">
        <v>78</v>
      </c>
      <c r="AJ214" s="142" t="s">
        <v>81</v>
      </c>
      <c r="AK214" s="142" t="s">
        <v>78</v>
      </c>
      <c r="AL214" s="142" t="s">
        <v>78</v>
      </c>
      <c r="AM214" s="142" t="s">
        <v>81</v>
      </c>
      <c r="AN214" s="142" t="s">
        <v>81</v>
      </c>
      <c r="AO214" s="142" t="s">
        <v>78</v>
      </c>
      <c r="AP214" s="142" t="s">
        <v>81</v>
      </c>
      <c r="AQ214" s="142">
        <v>1</v>
      </c>
      <c r="AR214" s="142" t="s">
        <v>74</v>
      </c>
    </row>
    <row r="215" spans="1:44" s="143" customFormat="1" ht="25.05" customHeight="1" x14ac:dyDescent="0.3">
      <c r="A215" s="126" t="s">
        <v>720</v>
      </c>
      <c r="B215" s="125" t="s">
        <v>721</v>
      </c>
      <c r="C215" s="139">
        <v>2018</v>
      </c>
      <c r="D215" s="139" t="s">
        <v>498</v>
      </c>
      <c r="E215" s="139" t="s">
        <v>78</v>
      </c>
      <c r="F215" s="139" t="s">
        <v>540</v>
      </c>
      <c r="G215" s="139" t="s">
        <v>520</v>
      </c>
      <c r="H215" s="139" t="s">
        <v>228</v>
      </c>
      <c r="I215" s="126" t="s">
        <v>228</v>
      </c>
      <c r="J215" s="126" t="s">
        <v>689</v>
      </c>
      <c r="K215" s="126" t="s">
        <v>81</v>
      </c>
      <c r="L215" s="140" t="s">
        <v>74</v>
      </c>
      <c r="M215" s="140">
        <v>990000</v>
      </c>
      <c r="N215" s="126">
        <v>990000</v>
      </c>
      <c r="O215" s="126">
        <v>1409888.7</v>
      </c>
      <c r="P215" s="126">
        <v>990000</v>
      </c>
      <c r="Q215" s="126">
        <v>990000</v>
      </c>
      <c r="R215" s="126">
        <v>1409888.7</v>
      </c>
      <c r="S215" s="126">
        <v>990000</v>
      </c>
      <c r="T215" s="126">
        <v>990000</v>
      </c>
      <c r="U215" s="127">
        <v>1409888.7</v>
      </c>
      <c r="V215" s="140" t="s">
        <v>81</v>
      </c>
      <c r="W215" s="126" t="s">
        <v>78</v>
      </c>
      <c r="X215" s="126" t="s">
        <v>81</v>
      </c>
      <c r="Y215" s="126" t="s">
        <v>78</v>
      </c>
      <c r="Z215" s="126" t="s">
        <v>81</v>
      </c>
      <c r="AA215" s="126">
        <v>0</v>
      </c>
      <c r="AB215" s="141" t="s">
        <v>78</v>
      </c>
      <c r="AC215" s="126">
        <v>0</v>
      </c>
      <c r="AD215" s="139" t="s">
        <v>78</v>
      </c>
      <c r="AE215" s="126">
        <v>0</v>
      </c>
      <c r="AF215" s="126" t="s">
        <v>78</v>
      </c>
      <c r="AG215" s="126">
        <v>0</v>
      </c>
      <c r="AH215" s="142" t="s">
        <v>81</v>
      </c>
      <c r="AI215" s="142" t="s">
        <v>78</v>
      </c>
      <c r="AJ215" s="142" t="s">
        <v>81</v>
      </c>
      <c r="AK215" s="142" t="s">
        <v>78</v>
      </c>
      <c r="AL215" s="142" t="s">
        <v>78</v>
      </c>
      <c r="AM215" s="142" t="s">
        <v>81</v>
      </c>
      <c r="AN215" s="142" t="s">
        <v>81</v>
      </c>
      <c r="AO215" s="142" t="s">
        <v>78</v>
      </c>
      <c r="AP215" s="142" t="s">
        <v>81</v>
      </c>
      <c r="AQ215" s="142">
        <v>1</v>
      </c>
      <c r="AR215" s="142" t="s">
        <v>74</v>
      </c>
    </row>
    <row r="216" spans="1:44" s="143" customFormat="1" ht="25.05" customHeight="1" x14ac:dyDescent="0.3">
      <c r="A216" s="126" t="s">
        <v>406</v>
      </c>
      <c r="B216" s="126" t="s">
        <v>407</v>
      </c>
      <c r="C216" s="139">
        <v>2021</v>
      </c>
      <c r="D216" s="139" t="s">
        <v>195</v>
      </c>
      <c r="E216" s="139">
        <v>0</v>
      </c>
      <c r="F216" s="139" t="s">
        <v>536</v>
      </c>
      <c r="G216" s="139" t="s">
        <v>522</v>
      </c>
      <c r="H216" s="139" t="s">
        <v>227</v>
      </c>
      <c r="I216" s="126" t="s">
        <v>228</v>
      </c>
      <c r="J216" s="126" t="s">
        <v>73</v>
      </c>
      <c r="K216" s="126" t="s">
        <v>81</v>
      </c>
      <c r="L216" s="126" t="s">
        <v>74</v>
      </c>
      <c r="M216" s="126">
        <v>72260000</v>
      </c>
      <c r="N216" s="126">
        <v>72260000</v>
      </c>
      <c r="O216" s="126">
        <v>104073910.2</v>
      </c>
      <c r="P216" s="126" t="s">
        <v>659</v>
      </c>
      <c r="Q216" s="126" t="s">
        <v>659</v>
      </c>
      <c r="R216" s="126" t="s">
        <v>659</v>
      </c>
      <c r="S216" s="126">
        <v>33250000</v>
      </c>
      <c r="T216" s="126">
        <v>33250000</v>
      </c>
      <c r="U216" s="127">
        <v>47888977.5</v>
      </c>
      <c r="V216" s="126" t="s">
        <v>75</v>
      </c>
      <c r="W216" s="126" t="s">
        <v>408</v>
      </c>
      <c r="X216" s="126" t="s">
        <v>81</v>
      </c>
      <c r="Y216" s="126">
        <v>0</v>
      </c>
      <c r="Z216" s="126" t="s">
        <v>75</v>
      </c>
      <c r="AA216" s="126">
        <v>0</v>
      </c>
      <c r="AB216" s="141" t="s">
        <v>78</v>
      </c>
      <c r="AC216" s="126">
        <v>0</v>
      </c>
      <c r="AD216" s="139" t="s">
        <v>78</v>
      </c>
      <c r="AE216" s="126">
        <v>3</v>
      </c>
      <c r="AF216" s="126" t="s">
        <v>409</v>
      </c>
      <c r="AG216" s="126">
        <v>3</v>
      </c>
      <c r="AH216" s="142" t="s">
        <v>81</v>
      </c>
      <c r="AI216" s="142">
        <v>0</v>
      </c>
      <c r="AJ216" s="142" t="s">
        <v>75</v>
      </c>
      <c r="AK216" s="142" t="s">
        <v>410</v>
      </c>
      <c r="AL216" s="142" t="s">
        <v>121</v>
      </c>
      <c r="AM216" s="142" t="s">
        <v>75</v>
      </c>
      <c r="AN216" s="142" t="s">
        <v>75</v>
      </c>
      <c r="AO216" s="142" t="s">
        <v>110</v>
      </c>
      <c r="AP216" s="142" t="s">
        <v>81</v>
      </c>
      <c r="AQ216" s="142">
        <v>1</v>
      </c>
      <c r="AR216" s="142" t="s">
        <v>74</v>
      </c>
    </row>
    <row r="217" spans="1:44" s="143" customFormat="1" ht="25.05" customHeight="1" x14ac:dyDescent="0.3">
      <c r="A217" s="126" t="s">
        <v>388</v>
      </c>
      <c r="B217" s="126" t="s">
        <v>389</v>
      </c>
      <c r="C217" s="139">
        <v>2021</v>
      </c>
      <c r="D217" s="139" t="s">
        <v>155</v>
      </c>
      <c r="E217" s="139">
        <v>0</v>
      </c>
      <c r="F217" s="139" t="s">
        <v>559</v>
      </c>
      <c r="G217" s="139" t="s">
        <v>520</v>
      </c>
      <c r="H217" s="139" t="s">
        <v>390</v>
      </c>
      <c r="I217" s="126" t="s">
        <v>101</v>
      </c>
      <c r="J217" s="126" t="s">
        <v>103</v>
      </c>
      <c r="K217" s="126" t="s">
        <v>81</v>
      </c>
      <c r="L217" s="126" t="s">
        <v>104</v>
      </c>
      <c r="M217" s="126">
        <v>0</v>
      </c>
      <c r="N217" s="126">
        <v>0</v>
      </c>
      <c r="O217" s="126">
        <v>0</v>
      </c>
      <c r="P217" s="126" t="s">
        <v>659</v>
      </c>
      <c r="Q217" s="126" t="s">
        <v>659</v>
      </c>
      <c r="R217" s="126" t="s">
        <v>659</v>
      </c>
      <c r="S217" s="126">
        <v>65000000</v>
      </c>
      <c r="T217" s="126">
        <v>54905604.595176749</v>
      </c>
      <c r="U217" s="127">
        <v>79078895.130295217</v>
      </c>
      <c r="V217" s="126" t="s">
        <v>75</v>
      </c>
      <c r="W217" s="126" t="s">
        <v>391</v>
      </c>
      <c r="X217" s="126" t="s">
        <v>81</v>
      </c>
      <c r="Y217" s="126">
        <v>0</v>
      </c>
      <c r="Z217" s="126" t="s">
        <v>75</v>
      </c>
      <c r="AA217" s="126">
        <v>0</v>
      </c>
      <c r="AB217" s="141" t="s">
        <v>78</v>
      </c>
      <c r="AC217" s="126">
        <v>0</v>
      </c>
      <c r="AD217" s="139" t="s">
        <v>78</v>
      </c>
      <c r="AE217" s="126">
        <v>1</v>
      </c>
      <c r="AF217" s="126" t="s">
        <v>392</v>
      </c>
      <c r="AG217" s="126">
        <v>1</v>
      </c>
      <c r="AH217" s="142" t="s">
        <v>81</v>
      </c>
      <c r="AI217" s="142">
        <v>0</v>
      </c>
      <c r="AJ217" s="142" t="s">
        <v>75</v>
      </c>
      <c r="AK217" s="142" t="s">
        <v>393</v>
      </c>
      <c r="AL217" s="142" t="s">
        <v>132</v>
      </c>
      <c r="AM217" s="142" t="s">
        <v>75</v>
      </c>
      <c r="AN217" s="142" t="s">
        <v>81</v>
      </c>
      <c r="AO217" s="142" t="s">
        <v>84</v>
      </c>
      <c r="AP217" s="142" t="s">
        <v>81</v>
      </c>
      <c r="AQ217" s="142">
        <v>1</v>
      </c>
      <c r="AR217" s="142" t="s">
        <v>104</v>
      </c>
    </row>
    <row r="218" spans="1:44" s="143" customFormat="1" ht="25.05" customHeight="1" x14ac:dyDescent="0.3">
      <c r="A218" s="126" t="s">
        <v>1038</v>
      </c>
      <c r="B218" s="125" t="s">
        <v>1039</v>
      </c>
      <c r="C218" s="139">
        <v>2017</v>
      </c>
      <c r="D218" s="139" t="s">
        <v>151</v>
      </c>
      <c r="E218" s="139" t="s">
        <v>78</v>
      </c>
      <c r="F218" s="139" t="s">
        <v>546</v>
      </c>
      <c r="G218" s="139" t="s">
        <v>518</v>
      </c>
      <c r="H218" s="139" t="s">
        <v>596</v>
      </c>
      <c r="I218" s="126" t="s">
        <v>101</v>
      </c>
      <c r="J218" s="126" t="s">
        <v>676</v>
      </c>
      <c r="K218" s="126" t="s">
        <v>81</v>
      </c>
      <c r="L218" s="140" t="s">
        <v>126</v>
      </c>
      <c r="M218" s="140">
        <v>200000000</v>
      </c>
      <c r="N218" s="126">
        <v>148772994.72599733</v>
      </c>
      <c r="O218" s="126">
        <v>200000000</v>
      </c>
      <c r="P218" s="126">
        <v>144645582.19999999</v>
      </c>
      <c r="Q218" s="126">
        <v>144645582.19999999</v>
      </c>
      <c r="R218" s="126">
        <v>194451395.51892599</v>
      </c>
      <c r="S218" s="126">
        <v>144645582.19999999</v>
      </c>
      <c r="T218" s="126">
        <v>144645582.19999999</v>
      </c>
      <c r="U218" s="127">
        <v>194451395.51892599</v>
      </c>
      <c r="V218" s="140" t="s">
        <v>81</v>
      </c>
      <c r="W218" s="126" t="s">
        <v>78</v>
      </c>
      <c r="X218" s="126" t="s">
        <v>81</v>
      </c>
      <c r="Y218" s="126" t="s">
        <v>78</v>
      </c>
      <c r="Z218" s="126" t="s">
        <v>81</v>
      </c>
      <c r="AA218" s="126">
        <v>0</v>
      </c>
      <c r="AB218" s="141" t="s">
        <v>78</v>
      </c>
      <c r="AC218" s="126">
        <v>0</v>
      </c>
      <c r="AD218" s="139" t="s">
        <v>78</v>
      </c>
      <c r="AE218" s="126">
        <v>0</v>
      </c>
      <c r="AF218" s="126" t="s">
        <v>78</v>
      </c>
      <c r="AG218" s="126">
        <v>0</v>
      </c>
      <c r="AH218" s="142" t="s">
        <v>81</v>
      </c>
      <c r="AI218" s="142" t="s">
        <v>78</v>
      </c>
      <c r="AJ218" s="142" t="s">
        <v>81</v>
      </c>
      <c r="AK218" s="142" t="s">
        <v>78</v>
      </c>
      <c r="AL218" s="142" t="s">
        <v>78</v>
      </c>
      <c r="AM218" s="142" t="s">
        <v>81</v>
      </c>
      <c r="AN218" s="142" t="s">
        <v>81</v>
      </c>
      <c r="AO218" s="142" t="s">
        <v>78</v>
      </c>
      <c r="AP218" s="142" t="s">
        <v>81</v>
      </c>
      <c r="AQ218" s="142">
        <v>1</v>
      </c>
      <c r="AR218" s="142" t="s">
        <v>126</v>
      </c>
    </row>
    <row r="219" spans="1:44" s="143" customFormat="1" ht="25.05" customHeight="1" x14ac:dyDescent="0.3">
      <c r="A219" s="126" t="s">
        <v>1293</v>
      </c>
      <c r="B219" s="125" t="s">
        <v>1294</v>
      </c>
      <c r="C219" s="139">
        <v>2016</v>
      </c>
      <c r="D219" s="139" t="s">
        <v>151</v>
      </c>
      <c r="E219" s="139" t="s">
        <v>78</v>
      </c>
      <c r="F219" s="139" t="s">
        <v>546</v>
      </c>
      <c r="G219" s="139" t="s">
        <v>518</v>
      </c>
      <c r="H219" s="139" t="s">
        <v>228</v>
      </c>
      <c r="I219" s="126" t="s">
        <v>228</v>
      </c>
      <c r="J219" s="126" t="s">
        <v>689</v>
      </c>
      <c r="K219" s="126" t="s">
        <v>81</v>
      </c>
      <c r="L219" s="140" t="s">
        <v>104</v>
      </c>
      <c r="M219" s="140">
        <v>200000000</v>
      </c>
      <c r="N219" s="126">
        <v>157130174.4930588</v>
      </c>
      <c r="O219" s="126">
        <v>217739996.70026636</v>
      </c>
      <c r="P219" s="126">
        <v>164041994.80000001</v>
      </c>
      <c r="Q219" s="126">
        <v>164041994.80000001</v>
      </c>
      <c r="R219" s="126">
        <v>227317913.45420399</v>
      </c>
      <c r="S219" s="126">
        <v>164041994.80000001</v>
      </c>
      <c r="T219" s="126">
        <v>164041994.80000001</v>
      </c>
      <c r="U219" s="127">
        <v>227317913.45420399</v>
      </c>
      <c r="V219" s="140" t="s">
        <v>81</v>
      </c>
      <c r="W219" s="126" t="s">
        <v>78</v>
      </c>
      <c r="X219" s="126" t="s">
        <v>81</v>
      </c>
      <c r="Y219" s="126" t="s">
        <v>78</v>
      </c>
      <c r="Z219" s="126" t="s">
        <v>81</v>
      </c>
      <c r="AA219" s="126">
        <v>0</v>
      </c>
      <c r="AB219" s="141" t="s">
        <v>78</v>
      </c>
      <c r="AC219" s="126">
        <v>0</v>
      </c>
      <c r="AD219" s="139" t="s">
        <v>78</v>
      </c>
      <c r="AE219" s="126">
        <v>0</v>
      </c>
      <c r="AF219" s="126" t="s">
        <v>78</v>
      </c>
      <c r="AG219" s="126">
        <v>0</v>
      </c>
      <c r="AH219" s="142" t="s">
        <v>75</v>
      </c>
      <c r="AI219" s="142" t="s">
        <v>1295</v>
      </c>
      <c r="AJ219" s="142" t="s">
        <v>81</v>
      </c>
      <c r="AK219" s="142" t="s">
        <v>78</v>
      </c>
      <c r="AL219" s="142" t="s">
        <v>78</v>
      </c>
      <c r="AM219" s="142" t="s">
        <v>81</v>
      </c>
      <c r="AN219" s="142" t="s">
        <v>81</v>
      </c>
      <c r="AO219" s="142" t="s">
        <v>78</v>
      </c>
      <c r="AP219" s="142" t="s">
        <v>81</v>
      </c>
      <c r="AQ219" s="142">
        <v>1</v>
      </c>
      <c r="AR219" s="142" t="s">
        <v>104</v>
      </c>
    </row>
    <row r="220" spans="1:44" s="143" customFormat="1" ht="25.05" customHeight="1" x14ac:dyDescent="0.3">
      <c r="A220" s="126" t="s">
        <v>1045</v>
      </c>
      <c r="B220" s="125" t="s">
        <v>1046</v>
      </c>
      <c r="C220" s="139">
        <v>2017</v>
      </c>
      <c r="D220" s="139" t="s">
        <v>113</v>
      </c>
      <c r="E220" s="139" t="s">
        <v>78</v>
      </c>
      <c r="F220" s="139" t="s">
        <v>565</v>
      </c>
      <c r="G220" s="139" t="s">
        <v>518</v>
      </c>
      <c r="H220" s="139" t="s">
        <v>573</v>
      </c>
      <c r="I220" s="126" t="s">
        <v>466</v>
      </c>
      <c r="J220" s="126" t="s">
        <v>689</v>
      </c>
      <c r="K220" s="126" t="s">
        <v>81</v>
      </c>
      <c r="L220" s="140" t="s">
        <v>104</v>
      </c>
      <c r="M220" s="140">
        <v>122000000</v>
      </c>
      <c r="N220" s="126">
        <v>95660764.972477928</v>
      </c>
      <c r="O220" s="126">
        <v>128599636.17545125</v>
      </c>
      <c r="P220" s="126">
        <v>100065616.8</v>
      </c>
      <c r="Q220" s="126">
        <v>100065616.8</v>
      </c>
      <c r="R220" s="126">
        <v>134521210.63274398</v>
      </c>
      <c r="S220" s="126">
        <v>100065616.8</v>
      </c>
      <c r="T220" s="126">
        <v>100065616.8</v>
      </c>
      <c r="U220" s="127">
        <v>134521210.63274398</v>
      </c>
      <c r="V220" s="140" t="s">
        <v>81</v>
      </c>
      <c r="W220" s="126" t="s">
        <v>78</v>
      </c>
      <c r="X220" s="126" t="s">
        <v>81</v>
      </c>
      <c r="Y220" s="126" t="s">
        <v>78</v>
      </c>
      <c r="Z220" s="126" t="s">
        <v>81</v>
      </c>
      <c r="AA220" s="126">
        <v>0</v>
      </c>
      <c r="AB220" s="141" t="s">
        <v>78</v>
      </c>
      <c r="AC220" s="126">
        <v>0</v>
      </c>
      <c r="AD220" s="139" t="s">
        <v>78</v>
      </c>
      <c r="AE220" s="126">
        <v>0</v>
      </c>
      <c r="AF220" s="126" t="s">
        <v>78</v>
      </c>
      <c r="AG220" s="126">
        <v>0</v>
      </c>
      <c r="AH220" s="142" t="s">
        <v>81</v>
      </c>
      <c r="AI220" s="142" t="s">
        <v>78</v>
      </c>
      <c r="AJ220" s="142" t="s">
        <v>81</v>
      </c>
      <c r="AK220" s="142" t="s">
        <v>78</v>
      </c>
      <c r="AL220" s="142" t="s">
        <v>78</v>
      </c>
      <c r="AM220" s="142" t="s">
        <v>81</v>
      </c>
      <c r="AN220" s="142" t="s">
        <v>81</v>
      </c>
      <c r="AO220" s="142" t="s">
        <v>78</v>
      </c>
      <c r="AP220" s="142" t="s">
        <v>81</v>
      </c>
      <c r="AQ220" s="142">
        <v>1</v>
      </c>
      <c r="AR220" s="142" t="s">
        <v>104</v>
      </c>
    </row>
    <row r="221" spans="1:44" s="143" customFormat="1" ht="25.05" customHeight="1" x14ac:dyDescent="0.3">
      <c r="A221" s="126" t="s">
        <v>742</v>
      </c>
      <c r="B221" s="125" t="s">
        <v>743</v>
      </c>
      <c r="C221" s="139">
        <v>2018</v>
      </c>
      <c r="D221" s="139" t="s">
        <v>273</v>
      </c>
      <c r="E221" s="139" t="s">
        <v>78</v>
      </c>
      <c r="F221" s="139" t="s">
        <v>549</v>
      </c>
      <c r="G221" s="139" t="s">
        <v>518</v>
      </c>
      <c r="H221" s="139" t="s">
        <v>596</v>
      </c>
      <c r="I221" s="126" t="s">
        <v>101</v>
      </c>
      <c r="J221" s="126" t="s">
        <v>689</v>
      </c>
      <c r="K221" s="126" t="s">
        <v>81</v>
      </c>
      <c r="L221" s="140" t="s">
        <v>74</v>
      </c>
      <c r="M221" s="140">
        <v>6700640</v>
      </c>
      <c r="N221" s="126">
        <v>6700640</v>
      </c>
      <c r="O221" s="126">
        <v>9542582.4431999996</v>
      </c>
      <c r="P221" s="126">
        <v>6700640</v>
      </c>
      <c r="Q221" s="126">
        <v>6700640</v>
      </c>
      <c r="R221" s="126">
        <v>9542582.4431999996</v>
      </c>
      <c r="S221" s="126">
        <v>6700640</v>
      </c>
      <c r="T221" s="126">
        <v>6700640</v>
      </c>
      <c r="U221" s="127">
        <v>9542582.4431999996</v>
      </c>
      <c r="V221" s="140" t="s">
        <v>81</v>
      </c>
      <c r="W221" s="126" t="s">
        <v>78</v>
      </c>
      <c r="X221" s="126" t="s">
        <v>81</v>
      </c>
      <c r="Y221" s="126" t="s">
        <v>78</v>
      </c>
      <c r="Z221" s="126" t="s">
        <v>81</v>
      </c>
      <c r="AA221" s="126">
        <v>0</v>
      </c>
      <c r="AB221" s="141" t="s">
        <v>78</v>
      </c>
      <c r="AC221" s="126">
        <v>0</v>
      </c>
      <c r="AD221" s="139" t="s">
        <v>78</v>
      </c>
      <c r="AE221" s="126">
        <v>0</v>
      </c>
      <c r="AF221" s="126" t="s">
        <v>78</v>
      </c>
      <c r="AG221" s="126">
        <v>0</v>
      </c>
      <c r="AH221" s="142" t="s">
        <v>81</v>
      </c>
      <c r="AI221" s="142" t="s">
        <v>78</v>
      </c>
      <c r="AJ221" s="142" t="s">
        <v>81</v>
      </c>
      <c r="AK221" s="142" t="s">
        <v>78</v>
      </c>
      <c r="AL221" s="142" t="s">
        <v>78</v>
      </c>
      <c r="AM221" s="142" t="s">
        <v>81</v>
      </c>
      <c r="AN221" s="142" t="s">
        <v>81</v>
      </c>
      <c r="AO221" s="142" t="s">
        <v>78</v>
      </c>
      <c r="AP221" s="142" t="s">
        <v>81</v>
      </c>
      <c r="AQ221" s="142">
        <v>1</v>
      </c>
      <c r="AR221" s="142" t="s">
        <v>74</v>
      </c>
    </row>
    <row r="222" spans="1:44" s="143" customFormat="1" ht="25.05" customHeight="1" x14ac:dyDescent="0.3">
      <c r="A222" s="126" t="s">
        <v>1268</v>
      </c>
      <c r="B222" s="125" t="s">
        <v>1269</v>
      </c>
      <c r="C222" s="139">
        <v>2016</v>
      </c>
      <c r="D222" s="139" t="s">
        <v>155</v>
      </c>
      <c r="E222" s="139" t="s">
        <v>78</v>
      </c>
      <c r="F222" s="139" t="s">
        <v>559</v>
      </c>
      <c r="G222" s="139" t="s">
        <v>520</v>
      </c>
      <c r="H222" s="139" t="s">
        <v>597</v>
      </c>
      <c r="I222" s="126" t="s">
        <v>101</v>
      </c>
      <c r="J222" s="126" t="s">
        <v>689</v>
      </c>
      <c r="K222" s="126" t="s">
        <v>81</v>
      </c>
      <c r="L222" s="140" t="s">
        <v>74</v>
      </c>
      <c r="M222" s="140">
        <v>34780000</v>
      </c>
      <c r="N222" s="126">
        <v>34780000</v>
      </c>
      <c r="O222" s="126">
        <v>48195689.399999999</v>
      </c>
      <c r="P222" s="126">
        <v>34780000</v>
      </c>
      <c r="Q222" s="126">
        <v>34780000</v>
      </c>
      <c r="R222" s="126">
        <v>48195689.399999999</v>
      </c>
      <c r="S222" s="126">
        <v>34780000</v>
      </c>
      <c r="T222" s="126">
        <v>34780000</v>
      </c>
      <c r="U222" s="127">
        <v>48195689.399999999</v>
      </c>
      <c r="V222" s="140" t="s">
        <v>81</v>
      </c>
      <c r="W222" s="126" t="s">
        <v>78</v>
      </c>
      <c r="X222" s="126" t="s">
        <v>81</v>
      </c>
      <c r="Y222" s="126" t="s">
        <v>78</v>
      </c>
      <c r="Z222" s="126" t="s">
        <v>81</v>
      </c>
      <c r="AA222" s="126">
        <v>0</v>
      </c>
      <c r="AB222" s="141" t="s">
        <v>78</v>
      </c>
      <c r="AC222" s="126">
        <v>0</v>
      </c>
      <c r="AD222" s="139" t="s">
        <v>78</v>
      </c>
      <c r="AE222" s="126">
        <v>0</v>
      </c>
      <c r="AF222" s="126" t="s">
        <v>78</v>
      </c>
      <c r="AG222" s="126">
        <v>0</v>
      </c>
      <c r="AH222" s="142" t="s">
        <v>81</v>
      </c>
      <c r="AI222" s="142" t="s">
        <v>78</v>
      </c>
      <c r="AJ222" s="142" t="s">
        <v>81</v>
      </c>
      <c r="AK222" s="142" t="s">
        <v>78</v>
      </c>
      <c r="AL222" s="142" t="s">
        <v>78</v>
      </c>
      <c r="AM222" s="142" t="s">
        <v>81</v>
      </c>
      <c r="AN222" s="142" t="s">
        <v>81</v>
      </c>
      <c r="AO222" s="142" t="s">
        <v>78</v>
      </c>
      <c r="AP222" s="142" t="s">
        <v>81</v>
      </c>
      <c r="AQ222" s="142">
        <v>1</v>
      </c>
      <c r="AR222" s="142" t="s">
        <v>74</v>
      </c>
    </row>
    <row r="223" spans="1:44" s="143" customFormat="1" ht="25.05" customHeight="1" x14ac:dyDescent="0.3">
      <c r="A223" s="126" t="s">
        <v>694</v>
      </c>
      <c r="B223" s="125" t="s">
        <v>695</v>
      </c>
      <c r="C223" s="139">
        <v>2018</v>
      </c>
      <c r="D223" s="139" t="s">
        <v>172</v>
      </c>
      <c r="E223" s="139" t="s">
        <v>78</v>
      </c>
      <c r="F223" s="139" t="s">
        <v>537</v>
      </c>
      <c r="G223" s="139" t="s">
        <v>521</v>
      </c>
      <c r="H223" s="139" t="s">
        <v>597</v>
      </c>
      <c r="I223" s="126" t="s">
        <v>101</v>
      </c>
      <c r="J223" s="126" t="s">
        <v>689</v>
      </c>
      <c r="K223" s="126" t="s">
        <v>81</v>
      </c>
      <c r="L223" s="140" t="s">
        <v>104</v>
      </c>
      <c r="M223" s="140">
        <v>100000000</v>
      </c>
      <c r="N223" s="126">
        <v>84210526.315789476</v>
      </c>
      <c r="O223" s="126">
        <v>119926736.84210525</v>
      </c>
      <c r="P223" s="126">
        <v>82020997.379999995</v>
      </c>
      <c r="Q223" s="126">
        <v>82020997.379999995</v>
      </c>
      <c r="R223" s="126">
        <v>116808562.99877939</v>
      </c>
      <c r="S223" s="126">
        <v>82020997.379999995</v>
      </c>
      <c r="T223" s="126">
        <v>82020997.379999995</v>
      </c>
      <c r="U223" s="127">
        <v>116808562.99877939</v>
      </c>
      <c r="V223" s="140" t="s">
        <v>81</v>
      </c>
      <c r="W223" s="126" t="s">
        <v>78</v>
      </c>
      <c r="X223" s="126" t="s">
        <v>81</v>
      </c>
      <c r="Y223" s="126" t="s">
        <v>78</v>
      </c>
      <c r="Z223" s="126" t="s">
        <v>81</v>
      </c>
      <c r="AA223" s="126">
        <v>0</v>
      </c>
      <c r="AB223" s="141" t="s">
        <v>78</v>
      </c>
      <c r="AC223" s="126">
        <v>0</v>
      </c>
      <c r="AD223" s="139" t="s">
        <v>78</v>
      </c>
      <c r="AE223" s="126">
        <v>0</v>
      </c>
      <c r="AF223" s="126" t="s">
        <v>78</v>
      </c>
      <c r="AG223" s="126">
        <v>0</v>
      </c>
      <c r="AH223" s="142" t="s">
        <v>81</v>
      </c>
      <c r="AI223" s="142" t="s">
        <v>78</v>
      </c>
      <c r="AJ223" s="142" t="s">
        <v>81</v>
      </c>
      <c r="AK223" s="142" t="s">
        <v>78</v>
      </c>
      <c r="AL223" s="142" t="s">
        <v>78</v>
      </c>
      <c r="AM223" s="142" t="s">
        <v>81</v>
      </c>
      <c r="AN223" s="142" t="s">
        <v>81</v>
      </c>
      <c r="AO223" s="142" t="s">
        <v>78</v>
      </c>
      <c r="AP223" s="142" t="s">
        <v>81</v>
      </c>
      <c r="AQ223" s="142">
        <v>1</v>
      </c>
      <c r="AR223" s="142" t="s">
        <v>104</v>
      </c>
    </row>
    <row r="224" spans="1:44" s="143" customFormat="1" ht="25.05" customHeight="1" x14ac:dyDescent="0.3">
      <c r="A224" s="126" t="s">
        <v>694</v>
      </c>
      <c r="B224" s="125" t="s">
        <v>717</v>
      </c>
      <c r="C224" s="139">
        <v>2018</v>
      </c>
      <c r="D224" s="139" t="s">
        <v>498</v>
      </c>
      <c r="E224" s="139" t="s">
        <v>78</v>
      </c>
      <c r="F224" s="139" t="s">
        <v>540</v>
      </c>
      <c r="G224" s="139" t="s">
        <v>520</v>
      </c>
      <c r="H224" s="139" t="s">
        <v>597</v>
      </c>
      <c r="I224" s="126" t="s">
        <v>101</v>
      </c>
      <c r="J224" s="126" t="s">
        <v>689</v>
      </c>
      <c r="K224" s="126" t="s">
        <v>81</v>
      </c>
      <c r="L224" s="140" t="s">
        <v>74</v>
      </c>
      <c r="M224" s="140">
        <v>10520000</v>
      </c>
      <c r="N224" s="126">
        <v>10520000</v>
      </c>
      <c r="O224" s="126">
        <v>14981847.6</v>
      </c>
      <c r="P224" s="126">
        <v>10504283.619999999</v>
      </c>
      <c r="Q224" s="126">
        <v>10504283.619999999</v>
      </c>
      <c r="R224" s="126">
        <v>14959465.431750597</v>
      </c>
      <c r="S224" s="126">
        <v>10504283.619999999</v>
      </c>
      <c r="T224" s="126">
        <v>10504283.619999999</v>
      </c>
      <c r="U224" s="127">
        <v>14959465.431750597</v>
      </c>
      <c r="V224" s="140" t="s">
        <v>81</v>
      </c>
      <c r="W224" s="126" t="s">
        <v>78</v>
      </c>
      <c r="X224" s="126" t="s">
        <v>81</v>
      </c>
      <c r="Y224" s="126" t="s">
        <v>78</v>
      </c>
      <c r="Z224" s="126" t="s">
        <v>81</v>
      </c>
      <c r="AA224" s="126">
        <v>0</v>
      </c>
      <c r="AB224" s="141" t="s">
        <v>78</v>
      </c>
      <c r="AC224" s="126">
        <v>0</v>
      </c>
      <c r="AD224" s="139" t="s">
        <v>78</v>
      </c>
      <c r="AE224" s="126">
        <v>0</v>
      </c>
      <c r="AF224" s="126" t="s">
        <v>78</v>
      </c>
      <c r="AG224" s="126">
        <v>0</v>
      </c>
      <c r="AH224" s="142" t="s">
        <v>81</v>
      </c>
      <c r="AI224" s="142" t="s">
        <v>78</v>
      </c>
      <c r="AJ224" s="142" t="s">
        <v>81</v>
      </c>
      <c r="AK224" s="142" t="s">
        <v>78</v>
      </c>
      <c r="AL224" s="142" t="s">
        <v>78</v>
      </c>
      <c r="AM224" s="142" t="s">
        <v>81</v>
      </c>
      <c r="AN224" s="142" t="s">
        <v>81</v>
      </c>
      <c r="AO224" s="142" t="s">
        <v>78</v>
      </c>
      <c r="AP224" s="142" t="s">
        <v>81</v>
      </c>
      <c r="AQ224" s="142">
        <v>1</v>
      </c>
      <c r="AR224" s="142" t="s">
        <v>74</v>
      </c>
    </row>
    <row r="225" spans="1:44" s="143" customFormat="1" ht="25.05" customHeight="1" x14ac:dyDescent="0.3">
      <c r="A225" s="126" t="s">
        <v>1274</v>
      </c>
      <c r="B225" s="125" t="s">
        <v>1275</v>
      </c>
      <c r="C225" s="139">
        <v>2016</v>
      </c>
      <c r="D225" s="139" t="s">
        <v>113</v>
      </c>
      <c r="E225" s="139" t="s">
        <v>78</v>
      </c>
      <c r="F225" s="139" t="s">
        <v>565</v>
      </c>
      <c r="G225" s="139" t="s">
        <v>518</v>
      </c>
      <c r="H225" s="139" t="s">
        <v>587</v>
      </c>
      <c r="I225" s="126" t="s">
        <v>256</v>
      </c>
      <c r="J225" s="126" t="s">
        <v>689</v>
      </c>
      <c r="K225" s="126" t="s">
        <v>81</v>
      </c>
      <c r="L225" s="140" t="s">
        <v>104</v>
      </c>
      <c r="M225" s="140">
        <v>124700000</v>
      </c>
      <c r="N225" s="126">
        <v>97970663.796422154</v>
      </c>
      <c r="O225" s="126">
        <v>135760887.94261608</v>
      </c>
      <c r="P225" s="126">
        <v>102280183.7</v>
      </c>
      <c r="Q225" s="126">
        <v>102280183.7</v>
      </c>
      <c r="R225" s="126">
        <v>141732718.958601</v>
      </c>
      <c r="S225" s="126">
        <v>101459973.8</v>
      </c>
      <c r="T225" s="126">
        <v>101459973.8</v>
      </c>
      <c r="U225" s="127">
        <v>140596129.49387398</v>
      </c>
      <c r="V225" s="140" t="s">
        <v>75</v>
      </c>
      <c r="W225" s="126" t="s">
        <v>1276</v>
      </c>
      <c r="X225" s="126" t="s">
        <v>81</v>
      </c>
      <c r="Y225" s="126" t="s">
        <v>78</v>
      </c>
      <c r="Z225" s="126" t="s">
        <v>81</v>
      </c>
      <c r="AA225" s="126">
        <v>0</v>
      </c>
      <c r="AB225" s="141" t="s">
        <v>78</v>
      </c>
      <c r="AC225" s="126">
        <v>0</v>
      </c>
      <c r="AD225" s="139" t="s">
        <v>78</v>
      </c>
      <c r="AE225" s="126">
        <v>0</v>
      </c>
      <c r="AF225" s="126" t="s">
        <v>78</v>
      </c>
      <c r="AG225" s="126">
        <v>0</v>
      </c>
      <c r="AH225" s="142" t="s">
        <v>81</v>
      </c>
      <c r="AI225" s="142" t="s">
        <v>78</v>
      </c>
      <c r="AJ225" s="142" t="s">
        <v>75</v>
      </c>
      <c r="AK225" s="142" t="s">
        <v>256</v>
      </c>
      <c r="AL225" s="142" t="s">
        <v>78</v>
      </c>
      <c r="AM225" s="142" t="s">
        <v>81</v>
      </c>
      <c r="AN225" s="142" t="s">
        <v>81</v>
      </c>
      <c r="AO225" s="142" t="s">
        <v>78</v>
      </c>
      <c r="AP225" s="142" t="s">
        <v>81</v>
      </c>
      <c r="AQ225" s="142">
        <v>1</v>
      </c>
      <c r="AR225" s="142" t="s">
        <v>104</v>
      </c>
    </row>
    <row r="226" spans="1:44" s="143" customFormat="1" ht="25.05" customHeight="1" x14ac:dyDescent="0.3">
      <c r="A226" s="126" t="s">
        <v>898</v>
      </c>
      <c r="B226" s="125" t="s">
        <v>899</v>
      </c>
      <c r="C226" s="139">
        <v>2018</v>
      </c>
      <c r="D226" s="139" t="s">
        <v>482</v>
      </c>
      <c r="E226" s="139" t="s">
        <v>78</v>
      </c>
      <c r="F226" s="139" t="s">
        <v>527</v>
      </c>
      <c r="G226" s="139" t="s">
        <v>520</v>
      </c>
      <c r="H226" s="139" t="s">
        <v>596</v>
      </c>
      <c r="I226" s="126" t="s">
        <v>101</v>
      </c>
      <c r="J226" s="126" t="s">
        <v>676</v>
      </c>
      <c r="K226" s="126" t="s">
        <v>81</v>
      </c>
      <c r="L226" s="140" t="s">
        <v>74</v>
      </c>
      <c r="M226" s="140">
        <v>7000000</v>
      </c>
      <c r="N226" s="126">
        <v>7000000</v>
      </c>
      <c r="O226" s="126">
        <v>9968910</v>
      </c>
      <c r="P226" s="126">
        <v>7000000</v>
      </c>
      <c r="Q226" s="126">
        <v>7000000</v>
      </c>
      <c r="R226" s="126">
        <v>9968910</v>
      </c>
      <c r="S226" s="126">
        <v>7000000</v>
      </c>
      <c r="T226" s="126">
        <v>7000000</v>
      </c>
      <c r="U226" s="127">
        <v>9968910</v>
      </c>
      <c r="V226" s="140" t="s">
        <v>81</v>
      </c>
      <c r="W226" s="126" t="s">
        <v>78</v>
      </c>
      <c r="X226" s="126" t="s">
        <v>81</v>
      </c>
      <c r="Y226" s="126" t="s">
        <v>78</v>
      </c>
      <c r="Z226" s="126" t="s">
        <v>81</v>
      </c>
      <c r="AA226" s="126">
        <v>0</v>
      </c>
      <c r="AB226" s="141" t="s">
        <v>78</v>
      </c>
      <c r="AC226" s="126">
        <v>0</v>
      </c>
      <c r="AD226" s="139" t="s">
        <v>78</v>
      </c>
      <c r="AE226" s="126">
        <v>0</v>
      </c>
      <c r="AF226" s="126" t="s">
        <v>78</v>
      </c>
      <c r="AG226" s="126">
        <v>0</v>
      </c>
      <c r="AH226" s="142" t="s">
        <v>81</v>
      </c>
      <c r="AI226" s="142" t="s">
        <v>78</v>
      </c>
      <c r="AJ226" s="142" t="s">
        <v>81</v>
      </c>
      <c r="AK226" s="142" t="s">
        <v>78</v>
      </c>
      <c r="AL226" s="142" t="s">
        <v>78</v>
      </c>
      <c r="AM226" s="142" t="s">
        <v>81</v>
      </c>
      <c r="AN226" s="142" t="s">
        <v>81</v>
      </c>
      <c r="AO226" s="142" t="s">
        <v>78</v>
      </c>
      <c r="AP226" s="142" t="s">
        <v>81</v>
      </c>
      <c r="AQ226" s="142">
        <v>1</v>
      </c>
      <c r="AR226" s="142" t="s">
        <v>74</v>
      </c>
    </row>
    <row r="227" spans="1:44" s="143" customFormat="1" ht="25.05" customHeight="1" x14ac:dyDescent="0.3">
      <c r="A227" s="126" t="s">
        <v>736</v>
      </c>
      <c r="B227" s="125" t="s">
        <v>737</v>
      </c>
      <c r="C227" s="139">
        <v>2018</v>
      </c>
      <c r="D227" s="139" t="s">
        <v>502</v>
      </c>
      <c r="E227" s="139" t="s">
        <v>78</v>
      </c>
      <c r="F227" s="139" t="s">
        <v>548</v>
      </c>
      <c r="G227" s="139" t="s">
        <v>520</v>
      </c>
      <c r="H227" s="139" t="s">
        <v>597</v>
      </c>
      <c r="I227" s="126" t="s">
        <v>101</v>
      </c>
      <c r="J227" s="126" t="s">
        <v>689</v>
      </c>
      <c r="K227" s="126" t="s">
        <v>81</v>
      </c>
      <c r="L227" s="140" t="s">
        <v>74</v>
      </c>
      <c r="M227" s="140">
        <v>9000000</v>
      </c>
      <c r="N227" s="126">
        <v>9000000</v>
      </c>
      <c r="O227" s="126">
        <v>12817169.999999998</v>
      </c>
      <c r="P227" s="126">
        <v>9000000</v>
      </c>
      <c r="Q227" s="126">
        <v>9000000</v>
      </c>
      <c r="R227" s="126">
        <v>12817169.999999998</v>
      </c>
      <c r="S227" s="126">
        <v>9000000</v>
      </c>
      <c r="T227" s="126">
        <v>9000000</v>
      </c>
      <c r="U227" s="127">
        <v>12817169.999999998</v>
      </c>
      <c r="V227" s="140" t="s">
        <v>81</v>
      </c>
      <c r="W227" s="126" t="s">
        <v>78</v>
      </c>
      <c r="X227" s="126" t="s">
        <v>81</v>
      </c>
      <c r="Y227" s="126" t="s">
        <v>78</v>
      </c>
      <c r="Z227" s="126" t="s">
        <v>81</v>
      </c>
      <c r="AA227" s="126">
        <v>0</v>
      </c>
      <c r="AB227" s="141" t="s">
        <v>78</v>
      </c>
      <c r="AC227" s="126">
        <v>0</v>
      </c>
      <c r="AD227" s="139" t="s">
        <v>78</v>
      </c>
      <c r="AE227" s="126">
        <v>0</v>
      </c>
      <c r="AF227" s="126" t="s">
        <v>78</v>
      </c>
      <c r="AG227" s="126">
        <v>0</v>
      </c>
      <c r="AH227" s="142" t="s">
        <v>81</v>
      </c>
      <c r="AI227" s="142" t="s">
        <v>78</v>
      </c>
      <c r="AJ227" s="142" t="s">
        <v>81</v>
      </c>
      <c r="AK227" s="142" t="s">
        <v>78</v>
      </c>
      <c r="AL227" s="142" t="s">
        <v>78</v>
      </c>
      <c r="AM227" s="142" t="s">
        <v>81</v>
      </c>
      <c r="AN227" s="142" t="s">
        <v>81</v>
      </c>
      <c r="AO227" s="142" t="s">
        <v>78</v>
      </c>
      <c r="AP227" s="142" t="s">
        <v>81</v>
      </c>
      <c r="AQ227" s="142">
        <v>1</v>
      </c>
      <c r="AR227" s="142" t="s">
        <v>74</v>
      </c>
    </row>
    <row r="228" spans="1:44" s="143" customFormat="1" ht="25.05" customHeight="1" x14ac:dyDescent="0.3">
      <c r="A228" s="126" t="s">
        <v>1070</v>
      </c>
      <c r="B228" s="125" t="s">
        <v>1071</v>
      </c>
      <c r="C228" s="139">
        <v>2017</v>
      </c>
      <c r="D228" s="139" t="s">
        <v>433</v>
      </c>
      <c r="E228" s="139" t="s">
        <v>78</v>
      </c>
      <c r="F228" s="139" t="s">
        <v>564</v>
      </c>
      <c r="G228" s="139" t="s">
        <v>520</v>
      </c>
      <c r="H228" s="139" t="s">
        <v>597</v>
      </c>
      <c r="I228" s="126" t="s">
        <v>101</v>
      </c>
      <c r="J228" s="126" t="s">
        <v>676</v>
      </c>
      <c r="K228" s="126" t="s">
        <v>81</v>
      </c>
      <c r="L228" s="140" t="s">
        <v>74</v>
      </c>
      <c r="M228" s="140">
        <v>9530000</v>
      </c>
      <c r="N228" s="126">
        <v>9530000</v>
      </c>
      <c r="O228" s="126">
        <v>12811464.9</v>
      </c>
      <c r="P228" s="126">
        <v>9530000</v>
      </c>
      <c r="Q228" s="126">
        <v>9530000</v>
      </c>
      <c r="R228" s="126">
        <v>12811464.9</v>
      </c>
      <c r="S228" s="126">
        <v>9530000</v>
      </c>
      <c r="T228" s="126">
        <v>9530000</v>
      </c>
      <c r="U228" s="127">
        <v>12811464.9</v>
      </c>
      <c r="V228" s="140" t="s">
        <v>81</v>
      </c>
      <c r="W228" s="126" t="s">
        <v>78</v>
      </c>
      <c r="X228" s="126" t="s">
        <v>81</v>
      </c>
      <c r="Y228" s="126" t="s">
        <v>78</v>
      </c>
      <c r="Z228" s="126" t="s">
        <v>81</v>
      </c>
      <c r="AA228" s="126">
        <v>0</v>
      </c>
      <c r="AB228" s="141" t="s">
        <v>78</v>
      </c>
      <c r="AC228" s="126">
        <v>0</v>
      </c>
      <c r="AD228" s="139" t="s">
        <v>78</v>
      </c>
      <c r="AE228" s="126">
        <v>0</v>
      </c>
      <c r="AF228" s="126" t="s">
        <v>78</v>
      </c>
      <c r="AG228" s="126">
        <v>0</v>
      </c>
      <c r="AH228" s="142" t="s">
        <v>81</v>
      </c>
      <c r="AI228" s="142" t="s">
        <v>78</v>
      </c>
      <c r="AJ228" s="142" t="s">
        <v>81</v>
      </c>
      <c r="AK228" s="142" t="s">
        <v>78</v>
      </c>
      <c r="AL228" s="142" t="s">
        <v>78</v>
      </c>
      <c r="AM228" s="142" t="s">
        <v>81</v>
      </c>
      <c r="AN228" s="142" t="s">
        <v>81</v>
      </c>
      <c r="AO228" s="142" t="s">
        <v>78</v>
      </c>
      <c r="AP228" s="142" t="s">
        <v>81</v>
      </c>
      <c r="AQ228" s="142">
        <v>1</v>
      </c>
      <c r="AR228" s="142" t="s">
        <v>74</v>
      </c>
    </row>
    <row r="229" spans="1:44" s="143" customFormat="1" ht="25.05" customHeight="1" x14ac:dyDescent="0.3">
      <c r="A229" s="126" t="s">
        <v>1040</v>
      </c>
      <c r="B229" s="125" t="s">
        <v>1041</v>
      </c>
      <c r="C229" s="139">
        <v>2017</v>
      </c>
      <c r="D229" s="139" t="s">
        <v>151</v>
      </c>
      <c r="E229" s="139" t="s">
        <v>78</v>
      </c>
      <c r="F229" s="139" t="s">
        <v>546</v>
      </c>
      <c r="G229" s="139" t="s">
        <v>518</v>
      </c>
      <c r="H229" s="139" t="s">
        <v>575</v>
      </c>
      <c r="I229" s="126" t="s">
        <v>72</v>
      </c>
      <c r="J229" s="126" t="s">
        <v>689</v>
      </c>
      <c r="K229" s="126" t="s">
        <v>81</v>
      </c>
      <c r="L229" s="140" t="s">
        <v>74</v>
      </c>
      <c r="M229" s="140">
        <v>95000000</v>
      </c>
      <c r="N229" s="126">
        <v>95000000</v>
      </c>
      <c r="O229" s="126">
        <v>127711350</v>
      </c>
      <c r="P229" s="126">
        <v>97382638.189999998</v>
      </c>
      <c r="Q229" s="126">
        <v>97382638.189999998</v>
      </c>
      <c r="R229" s="126">
        <v>130914401.9979627</v>
      </c>
      <c r="S229" s="126">
        <v>97382638.189999998</v>
      </c>
      <c r="T229" s="126">
        <v>97382638.189999998</v>
      </c>
      <c r="U229" s="127">
        <v>130914401.9979627</v>
      </c>
      <c r="V229" s="140" t="s">
        <v>81</v>
      </c>
      <c r="W229" s="126" t="s">
        <v>1042</v>
      </c>
      <c r="X229" s="126" t="s">
        <v>81</v>
      </c>
      <c r="Y229" s="126" t="s">
        <v>78</v>
      </c>
      <c r="Z229" s="126" t="s">
        <v>81</v>
      </c>
      <c r="AA229" s="126">
        <v>0</v>
      </c>
      <c r="AB229" s="141" t="s">
        <v>78</v>
      </c>
      <c r="AC229" s="126">
        <v>0</v>
      </c>
      <c r="AD229" s="139" t="s">
        <v>78</v>
      </c>
      <c r="AE229" s="126">
        <v>0</v>
      </c>
      <c r="AF229" s="126" t="s">
        <v>78</v>
      </c>
      <c r="AG229" s="126">
        <v>0</v>
      </c>
      <c r="AH229" s="142" t="s">
        <v>81</v>
      </c>
      <c r="AI229" s="142" t="s">
        <v>78</v>
      </c>
      <c r="AJ229" s="142" t="s">
        <v>81</v>
      </c>
      <c r="AK229" s="142" t="s">
        <v>78</v>
      </c>
      <c r="AL229" s="142" t="s">
        <v>78</v>
      </c>
      <c r="AM229" s="142" t="s">
        <v>81</v>
      </c>
      <c r="AN229" s="142" t="s">
        <v>81</v>
      </c>
      <c r="AO229" s="142" t="s">
        <v>78</v>
      </c>
      <c r="AP229" s="142" t="s">
        <v>81</v>
      </c>
      <c r="AQ229" s="142">
        <v>1</v>
      </c>
      <c r="AR229" s="142" t="s">
        <v>74</v>
      </c>
    </row>
    <row r="230" spans="1:44" s="143" customFormat="1" ht="25.05" customHeight="1" x14ac:dyDescent="0.3">
      <c r="A230" s="126" t="s">
        <v>1304</v>
      </c>
      <c r="B230" s="125" t="s">
        <v>1305</v>
      </c>
      <c r="C230" s="139">
        <v>2016</v>
      </c>
      <c r="D230" s="139" t="s">
        <v>500</v>
      </c>
      <c r="E230" s="139" t="s">
        <v>78</v>
      </c>
      <c r="F230" s="139" t="s">
        <v>547</v>
      </c>
      <c r="G230" s="139" t="s">
        <v>519</v>
      </c>
      <c r="H230" s="139" t="s">
        <v>597</v>
      </c>
      <c r="I230" s="126" t="s">
        <v>101</v>
      </c>
      <c r="J230" s="126" t="s">
        <v>676</v>
      </c>
      <c r="K230" s="126" t="s">
        <v>81</v>
      </c>
      <c r="L230" s="140" t="s">
        <v>74</v>
      </c>
      <c r="M230" s="140">
        <v>41037591.140000001</v>
      </c>
      <c r="N230" s="126">
        <v>41037591.140000001</v>
      </c>
      <c r="O230" s="126">
        <v>56867021.170432195</v>
      </c>
      <c r="P230" s="126">
        <v>43093832.020000003</v>
      </c>
      <c r="Q230" s="126">
        <v>43093832.020000003</v>
      </c>
      <c r="R230" s="126">
        <v>59716415.845074601</v>
      </c>
      <c r="S230" s="126">
        <v>43093832.020000003</v>
      </c>
      <c r="T230" s="126">
        <v>43093832.020000003</v>
      </c>
      <c r="U230" s="127">
        <v>59716415.845074601</v>
      </c>
      <c r="V230" s="140" t="s">
        <v>75</v>
      </c>
      <c r="W230" s="126" t="s">
        <v>1306</v>
      </c>
      <c r="X230" s="126" t="s">
        <v>81</v>
      </c>
      <c r="Y230" s="126" t="s">
        <v>78</v>
      </c>
      <c r="Z230" s="126" t="s">
        <v>81</v>
      </c>
      <c r="AA230" s="126">
        <v>0</v>
      </c>
      <c r="AB230" s="141" t="s">
        <v>78</v>
      </c>
      <c r="AC230" s="126">
        <v>0</v>
      </c>
      <c r="AD230" s="139" t="s">
        <v>78</v>
      </c>
      <c r="AE230" s="126">
        <v>0</v>
      </c>
      <c r="AF230" s="126" t="s">
        <v>78</v>
      </c>
      <c r="AG230" s="126">
        <v>0</v>
      </c>
      <c r="AH230" s="142" t="s">
        <v>81</v>
      </c>
      <c r="AI230" s="142" t="s">
        <v>78</v>
      </c>
      <c r="AJ230" s="142" t="s">
        <v>75</v>
      </c>
      <c r="AK230" s="142" t="s">
        <v>256</v>
      </c>
      <c r="AL230" s="142" t="s">
        <v>78</v>
      </c>
      <c r="AM230" s="142" t="s">
        <v>81</v>
      </c>
      <c r="AN230" s="142" t="s">
        <v>81</v>
      </c>
      <c r="AO230" s="142" t="s">
        <v>78</v>
      </c>
      <c r="AP230" s="142" t="s">
        <v>81</v>
      </c>
      <c r="AQ230" s="142">
        <v>1</v>
      </c>
      <c r="AR230" s="142" t="s">
        <v>74</v>
      </c>
    </row>
    <row r="231" spans="1:44" s="143" customFormat="1" ht="25.05" customHeight="1" x14ac:dyDescent="0.3">
      <c r="A231" s="126" t="s">
        <v>738</v>
      </c>
      <c r="B231" s="125" t="s">
        <v>739</v>
      </c>
      <c r="C231" s="139">
        <v>2018</v>
      </c>
      <c r="D231" s="139" t="s">
        <v>502</v>
      </c>
      <c r="E231" s="139" t="s">
        <v>78</v>
      </c>
      <c r="F231" s="139" t="s">
        <v>548</v>
      </c>
      <c r="G231" s="139" t="s">
        <v>520</v>
      </c>
      <c r="H231" s="139" t="s">
        <v>597</v>
      </c>
      <c r="I231" s="126" t="s">
        <v>101</v>
      </c>
      <c r="J231" s="126" t="s">
        <v>676</v>
      </c>
      <c r="K231" s="126" t="s">
        <v>81</v>
      </c>
      <c r="L231" s="140" t="s">
        <v>74</v>
      </c>
      <c r="M231" s="140">
        <v>23150600</v>
      </c>
      <c r="N231" s="126">
        <v>23150600</v>
      </c>
      <c r="O231" s="126">
        <v>32969463.977999996</v>
      </c>
      <c r="P231" s="126">
        <v>23150600</v>
      </c>
      <c r="Q231" s="126">
        <v>23150600</v>
      </c>
      <c r="R231" s="126">
        <v>32969463.977999996</v>
      </c>
      <c r="S231" s="126">
        <v>23150600</v>
      </c>
      <c r="T231" s="126">
        <v>23150600</v>
      </c>
      <c r="U231" s="127">
        <v>32969463.977999996</v>
      </c>
      <c r="V231" s="140" t="s">
        <v>81</v>
      </c>
      <c r="W231" s="126" t="s">
        <v>78</v>
      </c>
      <c r="X231" s="126" t="s">
        <v>81</v>
      </c>
      <c r="Y231" s="126" t="s">
        <v>78</v>
      </c>
      <c r="Z231" s="126" t="s">
        <v>81</v>
      </c>
      <c r="AA231" s="126">
        <v>0</v>
      </c>
      <c r="AB231" s="141" t="s">
        <v>78</v>
      </c>
      <c r="AC231" s="126">
        <v>0</v>
      </c>
      <c r="AD231" s="139" t="s">
        <v>78</v>
      </c>
      <c r="AE231" s="126">
        <v>0</v>
      </c>
      <c r="AF231" s="126" t="s">
        <v>78</v>
      </c>
      <c r="AG231" s="126">
        <v>0</v>
      </c>
      <c r="AH231" s="142" t="s">
        <v>81</v>
      </c>
      <c r="AI231" s="142" t="s">
        <v>78</v>
      </c>
      <c r="AJ231" s="142" t="s">
        <v>81</v>
      </c>
      <c r="AK231" s="142" t="s">
        <v>78</v>
      </c>
      <c r="AL231" s="142" t="s">
        <v>78</v>
      </c>
      <c r="AM231" s="142" t="s">
        <v>81</v>
      </c>
      <c r="AN231" s="142" t="s">
        <v>81</v>
      </c>
      <c r="AO231" s="142" t="s">
        <v>78</v>
      </c>
      <c r="AP231" s="142" t="s">
        <v>81</v>
      </c>
      <c r="AQ231" s="142">
        <v>1</v>
      </c>
      <c r="AR231" s="142" t="s">
        <v>74</v>
      </c>
    </row>
    <row r="232" spans="1:44" s="143" customFormat="1" ht="25.05" customHeight="1" x14ac:dyDescent="0.3">
      <c r="A232" s="126" t="s">
        <v>744</v>
      </c>
      <c r="B232" s="125" t="s">
        <v>745</v>
      </c>
      <c r="C232" s="139">
        <v>2018</v>
      </c>
      <c r="D232" s="139" t="s">
        <v>282</v>
      </c>
      <c r="E232" s="139" t="s">
        <v>78</v>
      </c>
      <c r="F232" s="139" t="s">
        <v>553</v>
      </c>
      <c r="G232" s="139" t="s">
        <v>520</v>
      </c>
      <c r="H232" s="139" t="s">
        <v>597</v>
      </c>
      <c r="I232" s="126" t="s">
        <v>101</v>
      </c>
      <c r="J232" s="126" t="s">
        <v>676</v>
      </c>
      <c r="K232" s="126" t="s">
        <v>81</v>
      </c>
      <c r="L232" s="140" t="s">
        <v>74</v>
      </c>
      <c r="M232" s="140">
        <v>20000000</v>
      </c>
      <c r="N232" s="126">
        <v>20000000</v>
      </c>
      <c r="O232" s="126">
        <v>28482599.999999996</v>
      </c>
      <c r="P232" s="126">
        <v>20000000</v>
      </c>
      <c r="Q232" s="126">
        <v>20000000</v>
      </c>
      <c r="R232" s="126">
        <v>28482599.999999996</v>
      </c>
      <c r="S232" s="126">
        <v>20000000</v>
      </c>
      <c r="T232" s="126">
        <v>20000000</v>
      </c>
      <c r="U232" s="127">
        <v>28482599.999999996</v>
      </c>
      <c r="V232" s="140" t="s">
        <v>75</v>
      </c>
      <c r="W232" s="126" t="s">
        <v>746</v>
      </c>
      <c r="X232" s="126" t="s">
        <v>81</v>
      </c>
      <c r="Y232" s="126" t="s">
        <v>78</v>
      </c>
      <c r="Z232" s="126" t="s">
        <v>75</v>
      </c>
      <c r="AA232" s="126">
        <v>0</v>
      </c>
      <c r="AB232" s="141" t="s">
        <v>78</v>
      </c>
      <c r="AC232" s="126">
        <v>999</v>
      </c>
      <c r="AD232" s="139" t="s">
        <v>747</v>
      </c>
      <c r="AE232" s="126">
        <v>0</v>
      </c>
      <c r="AF232" s="126" t="s">
        <v>78</v>
      </c>
      <c r="AG232" s="126">
        <v>1</v>
      </c>
      <c r="AH232" s="142" t="s">
        <v>81</v>
      </c>
      <c r="AI232" s="142" t="s">
        <v>78</v>
      </c>
      <c r="AJ232" s="142" t="s">
        <v>75</v>
      </c>
      <c r="AK232" s="142" t="s">
        <v>228</v>
      </c>
      <c r="AL232" s="142" t="s">
        <v>78</v>
      </c>
      <c r="AM232" s="142" t="s">
        <v>81</v>
      </c>
      <c r="AN232" s="142" t="s">
        <v>81</v>
      </c>
      <c r="AO232" s="142" t="s">
        <v>78</v>
      </c>
      <c r="AP232" s="142" t="s">
        <v>81</v>
      </c>
      <c r="AQ232" s="142">
        <v>1</v>
      </c>
      <c r="AR232" s="142" t="s">
        <v>74</v>
      </c>
    </row>
    <row r="233" spans="1:44" s="143" customFormat="1" ht="25.05" customHeight="1" x14ac:dyDescent="0.3">
      <c r="A233" s="126" t="s">
        <v>1251</v>
      </c>
      <c r="B233" s="125" t="s">
        <v>1252</v>
      </c>
      <c r="C233" s="139">
        <v>2016</v>
      </c>
      <c r="D233" s="139" t="s">
        <v>282</v>
      </c>
      <c r="E233" s="139" t="s">
        <v>78</v>
      </c>
      <c r="F233" s="139" t="s">
        <v>553</v>
      </c>
      <c r="G233" s="139" t="s">
        <v>520</v>
      </c>
      <c r="H233" s="139" t="s">
        <v>597</v>
      </c>
      <c r="I233" s="126" t="s">
        <v>101</v>
      </c>
      <c r="J233" s="126" t="s">
        <v>689</v>
      </c>
      <c r="K233" s="126" t="s">
        <v>81</v>
      </c>
      <c r="L233" s="140" t="s">
        <v>74</v>
      </c>
      <c r="M233" s="140">
        <v>10000000</v>
      </c>
      <c r="N233" s="126">
        <v>10000000</v>
      </c>
      <c r="O233" s="126">
        <v>13857299.999999998</v>
      </c>
      <c r="P233" s="126">
        <v>10000000</v>
      </c>
      <c r="Q233" s="126">
        <v>10000000</v>
      </c>
      <c r="R233" s="126">
        <v>13857299.999999998</v>
      </c>
      <c r="S233" s="126">
        <v>10000000</v>
      </c>
      <c r="T233" s="126">
        <v>10000000</v>
      </c>
      <c r="U233" s="127">
        <v>13857299.999999998</v>
      </c>
      <c r="V233" s="140" t="s">
        <v>81</v>
      </c>
      <c r="W233" s="126" t="s">
        <v>78</v>
      </c>
      <c r="X233" s="126" t="s">
        <v>81</v>
      </c>
      <c r="Y233" s="126" t="s">
        <v>78</v>
      </c>
      <c r="Z233" s="126" t="s">
        <v>81</v>
      </c>
      <c r="AA233" s="126">
        <v>0</v>
      </c>
      <c r="AB233" s="141" t="s">
        <v>78</v>
      </c>
      <c r="AC233" s="126">
        <v>0</v>
      </c>
      <c r="AD233" s="139" t="s">
        <v>78</v>
      </c>
      <c r="AE233" s="126">
        <v>0</v>
      </c>
      <c r="AF233" s="126" t="s">
        <v>78</v>
      </c>
      <c r="AG233" s="126">
        <v>0</v>
      </c>
      <c r="AH233" s="142" t="s">
        <v>81</v>
      </c>
      <c r="AI233" s="142" t="s">
        <v>78</v>
      </c>
      <c r="AJ233" s="142" t="s">
        <v>81</v>
      </c>
      <c r="AK233" s="142" t="s">
        <v>78</v>
      </c>
      <c r="AL233" s="142" t="s">
        <v>78</v>
      </c>
      <c r="AM233" s="142" t="s">
        <v>81</v>
      </c>
      <c r="AN233" s="142" t="s">
        <v>81</v>
      </c>
      <c r="AO233" s="142" t="s">
        <v>78</v>
      </c>
      <c r="AP233" s="142" t="s">
        <v>81</v>
      </c>
      <c r="AQ233" s="142">
        <v>1</v>
      </c>
      <c r="AR233" s="142" t="s">
        <v>74</v>
      </c>
    </row>
    <row r="234" spans="1:44" s="143" customFormat="1" ht="25.05" customHeight="1" x14ac:dyDescent="0.3">
      <c r="A234" s="126" t="s">
        <v>766</v>
      </c>
      <c r="B234" s="125" t="s">
        <v>767</v>
      </c>
      <c r="C234" s="139">
        <v>2018</v>
      </c>
      <c r="D234" s="139" t="s">
        <v>155</v>
      </c>
      <c r="E234" s="139" t="s">
        <v>78</v>
      </c>
      <c r="F234" s="139" t="s">
        <v>559</v>
      </c>
      <c r="G234" s="139" t="s">
        <v>520</v>
      </c>
      <c r="H234" s="139" t="s">
        <v>596</v>
      </c>
      <c r="I234" s="126" t="s">
        <v>101</v>
      </c>
      <c r="J234" s="126" t="s">
        <v>689</v>
      </c>
      <c r="K234" s="126" t="s">
        <v>81</v>
      </c>
      <c r="L234" s="140" t="s">
        <v>74</v>
      </c>
      <c r="M234" s="140">
        <v>100000000</v>
      </c>
      <c r="N234" s="126">
        <v>100000000</v>
      </c>
      <c r="O234" s="126">
        <v>142413000</v>
      </c>
      <c r="P234" s="126">
        <v>49212598.43</v>
      </c>
      <c r="Q234" s="126">
        <v>49212598.43</v>
      </c>
      <c r="R234" s="126">
        <v>70085137.802115887</v>
      </c>
      <c r="S234" s="126">
        <v>49212598.43</v>
      </c>
      <c r="T234" s="126">
        <v>49212598.43</v>
      </c>
      <c r="U234" s="127">
        <v>70085137.802115887</v>
      </c>
      <c r="V234" s="140" t="s">
        <v>75</v>
      </c>
      <c r="W234" s="126" t="s">
        <v>768</v>
      </c>
      <c r="X234" s="126" t="s">
        <v>81</v>
      </c>
      <c r="Y234" s="126" t="s">
        <v>78</v>
      </c>
      <c r="Z234" s="126" t="s">
        <v>75</v>
      </c>
      <c r="AA234" s="126">
        <v>999</v>
      </c>
      <c r="AB234" s="141" t="s">
        <v>769</v>
      </c>
      <c r="AC234" s="126">
        <v>999</v>
      </c>
      <c r="AD234" s="139" t="s">
        <v>770</v>
      </c>
      <c r="AE234" s="126">
        <v>0</v>
      </c>
      <c r="AF234" s="126" t="s">
        <v>78</v>
      </c>
      <c r="AG234" s="126">
        <v>3</v>
      </c>
      <c r="AH234" s="142" t="s">
        <v>75</v>
      </c>
      <c r="AI234" s="142" t="s">
        <v>771</v>
      </c>
      <c r="AJ234" s="142" t="s">
        <v>81</v>
      </c>
      <c r="AK234" s="142" t="s">
        <v>78</v>
      </c>
      <c r="AL234" s="142" t="s">
        <v>78</v>
      </c>
      <c r="AM234" s="142" t="s">
        <v>81</v>
      </c>
      <c r="AN234" s="142" t="s">
        <v>81</v>
      </c>
      <c r="AO234" s="142" t="s">
        <v>78</v>
      </c>
      <c r="AP234" s="142" t="s">
        <v>81</v>
      </c>
      <c r="AQ234" s="142">
        <v>1</v>
      </c>
      <c r="AR234" s="142" t="s">
        <v>74</v>
      </c>
    </row>
    <row r="235" spans="1:44" s="143" customFormat="1" ht="25.05" customHeight="1" x14ac:dyDescent="0.3">
      <c r="A235" s="126" t="s">
        <v>1419</v>
      </c>
      <c r="B235" s="126" t="s">
        <v>1859</v>
      </c>
      <c r="C235" s="139">
        <v>2019</v>
      </c>
      <c r="D235" s="139" t="s">
        <v>87</v>
      </c>
      <c r="E235" s="139" t="s">
        <v>1421</v>
      </c>
      <c r="F235" s="139" t="s">
        <v>1848</v>
      </c>
      <c r="G235" s="139" t="s">
        <v>87</v>
      </c>
      <c r="H235" s="139" t="s">
        <v>593</v>
      </c>
      <c r="I235" s="126" t="s">
        <v>101</v>
      </c>
      <c r="J235" s="126" t="s">
        <v>676</v>
      </c>
      <c r="K235" s="126" t="s">
        <v>81</v>
      </c>
      <c r="L235" s="126" t="s">
        <v>126</v>
      </c>
      <c r="M235" s="126">
        <v>49000000</v>
      </c>
      <c r="N235" s="126">
        <v>35231774.746726684</v>
      </c>
      <c r="O235" s="126">
        <v>49000000.000000007</v>
      </c>
      <c r="P235" s="126">
        <v>15000000</v>
      </c>
      <c r="Q235" s="126">
        <v>15000000</v>
      </c>
      <c r="R235" s="126">
        <v>20861850</v>
      </c>
      <c r="S235" s="126">
        <v>12000000</v>
      </c>
      <c r="T235" s="126">
        <v>12000000</v>
      </c>
      <c r="U235" s="127">
        <v>16689480</v>
      </c>
      <c r="V235" s="126" t="s">
        <v>81</v>
      </c>
      <c r="W235" s="126" t="s">
        <v>78</v>
      </c>
      <c r="X235" s="126" t="s">
        <v>81</v>
      </c>
      <c r="Y235" s="126" t="s">
        <v>1422</v>
      </c>
      <c r="Z235" s="126" t="s">
        <v>81</v>
      </c>
      <c r="AA235" s="126">
        <v>0</v>
      </c>
      <c r="AB235" s="141" t="s">
        <v>78</v>
      </c>
      <c r="AC235" s="126">
        <v>0</v>
      </c>
      <c r="AD235" s="139" t="s">
        <v>78</v>
      </c>
      <c r="AE235" s="126">
        <v>0</v>
      </c>
      <c r="AF235" s="126" t="s">
        <v>78</v>
      </c>
      <c r="AG235" s="126">
        <v>0</v>
      </c>
      <c r="AH235" s="142" t="s">
        <v>81</v>
      </c>
      <c r="AI235" s="142" t="s">
        <v>78</v>
      </c>
      <c r="AJ235" s="142" t="s">
        <v>81</v>
      </c>
      <c r="AK235" s="142" t="s">
        <v>1423</v>
      </c>
      <c r="AL235" s="142" t="s">
        <v>397</v>
      </c>
      <c r="AM235" s="142" t="s">
        <v>75</v>
      </c>
      <c r="AN235" s="142" t="s">
        <v>81</v>
      </c>
      <c r="AO235" s="142" t="s">
        <v>78</v>
      </c>
      <c r="AP235" s="142" t="s">
        <v>81</v>
      </c>
      <c r="AQ235" s="142">
        <v>1</v>
      </c>
      <c r="AR235" s="142" t="s">
        <v>126</v>
      </c>
    </row>
    <row r="236" spans="1:44" s="143" customFormat="1" ht="25.05" customHeight="1" x14ac:dyDescent="0.3">
      <c r="A236" s="126" t="s">
        <v>1065</v>
      </c>
      <c r="B236" s="125" t="s">
        <v>1066</v>
      </c>
      <c r="C236" s="139">
        <v>2017</v>
      </c>
      <c r="D236" s="139" t="s">
        <v>172</v>
      </c>
      <c r="E236" s="139" t="s">
        <v>78</v>
      </c>
      <c r="F236" s="139" t="s">
        <v>537</v>
      </c>
      <c r="G236" s="139" t="s">
        <v>521</v>
      </c>
      <c r="H236" s="139" t="s">
        <v>587</v>
      </c>
      <c r="I236" s="126" t="s">
        <v>256</v>
      </c>
      <c r="J236" s="126" t="s">
        <v>689</v>
      </c>
      <c r="K236" s="126" t="s">
        <v>81</v>
      </c>
      <c r="L236" s="140" t="s">
        <v>104</v>
      </c>
      <c r="M236" s="140">
        <v>117400000</v>
      </c>
      <c r="N236" s="126">
        <v>92053883.67023696</v>
      </c>
      <c r="O236" s="126">
        <v>123750797.43440965</v>
      </c>
      <c r="P236" s="126">
        <v>96292650.920000002</v>
      </c>
      <c r="Q236" s="126">
        <v>96292650.920000002</v>
      </c>
      <c r="R236" s="126">
        <v>129449099.41128361</v>
      </c>
      <c r="S236" s="126">
        <v>96292650.920000002</v>
      </c>
      <c r="T236" s="126">
        <v>96292650.920000002</v>
      </c>
      <c r="U236" s="127">
        <v>129449099.41128361</v>
      </c>
      <c r="V236" s="140" t="s">
        <v>75</v>
      </c>
      <c r="W236" s="126" t="s">
        <v>1067</v>
      </c>
      <c r="X236" s="126" t="s">
        <v>81</v>
      </c>
      <c r="Y236" s="126" t="s">
        <v>78</v>
      </c>
      <c r="Z236" s="126" t="s">
        <v>75</v>
      </c>
      <c r="AA236" s="126">
        <v>999</v>
      </c>
      <c r="AB236" s="141" t="s">
        <v>1068</v>
      </c>
      <c r="AC236" s="126">
        <v>999</v>
      </c>
      <c r="AD236" s="139" t="s">
        <v>1069</v>
      </c>
      <c r="AE236" s="126">
        <v>0</v>
      </c>
      <c r="AF236" s="126" t="s">
        <v>78</v>
      </c>
      <c r="AG236" s="126">
        <v>2</v>
      </c>
      <c r="AH236" s="142" t="s">
        <v>81</v>
      </c>
      <c r="AI236" s="142" t="s">
        <v>78</v>
      </c>
      <c r="AJ236" s="142" t="s">
        <v>81</v>
      </c>
      <c r="AK236" s="142" t="s">
        <v>78</v>
      </c>
      <c r="AL236" s="142" t="s">
        <v>78</v>
      </c>
      <c r="AM236" s="142" t="s">
        <v>81</v>
      </c>
      <c r="AN236" s="142" t="s">
        <v>81</v>
      </c>
      <c r="AO236" s="142" t="s">
        <v>78</v>
      </c>
      <c r="AP236" s="142" t="s">
        <v>81</v>
      </c>
      <c r="AQ236" s="142">
        <v>1</v>
      </c>
      <c r="AR236" s="142" t="s">
        <v>104</v>
      </c>
    </row>
    <row r="237" spans="1:44" s="143" customFormat="1" ht="25.05" customHeight="1" x14ac:dyDescent="0.3">
      <c r="A237" s="126" t="s">
        <v>1508</v>
      </c>
      <c r="B237" s="126" t="s">
        <v>1509</v>
      </c>
      <c r="C237" s="139">
        <v>2019</v>
      </c>
      <c r="D237" s="139" t="s">
        <v>113</v>
      </c>
      <c r="E237" s="139" t="s">
        <v>78</v>
      </c>
      <c r="F237" s="139" t="s">
        <v>565</v>
      </c>
      <c r="G237" s="139" t="s">
        <v>518</v>
      </c>
      <c r="H237" s="139" t="s">
        <v>228</v>
      </c>
      <c r="I237" s="126" t="s">
        <v>228</v>
      </c>
      <c r="J237" s="126" t="s">
        <v>679</v>
      </c>
      <c r="K237" s="126" t="s">
        <v>81</v>
      </c>
      <c r="L237" s="126" t="s">
        <v>104</v>
      </c>
      <c r="M237" s="126">
        <v>44840000</v>
      </c>
      <c r="N237" s="126">
        <v>36928449.071023852</v>
      </c>
      <c r="O237" s="126">
        <v>51359717.683489263</v>
      </c>
      <c r="P237" s="126">
        <v>20636363</v>
      </c>
      <c r="Q237" s="126">
        <v>20636363</v>
      </c>
      <c r="R237" s="126">
        <v>28700847.296769999</v>
      </c>
      <c r="S237" s="126">
        <v>20636363</v>
      </c>
      <c r="T237" s="126">
        <v>20636363</v>
      </c>
      <c r="U237" s="127">
        <v>28700847.296769999</v>
      </c>
      <c r="V237" s="126" t="s">
        <v>75</v>
      </c>
      <c r="W237" s="126" t="s">
        <v>1510</v>
      </c>
      <c r="X237" s="126" t="s">
        <v>75</v>
      </c>
      <c r="Y237" s="126" t="s">
        <v>1511</v>
      </c>
      <c r="Z237" s="126" t="s">
        <v>81</v>
      </c>
      <c r="AA237" s="126">
        <v>0</v>
      </c>
      <c r="AB237" s="141" t="s">
        <v>78</v>
      </c>
      <c r="AC237" s="126">
        <v>0</v>
      </c>
      <c r="AD237" s="139" t="s">
        <v>78</v>
      </c>
      <c r="AE237" s="126">
        <v>0</v>
      </c>
      <c r="AF237" s="126" t="s">
        <v>78</v>
      </c>
      <c r="AG237" s="126">
        <v>0</v>
      </c>
      <c r="AH237" s="142" t="s">
        <v>81</v>
      </c>
      <c r="AI237" s="142" t="s">
        <v>78</v>
      </c>
      <c r="AJ237" s="142" t="s">
        <v>81</v>
      </c>
      <c r="AK237" s="142" t="s">
        <v>1423</v>
      </c>
      <c r="AL237" s="142" t="s">
        <v>132</v>
      </c>
      <c r="AM237" s="142" t="s">
        <v>75</v>
      </c>
      <c r="AN237" s="142" t="s">
        <v>81</v>
      </c>
      <c r="AO237" s="142" t="s">
        <v>78</v>
      </c>
      <c r="AP237" s="142" t="s">
        <v>81</v>
      </c>
      <c r="AQ237" s="142">
        <v>1</v>
      </c>
      <c r="AR237" s="142" t="s">
        <v>104</v>
      </c>
    </row>
    <row r="238" spans="1:44" s="143" customFormat="1" ht="25.05" customHeight="1" x14ac:dyDescent="0.3">
      <c r="A238" s="126" t="s">
        <v>262</v>
      </c>
      <c r="B238" s="126" t="s">
        <v>263</v>
      </c>
      <c r="C238" s="139">
        <v>2020</v>
      </c>
      <c r="D238" s="139" t="s">
        <v>135</v>
      </c>
      <c r="E238" s="139">
        <v>0</v>
      </c>
      <c r="F238" s="139" t="s">
        <v>530</v>
      </c>
      <c r="G238" s="139" t="s">
        <v>520</v>
      </c>
      <c r="H238" s="139" t="s">
        <v>264</v>
      </c>
      <c r="I238" s="126" t="s">
        <v>228</v>
      </c>
      <c r="J238" s="126" t="s">
        <v>73</v>
      </c>
      <c r="K238" s="126" t="s">
        <v>81</v>
      </c>
      <c r="L238" s="126" t="s">
        <v>74</v>
      </c>
      <c r="M238" s="126">
        <v>11970000</v>
      </c>
      <c r="N238" s="126">
        <v>11970000</v>
      </c>
      <c r="O238" s="126">
        <v>16552475.1</v>
      </c>
      <c r="P238" s="126" t="s">
        <v>659</v>
      </c>
      <c r="Q238" s="126" t="s">
        <v>659</v>
      </c>
      <c r="R238" s="126" t="s">
        <v>659</v>
      </c>
      <c r="S238" s="126">
        <v>2000000</v>
      </c>
      <c r="T238" s="126">
        <v>2000000</v>
      </c>
      <c r="U238" s="127">
        <v>2765660</v>
      </c>
      <c r="V238" s="126" t="s">
        <v>75</v>
      </c>
      <c r="W238" s="126" t="s">
        <v>265</v>
      </c>
      <c r="X238" s="126" t="s">
        <v>75</v>
      </c>
      <c r="Y238" s="126" t="s">
        <v>266</v>
      </c>
      <c r="Z238" s="126" t="s">
        <v>75</v>
      </c>
      <c r="AA238" s="126">
        <v>2</v>
      </c>
      <c r="AB238" s="141" t="s">
        <v>267</v>
      </c>
      <c r="AC238" s="126">
        <v>2</v>
      </c>
      <c r="AD238" s="139" t="s">
        <v>268</v>
      </c>
      <c r="AE238" s="126">
        <v>2</v>
      </c>
      <c r="AF238" s="126" t="s">
        <v>269</v>
      </c>
      <c r="AG238" s="126">
        <v>6</v>
      </c>
      <c r="AH238" s="142" t="s">
        <v>81</v>
      </c>
      <c r="AI238" s="142">
        <v>0</v>
      </c>
      <c r="AJ238" s="142" t="s">
        <v>75</v>
      </c>
      <c r="AK238" s="142" t="s">
        <v>270</v>
      </c>
      <c r="AL238" s="142" t="s">
        <v>121</v>
      </c>
      <c r="AM238" s="142" t="s">
        <v>75</v>
      </c>
      <c r="AN238" s="142" t="s">
        <v>75</v>
      </c>
      <c r="AO238" s="142" t="s">
        <v>110</v>
      </c>
      <c r="AP238" s="142" t="s">
        <v>75</v>
      </c>
      <c r="AQ238" s="142">
        <v>1</v>
      </c>
      <c r="AR238" s="142" t="s">
        <v>74</v>
      </c>
    </row>
    <row r="239" spans="1:44" s="143" customFormat="1" ht="25.05" customHeight="1" x14ac:dyDescent="0.3">
      <c r="A239" s="126" t="s">
        <v>424</v>
      </c>
      <c r="B239" s="126" t="s">
        <v>425</v>
      </c>
      <c r="C239" s="139">
        <v>2021</v>
      </c>
      <c r="D239" s="139" t="s">
        <v>151</v>
      </c>
      <c r="E239" s="139">
        <v>0</v>
      </c>
      <c r="F239" s="139" t="s">
        <v>546</v>
      </c>
      <c r="G239" s="139" t="s">
        <v>518</v>
      </c>
      <c r="H239" s="139" t="s">
        <v>255</v>
      </c>
      <c r="I239" s="126" t="s">
        <v>256</v>
      </c>
      <c r="J239" s="126" t="s">
        <v>116</v>
      </c>
      <c r="K239" s="126" t="s">
        <v>81</v>
      </c>
      <c r="L239" s="126" t="s">
        <v>74</v>
      </c>
      <c r="M239" s="126">
        <v>120800000</v>
      </c>
      <c r="N239" s="126">
        <v>120800000</v>
      </c>
      <c r="O239" s="126">
        <v>173984616</v>
      </c>
      <c r="P239" s="126" t="s">
        <v>659</v>
      </c>
      <c r="Q239" s="126" t="s">
        <v>659</v>
      </c>
      <c r="R239" s="126" t="s">
        <v>659</v>
      </c>
      <c r="S239" s="126">
        <v>59100000</v>
      </c>
      <c r="T239" s="126">
        <v>59100000</v>
      </c>
      <c r="U239" s="127">
        <v>85119957</v>
      </c>
      <c r="V239" s="126" t="s">
        <v>75</v>
      </c>
      <c r="W239" s="126" t="s">
        <v>426</v>
      </c>
      <c r="X239" s="126" t="s">
        <v>75</v>
      </c>
      <c r="Y239" s="126" t="s">
        <v>427</v>
      </c>
      <c r="Z239" s="126" t="s">
        <v>75</v>
      </c>
      <c r="AA239" s="126">
        <v>0</v>
      </c>
      <c r="AB239" s="141" t="s">
        <v>78</v>
      </c>
      <c r="AC239" s="126">
        <v>1</v>
      </c>
      <c r="AD239" s="139" t="s">
        <v>428</v>
      </c>
      <c r="AE239" s="126">
        <v>1</v>
      </c>
      <c r="AF239" s="126" t="s">
        <v>429</v>
      </c>
      <c r="AG239" s="126">
        <v>2</v>
      </c>
      <c r="AH239" s="142" t="s">
        <v>81</v>
      </c>
      <c r="AI239" s="142">
        <v>0</v>
      </c>
      <c r="AJ239" s="142" t="s">
        <v>75</v>
      </c>
      <c r="AK239" s="142" t="s">
        <v>430</v>
      </c>
      <c r="AL239" s="142" t="s">
        <v>132</v>
      </c>
      <c r="AM239" s="142" t="s">
        <v>75</v>
      </c>
      <c r="AN239" s="142" t="s">
        <v>75</v>
      </c>
      <c r="AO239" s="142" t="s">
        <v>110</v>
      </c>
      <c r="AP239" s="142" t="s">
        <v>75</v>
      </c>
      <c r="AQ239" s="142">
        <v>1</v>
      </c>
      <c r="AR239" s="142" t="s">
        <v>74</v>
      </c>
    </row>
    <row r="240" spans="1:44" s="143" customFormat="1" ht="25.05" customHeight="1" x14ac:dyDescent="0.3">
      <c r="A240" s="126" t="s">
        <v>1696</v>
      </c>
      <c r="B240" s="126" t="s">
        <v>1697</v>
      </c>
      <c r="C240" s="139">
        <v>2019</v>
      </c>
      <c r="D240" s="139" t="s">
        <v>155</v>
      </c>
      <c r="E240" s="139" t="s">
        <v>78</v>
      </c>
      <c r="F240" s="139" t="s">
        <v>559</v>
      </c>
      <c r="G240" s="139" t="s">
        <v>520</v>
      </c>
      <c r="H240" s="139" t="s">
        <v>115</v>
      </c>
      <c r="I240" s="126" t="s">
        <v>115</v>
      </c>
      <c r="J240" s="126" t="s">
        <v>679</v>
      </c>
      <c r="K240" s="126" t="s">
        <v>81</v>
      </c>
      <c r="L240" s="126" t="s">
        <v>74</v>
      </c>
      <c r="M240" s="126">
        <v>90000000</v>
      </c>
      <c r="N240" s="126">
        <v>90000000</v>
      </c>
      <c r="O240" s="126">
        <v>125171100</v>
      </c>
      <c r="P240" s="126">
        <v>49962352.170000002</v>
      </c>
      <c r="Q240" s="126">
        <v>49962352.170000002</v>
      </c>
      <c r="R240" s="126">
        <v>69487139.774514303</v>
      </c>
      <c r="S240" s="126">
        <v>49962352.170000002</v>
      </c>
      <c r="T240" s="126">
        <v>49962352.170000002</v>
      </c>
      <c r="U240" s="127">
        <v>69487139.774514303</v>
      </c>
      <c r="V240" s="126" t="s">
        <v>81</v>
      </c>
      <c r="W240" s="126" t="s">
        <v>78</v>
      </c>
      <c r="X240" s="126" t="s">
        <v>81</v>
      </c>
      <c r="Y240" s="126" t="s">
        <v>1698</v>
      </c>
      <c r="Z240" s="126" t="s">
        <v>81</v>
      </c>
      <c r="AA240" s="126">
        <v>0</v>
      </c>
      <c r="AB240" s="141" t="s">
        <v>78</v>
      </c>
      <c r="AC240" s="126">
        <v>0</v>
      </c>
      <c r="AD240" s="139" t="s">
        <v>78</v>
      </c>
      <c r="AE240" s="126">
        <v>0</v>
      </c>
      <c r="AF240" s="126" t="s">
        <v>78</v>
      </c>
      <c r="AG240" s="126">
        <v>0</v>
      </c>
      <c r="AH240" s="142" t="s">
        <v>81</v>
      </c>
      <c r="AI240" s="142" t="s">
        <v>78</v>
      </c>
      <c r="AJ240" s="142" t="s">
        <v>81</v>
      </c>
      <c r="AK240" s="142" t="s">
        <v>1423</v>
      </c>
      <c r="AL240" s="142" t="s">
        <v>1523</v>
      </c>
      <c r="AM240" s="142" t="s">
        <v>81</v>
      </c>
      <c r="AN240" s="142" t="s">
        <v>81</v>
      </c>
      <c r="AO240" s="142" t="s">
        <v>78</v>
      </c>
      <c r="AP240" s="142" t="s">
        <v>81</v>
      </c>
      <c r="AQ240" s="142">
        <v>1</v>
      </c>
      <c r="AR240" s="142" t="s">
        <v>74</v>
      </c>
    </row>
    <row r="241" spans="1:44" s="143" customFormat="1" ht="25.05" customHeight="1" x14ac:dyDescent="0.3">
      <c r="A241" s="126" t="s">
        <v>244</v>
      </c>
      <c r="B241" s="126" t="s">
        <v>245</v>
      </c>
      <c r="C241" s="139">
        <v>2020</v>
      </c>
      <c r="D241" s="139" t="s">
        <v>87</v>
      </c>
      <c r="E241" s="139" t="s">
        <v>246</v>
      </c>
      <c r="F241" s="139" t="s">
        <v>1848</v>
      </c>
      <c r="G241" s="139" t="s">
        <v>87</v>
      </c>
      <c r="H241" s="139" t="s">
        <v>71</v>
      </c>
      <c r="I241" s="126" t="s">
        <v>72</v>
      </c>
      <c r="J241" s="126" t="s">
        <v>180</v>
      </c>
      <c r="K241" s="126" t="s">
        <v>81</v>
      </c>
      <c r="L241" s="126" t="s">
        <v>74</v>
      </c>
      <c r="M241" s="126">
        <v>9970000</v>
      </c>
      <c r="N241" s="126">
        <v>9970000</v>
      </c>
      <c r="O241" s="126">
        <v>13786815.1</v>
      </c>
      <c r="P241" s="126" t="s">
        <v>659</v>
      </c>
      <c r="Q241" s="126" t="s">
        <v>659</v>
      </c>
      <c r="R241" s="126" t="s">
        <v>659</v>
      </c>
      <c r="S241" s="126">
        <v>9970000</v>
      </c>
      <c r="T241" s="126">
        <v>9970000</v>
      </c>
      <c r="U241" s="127">
        <v>13786815.1</v>
      </c>
      <c r="V241" s="126" t="s">
        <v>75</v>
      </c>
      <c r="W241" s="126" t="s">
        <v>247</v>
      </c>
      <c r="X241" s="126" t="s">
        <v>75</v>
      </c>
      <c r="Y241" s="126" t="s">
        <v>248</v>
      </c>
      <c r="Z241" s="126" t="s">
        <v>75</v>
      </c>
      <c r="AA241" s="126">
        <v>0</v>
      </c>
      <c r="AB241" s="141" t="s">
        <v>78</v>
      </c>
      <c r="AC241" s="126">
        <v>0</v>
      </c>
      <c r="AD241" s="139" t="s">
        <v>78</v>
      </c>
      <c r="AE241" s="126">
        <v>2</v>
      </c>
      <c r="AF241" s="126" t="s">
        <v>249</v>
      </c>
      <c r="AG241" s="126">
        <v>2</v>
      </c>
      <c r="AH241" s="142" t="s">
        <v>75</v>
      </c>
      <c r="AI241" s="142" t="s">
        <v>250</v>
      </c>
      <c r="AJ241" s="142" t="s">
        <v>75</v>
      </c>
      <c r="AK241" s="142" t="s">
        <v>251</v>
      </c>
      <c r="AL241" s="142" t="s">
        <v>121</v>
      </c>
      <c r="AM241" s="142" t="s">
        <v>75</v>
      </c>
      <c r="AN241" s="142" t="s">
        <v>81</v>
      </c>
      <c r="AO241" s="142" t="s">
        <v>84</v>
      </c>
      <c r="AP241" s="142" t="s">
        <v>81</v>
      </c>
      <c r="AQ241" s="142">
        <v>1</v>
      </c>
      <c r="AR241" s="142" t="s">
        <v>74</v>
      </c>
    </row>
    <row r="242" spans="1:44" s="143" customFormat="1" ht="25.05" customHeight="1" x14ac:dyDescent="0.3">
      <c r="A242" s="126" t="s">
        <v>1465</v>
      </c>
      <c r="B242" s="126" t="s">
        <v>1466</v>
      </c>
      <c r="C242" s="139">
        <v>2019</v>
      </c>
      <c r="D242" s="139" t="s">
        <v>289</v>
      </c>
      <c r="E242" s="139" t="s">
        <v>78</v>
      </c>
      <c r="F242" s="139" t="s">
        <v>492</v>
      </c>
      <c r="G242" s="139" t="s">
        <v>521</v>
      </c>
      <c r="H242" s="139" t="s">
        <v>228</v>
      </c>
      <c r="I242" s="126" t="s">
        <v>228</v>
      </c>
      <c r="J242" s="126" t="s">
        <v>676</v>
      </c>
      <c r="K242" s="126" t="s">
        <v>81</v>
      </c>
      <c r="L242" s="126" t="s">
        <v>74</v>
      </c>
      <c r="M242" s="126">
        <v>21434370</v>
      </c>
      <c r="N242" s="126">
        <v>21434370</v>
      </c>
      <c r="O242" s="126">
        <v>29810707.452300001</v>
      </c>
      <c r="P242" s="126">
        <v>20000000</v>
      </c>
      <c r="Q242" s="126">
        <v>20000000</v>
      </c>
      <c r="R242" s="126">
        <v>27815800</v>
      </c>
      <c r="S242" s="126">
        <v>20000000</v>
      </c>
      <c r="T242" s="126">
        <v>20000000</v>
      </c>
      <c r="U242" s="127">
        <v>27815800</v>
      </c>
      <c r="V242" s="126" t="s">
        <v>75</v>
      </c>
      <c r="W242" s="126" t="s">
        <v>1467</v>
      </c>
      <c r="X242" s="126" t="s">
        <v>75</v>
      </c>
      <c r="Y242" s="126" t="s">
        <v>1468</v>
      </c>
      <c r="Z242" s="126" t="s">
        <v>75</v>
      </c>
      <c r="AA242" s="126">
        <v>999</v>
      </c>
      <c r="AB242" s="141" t="s">
        <v>1469</v>
      </c>
      <c r="AC242" s="126">
        <v>0</v>
      </c>
      <c r="AD242" s="139" t="s">
        <v>78</v>
      </c>
      <c r="AE242" s="126">
        <v>999</v>
      </c>
      <c r="AF242" s="126" t="s">
        <v>1470</v>
      </c>
      <c r="AG242" s="126">
        <v>3</v>
      </c>
      <c r="AH242" s="142" t="s">
        <v>81</v>
      </c>
      <c r="AI242" s="142" t="s">
        <v>78</v>
      </c>
      <c r="AJ242" s="142" t="s">
        <v>75</v>
      </c>
      <c r="AK242" s="142" t="s">
        <v>1471</v>
      </c>
      <c r="AL242" s="142" t="s">
        <v>121</v>
      </c>
      <c r="AM242" s="142" t="s">
        <v>75</v>
      </c>
      <c r="AN242" s="142" t="s">
        <v>75</v>
      </c>
      <c r="AO242" s="142" t="s">
        <v>78</v>
      </c>
      <c r="AP242" s="142" t="s">
        <v>75</v>
      </c>
      <c r="AQ242" s="142">
        <v>1</v>
      </c>
      <c r="AR242" s="142" t="s">
        <v>74</v>
      </c>
    </row>
    <row r="243" spans="1:44" s="143" customFormat="1" ht="25.05" customHeight="1" x14ac:dyDescent="0.3">
      <c r="A243" s="126" t="s">
        <v>1639</v>
      </c>
      <c r="B243" s="126" t="s">
        <v>1640</v>
      </c>
      <c r="C243" s="139">
        <v>2019</v>
      </c>
      <c r="D243" s="139" t="s">
        <v>317</v>
      </c>
      <c r="E243" s="139" t="s">
        <v>78</v>
      </c>
      <c r="F243" s="139" t="s">
        <v>526</v>
      </c>
      <c r="G243" s="139" t="s">
        <v>522</v>
      </c>
      <c r="H243" s="139" t="s">
        <v>577</v>
      </c>
      <c r="I243" s="126" t="s">
        <v>115</v>
      </c>
      <c r="J243" s="126" t="s">
        <v>676</v>
      </c>
      <c r="K243" s="126" t="s">
        <v>81</v>
      </c>
      <c r="L243" s="126" t="s">
        <v>74</v>
      </c>
      <c r="M243" s="126">
        <v>6791000</v>
      </c>
      <c r="N243" s="126">
        <v>6791000</v>
      </c>
      <c r="O243" s="126">
        <v>9444854.8900000006</v>
      </c>
      <c r="P243" s="126">
        <v>6000000</v>
      </c>
      <c r="Q243" s="126">
        <v>6000000</v>
      </c>
      <c r="R243" s="126">
        <v>8344740</v>
      </c>
      <c r="S243" s="126">
        <v>6000000</v>
      </c>
      <c r="T243" s="126">
        <v>6000000</v>
      </c>
      <c r="U243" s="127">
        <v>8344740</v>
      </c>
      <c r="V243" s="126" t="s">
        <v>75</v>
      </c>
      <c r="W243" s="126" t="s">
        <v>1641</v>
      </c>
      <c r="X243" s="126" t="s">
        <v>75</v>
      </c>
      <c r="Y243" s="126" t="s">
        <v>1642</v>
      </c>
      <c r="Z243" s="126" t="s">
        <v>75</v>
      </c>
      <c r="AA243" s="126">
        <v>999</v>
      </c>
      <c r="AB243" s="141" t="s">
        <v>1643</v>
      </c>
      <c r="AC243" s="126">
        <v>999</v>
      </c>
      <c r="AD243" s="139" t="s">
        <v>1644</v>
      </c>
      <c r="AE243" s="126">
        <v>999</v>
      </c>
      <c r="AF243" s="126" t="s">
        <v>1645</v>
      </c>
      <c r="AG243" s="126">
        <v>6</v>
      </c>
      <c r="AH243" s="142" t="s">
        <v>75</v>
      </c>
      <c r="AI243" s="142" t="s">
        <v>1646</v>
      </c>
      <c r="AJ243" s="142" t="s">
        <v>75</v>
      </c>
      <c r="AK243" s="142" t="s">
        <v>1647</v>
      </c>
      <c r="AL243" s="142" t="s">
        <v>1648</v>
      </c>
      <c r="AM243" s="142" t="s">
        <v>75</v>
      </c>
      <c r="AN243" s="142" t="s">
        <v>75</v>
      </c>
      <c r="AO243" s="142" t="s">
        <v>78</v>
      </c>
      <c r="AP243" s="142" t="s">
        <v>75</v>
      </c>
      <c r="AQ243" s="142">
        <v>1</v>
      </c>
      <c r="AR243" s="142" t="s">
        <v>74</v>
      </c>
    </row>
    <row r="244" spans="1:44" s="143" customFormat="1" ht="25.05" customHeight="1" x14ac:dyDescent="0.3">
      <c r="A244" s="126" t="s">
        <v>369</v>
      </c>
      <c r="B244" s="126" t="s">
        <v>370</v>
      </c>
      <c r="C244" s="139">
        <v>2021</v>
      </c>
      <c r="D244" s="139" t="s">
        <v>371</v>
      </c>
      <c r="E244" s="139">
        <v>0</v>
      </c>
      <c r="F244" s="139" t="s">
        <v>542</v>
      </c>
      <c r="G244" s="139" t="s">
        <v>520</v>
      </c>
      <c r="H244" s="139" t="s">
        <v>114</v>
      </c>
      <c r="I244" s="126" t="s">
        <v>115</v>
      </c>
      <c r="J244" s="126" t="s">
        <v>73</v>
      </c>
      <c r="K244" s="126" t="s">
        <v>81</v>
      </c>
      <c r="L244" s="126" t="s">
        <v>74</v>
      </c>
      <c r="M244" s="126">
        <v>5120000</v>
      </c>
      <c r="N244" s="126">
        <v>5120000</v>
      </c>
      <c r="O244" s="126">
        <v>7374182.3999999994</v>
      </c>
      <c r="P244" s="126" t="s">
        <v>659</v>
      </c>
      <c r="Q244" s="126" t="s">
        <v>659</v>
      </c>
      <c r="R244" s="126" t="s">
        <v>659</v>
      </c>
      <c r="S244" s="126">
        <v>5000000</v>
      </c>
      <c r="T244" s="126">
        <v>5000000</v>
      </c>
      <c r="U244" s="127">
        <v>7201350</v>
      </c>
      <c r="V244" s="126" t="s">
        <v>75</v>
      </c>
      <c r="W244" s="126" t="s">
        <v>372</v>
      </c>
      <c r="X244" s="126" t="s">
        <v>81</v>
      </c>
      <c r="Y244" s="126">
        <v>0</v>
      </c>
      <c r="Z244" s="126" t="s">
        <v>75</v>
      </c>
      <c r="AA244" s="126">
        <v>0</v>
      </c>
      <c r="AB244" s="141" t="s">
        <v>78</v>
      </c>
      <c r="AC244" s="126">
        <v>0</v>
      </c>
      <c r="AD244" s="139" t="s">
        <v>78</v>
      </c>
      <c r="AE244" s="126">
        <v>2</v>
      </c>
      <c r="AF244" s="126" t="s">
        <v>373</v>
      </c>
      <c r="AG244" s="126">
        <v>2</v>
      </c>
      <c r="AH244" s="142" t="s">
        <v>81</v>
      </c>
      <c r="AI244" s="142">
        <v>0</v>
      </c>
      <c r="AJ244" s="142" t="s">
        <v>75</v>
      </c>
      <c r="AK244" s="142" t="s">
        <v>374</v>
      </c>
      <c r="AL244" s="142" t="s">
        <v>121</v>
      </c>
      <c r="AM244" s="142" t="s">
        <v>75</v>
      </c>
      <c r="AN244" s="142" t="s">
        <v>75</v>
      </c>
      <c r="AO244" s="142" t="s">
        <v>84</v>
      </c>
      <c r="AP244" s="142" t="s">
        <v>81</v>
      </c>
      <c r="AQ244" s="142">
        <v>1</v>
      </c>
      <c r="AR244" s="142" t="s">
        <v>74</v>
      </c>
    </row>
    <row r="245" spans="1:44" s="143" customFormat="1" ht="25.05" customHeight="1" x14ac:dyDescent="0.3">
      <c r="A245" s="126" t="s">
        <v>1053</v>
      </c>
      <c r="B245" s="125" t="s">
        <v>1054</v>
      </c>
      <c r="C245" s="139">
        <v>2017</v>
      </c>
      <c r="D245" s="139" t="s">
        <v>343</v>
      </c>
      <c r="E245" s="139" t="s">
        <v>78</v>
      </c>
      <c r="F245" s="139" t="s">
        <v>528</v>
      </c>
      <c r="G245" s="139" t="s">
        <v>521</v>
      </c>
      <c r="H245" s="139" t="s">
        <v>579</v>
      </c>
      <c r="I245" s="126" t="s">
        <v>115</v>
      </c>
      <c r="J245" s="126" t="s">
        <v>689</v>
      </c>
      <c r="K245" s="126" t="s">
        <v>81</v>
      </c>
      <c r="L245" s="140" t="s">
        <v>74</v>
      </c>
      <c r="M245" s="140">
        <v>6510000</v>
      </c>
      <c r="N245" s="126">
        <v>6510000</v>
      </c>
      <c r="O245" s="126">
        <v>8751588.3000000007</v>
      </c>
      <c r="P245" s="126">
        <v>6312992.1299999999</v>
      </c>
      <c r="Q245" s="126">
        <v>6312992.1299999999</v>
      </c>
      <c r="R245" s="126">
        <v>8486744.7101229001</v>
      </c>
      <c r="S245" s="126">
        <v>4000000</v>
      </c>
      <c r="T245" s="126">
        <v>4000000</v>
      </c>
      <c r="U245" s="127">
        <v>5377320</v>
      </c>
      <c r="V245" s="140" t="s">
        <v>75</v>
      </c>
      <c r="W245" s="126" t="s">
        <v>1055</v>
      </c>
      <c r="X245" s="126" t="s">
        <v>81</v>
      </c>
      <c r="Y245" s="126" t="s">
        <v>78</v>
      </c>
      <c r="Z245" s="126" t="s">
        <v>75</v>
      </c>
      <c r="AA245" s="126">
        <v>0</v>
      </c>
      <c r="AB245" s="141" t="s">
        <v>78</v>
      </c>
      <c r="AC245" s="126">
        <v>999</v>
      </c>
      <c r="AD245" s="139" t="s">
        <v>1056</v>
      </c>
      <c r="AE245" s="126">
        <v>0</v>
      </c>
      <c r="AF245" s="126" t="s">
        <v>78</v>
      </c>
      <c r="AG245" s="126">
        <v>2</v>
      </c>
      <c r="AH245" s="142" t="s">
        <v>81</v>
      </c>
      <c r="AI245" s="142" t="s">
        <v>78</v>
      </c>
      <c r="AJ245" s="142" t="s">
        <v>75</v>
      </c>
      <c r="AK245" s="142" t="s">
        <v>795</v>
      </c>
      <c r="AL245" s="142" t="s">
        <v>78</v>
      </c>
      <c r="AM245" s="142" t="s">
        <v>81</v>
      </c>
      <c r="AN245" s="142" t="s">
        <v>81</v>
      </c>
      <c r="AO245" s="142" t="s">
        <v>78</v>
      </c>
      <c r="AP245" s="142" t="s">
        <v>81</v>
      </c>
      <c r="AQ245" s="142">
        <v>1</v>
      </c>
      <c r="AR245" s="142" t="s">
        <v>74</v>
      </c>
    </row>
    <row r="246" spans="1:44" s="143" customFormat="1" ht="25.05" customHeight="1" x14ac:dyDescent="0.3">
      <c r="A246" s="126" t="s">
        <v>732</v>
      </c>
      <c r="B246" s="125" t="s">
        <v>733</v>
      </c>
      <c r="C246" s="139">
        <v>2018</v>
      </c>
      <c r="D246" s="139" t="s">
        <v>502</v>
      </c>
      <c r="E246" s="139" t="s">
        <v>78</v>
      </c>
      <c r="F246" s="139" t="s">
        <v>548</v>
      </c>
      <c r="G246" s="139" t="s">
        <v>520</v>
      </c>
      <c r="H246" s="139" t="s">
        <v>573</v>
      </c>
      <c r="I246" s="126" t="s">
        <v>466</v>
      </c>
      <c r="J246" s="126" t="s">
        <v>676</v>
      </c>
      <c r="K246" s="126" t="s">
        <v>81</v>
      </c>
      <c r="L246" s="140" t="s">
        <v>74</v>
      </c>
      <c r="M246" s="140">
        <v>10500000</v>
      </c>
      <c r="N246" s="126">
        <v>10500000</v>
      </c>
      <c r="O246" s="126">
        <v>14953364.999999998</v>
      </c>
      <c r="P246" s="126">
        <v>10000000</v>
      </c>
      <c r="Q246" s="126">
        <v>10000000</v>
      </c>
      <c r="R246" s="126">
        <v>14241299.999999998</v>
      </c>
      <c r="S246" s="126">
        <v>10000000</v>
      </c>
      <c r="T246" s="126">
        <v>10000000</v>
      </c>
      <c r="U246" s="127">
        <v>14241299.999999998</v>
      </c>
      <c r="V246" s="140" t="s">
        <v>81</v>
      </c>
      <c r="W246" s="126" t="s">
        <v>78</v>
      </c>
      <c r="X246" s="126" t="s">
        <v>81</v>
      </c>
      <c r="Y246" s="126" t="s">
        <v>78</v>
      </c>
      <c r="Z246" s="126" t="s">
        <v>81</v>
      </c>
      <c r="AA246" s="126">
        <v>0</v>
      </c>
      <c r="AB246" s="141" t="s">
        <v>78</v>
      </c>
      <c r="AC246" s="126">
        <v>0</v>
      </c>
      <c r="AD246" s="139" t="s">
        <v>78</v>
      </c>
      <c r="AE246" s="126">
        <v>0</v>
      </c>
      <c r="AF246" s="126" t="s">
        <v>78</v>
      </c>
      <c r="AG246" s="126">
        <v>0</v>
      </c>
      <c r="AH246" s="142" t="s">
        <v>81</v>
      </c>
      <c r="AI246" s="142" t="s">
        <v>78</v>
      </c>
      <c r="AJ246" s="142" t="s">
        <v>81</v>
      </c>
      <c r="AK246" s="142" t="s">
        <v>78</v>
      </c>
      <c r="AL246" s="142" t="s">
        <v>78</v>
      </c>
      <c r="AM246" s="142" t="s">
        <v>81</v>
      </c>
      <c r="AN246" s="142" t="s">
        <v>81</v>
      </c>
      <c r="AO246" s="142" t="s">
        <v>78</v>
      </c>
      <c r="AP246" s="142" t="s">
        <v>81</v>
      </c>
      <c r="AQ246" s="142">
        <v>1</v>
      </c>
      <c r="AR246" s="142" t="s">
        <v>74</v>
      </c>
    </row>
    <row r="247" spans="1:44" s="143" customFormat="1" ht="25.05" customHeight="1" x14ac:dyDescent="0.3">
      <c r="A247" s="126" t="s">
        <v>1082</v>
      </c>
      <c r="B247" s="125" t="s">
        <v>1083</v>
      </c>
      <c r="C247" s="139">
        <v>2017</v>
      </c>
      <c r="D247" s="139" t="s">
        <v>502</v>
      </c>
      <c r="E247" s="139" t="s">
        <v>78</v>
      </c>
      <c r="F247" s="139" t="s">
        <v>548</v>
      </c>
      <c r="G247" s="139" t="s">
        <v>520</v>
      </c>
      <c r="H247" s="139" t="s">
        <v>589</v>
      </c>
      <c r="I247" s="126" t="s">
        <v>256</v>
      </c>
      <c r="J247" s="126" t="s">
        <v>676</v>
      </c>
      <c r="K247" s="126" t="s">
        <v>75</v>
      </c>
      <c r="L247" s="140" t="s">
        <v>104</v>
      </c>
      <c r="M247" s="140">
        <v>2128644</v>
      </c>
      <c r="N247" s="126">
        <v>1669079.6179842239</v>
      </c>
      <c r="O247" s="126">
        <v>2243793.8028447316</v>
      </c>
      <c r="P247" s="126">
        <v>1636921.75</v>
      </c>
      <c r="Q247" s="126">
        <v>1636921.75</v>
      </c>
      <c r="R247" s="126">
        <v>2200563.0161775001</v>
      </c>
      <c r="S247" s="126">
        <v>0</v>
      </c>
      <c r="T247" s="126">
        <v>0</v>
      </c>
      <c r="U247" s="127">
        <v>0</v>
      </c>
      <c r="V247" s="140" t="s">
        <v>81</v>
      </c>
      <c r="W247" s="126" t="s">
        <v>78</v>
      </c>
      <c r="X247" s="126" t="s">
        <v>81</v>
      </c>
      <c r="Y247" s="126" t="s">
        <v>78</v>
      </c>
      <c r="Z247" s="126" t="s">
        <v>81</v>
      </c>
      <c r="AA247" s="126">
        <v>0</v>
      </c>
      <c r="AB247" s="141" t="s">
        <v>78</v>
      </c>
      <c r="AC247" s="126">
        <v>0</v>
      </c>
      <c r="AD247" s="139" t="s">
        <v>78</v>
      </c>
      <c r="AE247" s="144">
        <v>0</v>
      </c>
      <c r="AF247" s="126" t="s">
        <v>78</v>
      </c>
      <c r="AG247" s="126">
        <v>0</v>
      </c>
      <c r="AH247" s="142" t="s">
        <v>75</v>
      </c>
      <c r="AI247" s="142" t="s">
        <v>1084</v>
      </c>
      <c r="AJ247" s="142" t="s">
        <v>81</v>
      </c>
      <c r="AK247" s="142" t="s">
        <v>78</v>
      </c>
      <c r="AL247" s="142" t="s">
        <v>78</v>
      </c>
      <c r="AM247" s="142" t="s">
        <v>81</v>
      </c>
      <c r="AN247" s="142" t="s">
        <v>81</v>
      </c>
      <c r="AO247" s="142" t="s">
        <v>78</v>
      </c>
      <c r="AP247" s="142" t="s">
        <v>81</v>
      </c>
      <c r="AQ247" s="142">
        <v>1</v>
      </c>
      <c r="AR247" s="142" t="s">
        <v>104</v>
      </c>
    </row>
    <row r="248" spans="1:44" s="143" customFormat="1" ht="25.05" customHeight="1" x14ac:dyDescent="0.3">
      <c r="A248" s="126" t="s">
        <v>868</v>
      </c>
      <c r="B248" s="125" t="s">
        <v>869</v>
      </c>
      <c r="C248" s="139">
        <v>2018</v>
      </c>
      <c r="D248" s="139" t="s">
        <v>87</v>
      </c>
      <c r="E248" s="139" t="s">
        <v>870</v>
      </c>
      <c r="F248" s="139" t="s">
        <v>1848</v>
      </c>
      <c r="G248" s="139" t="s">
        <v>87</v>
      </c>
      <c r="H248" s="139" t="s">
        <v>115</v>
      </c>
      <c r="I248" s="126" t="s">
        <v>115</v>
      </c>
      <c r="J248" s="126" t="s">
        <v>676</v>
      </c>
      <c r="K248" s="126" t="s">
        <v>81</v>
      </c>
      <c r="L248" s="140" t="s">
        <v>74</v>
      </c>
      <c r="M248" s="140">
        <v>6740000</v>
      </c>
      <c r="N248" s="126">
        <v>6740000</v>
      </c>
      <c r="O248" s="126">
        <v>9598636.1999999993</v>
      </c>
      <c r="P248" s="126">
        <v>6740000</v>
      </c>
      <c r="Q248" s="126">
        <v>6740000</v>
      </c>
      <c r="R248" s="126">
        <v>9598636.1999999993</v>
      </c>
      <c r="S248" s="126">
        <v>6740000</v>
      </c>
      <c r="T248" s="126">
        <v>6740000</v>
      </c>
      <c r="U248" s="127">
        <v>9598636.1999999993</v>
      </c>
      <c r="V248" s="140" t="s">
        <v>81</v>
      </c>
      <c r="W248" s="126" t="s">
        <v>78</v>
      </c>
      <c r="X248" s="126" t="s">
        <v>81</v>
      </c>
      <c r="Y248" s="126" t="s">
        <v>78</v>
      </c>
      <c r="Z248" s="126" t="s">
        <v>81</v>
      </c>
      <c r="AA248" s="126">
        <v>0</v>
      </c>
      <c r="AB248" s="141" t="s">
        <v>78</v>
      </c>
      <c r="AC248" s="126">
        <v>0</v>
      </c>
      <c r="AD248" s="139" t="s">
        <v>78</v>
      </c>
      <c r="AE248" s="126">
        <v>0</v>
      </c>
      <c r="AF248" s="126" t="s">
        <v>78</v>
      </c>
      <c r="AG248" s="126">
        <v>0</v>
      </c>
      <c r="AH248" s="142" t="s">
        <v>81</v>
      </c>
      <c r="AI248" s="142" t="s">
        <v>78</v>
      </c>
      <c r="AJ248" s="142" t="s">
        <v>81</v>
      </c>
      <c r="AK248" s="142" t="s">
        <v>78</v>
      </c>
      <c r="AL248" s="142" t="s">
        <v>78</v>
      </c>
      <c r="AM248" s="142" t="s">
        <v>81</v>
      </c>
      <c r="AN248" s="142" t="s">
        <v>81</v>
      </c>
      <c r="AO248" s="142" t="s">
        <v>78</v>
      </c>
      <c r="AP248" s="142" t="s">
        <v>81</v>
      </c>
      <c r="AQ248" s="142">
        <v>1</v>
      </c>
      <c r="AR248" s="142" t="s">
        <v>74</v>
      </c>
    </row>
    <row r="249" spans="1:44" s="143" customFormat="1" ht="25.05" customHeight="1" x14ac:dyDescent="0.3">
      <c r="A249" s="126" t="s">
        <v>1085</v>
      </c>
      <c r="B249" s="125" t="s">
        <v>1086</v>
      </c>
      <c r="C249" s="139">
        <v>2017</v>
      </c>
      <c r="D249" s="139" t="s">
        <v>87</v>
      </c>
      <c r="E249" s="139" t="s">
        <v>1087</v>
      </c>
      <c r="F249" s="139" t="s">
        <v>1848</v>
      </c>
      <c r="G249" s="139" t="s">
        <v>87</v>
      </c>
      <c r="H249" s="139" t="s">
        <v>589</v>
      </c>
      <c r="I249" s="126" t="s">
        <v>256</v>
      </c>
      <c r="J249" s="126" t="s">
        <v>676</v>
      </c>
      <c r="K249" s="126" t="s">
        <v>75</v>
      </c>
      <c r="L249" s="140" t="s">
        <v>104</v>
      </c>
      <c r="M249" s="140">
        <v>1706070</v>
      </c>
      <c r="N249" s="126">
        <v>1337737.3876770118</v>
      </c>
      <c r="O249" s="126">
        <v>1798360.5023758372</v>
      </c>
      <c r="P249" s="126">
        <v>903213.58</v>
      </c>
      <c r="Q249" s="126">
        <v>903213.58</v>
      </c>
      <c r="R249" s="126">
        <v>1214217.1120014</v>
      </c>
      <c r="S249" s="126">
        <v>0</v>
      </c>
      <c r="T249" s="126">
        <v>0</v>
      </c>
      <c r="U249" s="127">
        <v>0</v>
      </c>
      <c r="V249" s="140" t="s">
        <v>81</v>
      </c>
      <c r="W249" s="126" t="s">
        <v>78</v>
      </c>
      <c r="X249" s="126" t="s">
        <v>81</v>
      </c>
      <c r="Y249" s="126" t="s">
        <v>78</v>
      </c>
      <c r="Z249" s="126" t="s">
        <v>81</v>
      </c>
      <c r="AA249" s="126">
        <v>0</v>
      </c>
      <c r="AB249" s="141" t="s">
        <v>78</v>
      </c>
      <c r="AC249" s="126">
        <v>0</v>
      </c>
      <c r="AD249" s="139" t="s">
        <v>78</v>
      </c>
      <c r="AE249" s="126">
        <v>0</v>
      </c>
      <c r="AF249" s="126" t="s">
        <v>78</v>
      </c>
      <c r="AG249" s="126">
        <v>0</v>
      </c>
      <c r="AH249" s="142" t="s">
        <v>81</v>
      </c>
      <c r="AI249" s="142" t="s">
        <v>78</v>
      </c>
      <c r="AJ249" s="142" t="s">
        <v>81</v>
      </c>
      <c r="AK249" s="142" t="s">
        <v>78</v>
      </c>
      <c r="AL249" s="142" t="s">
        <v>78</v>
      </c>
      <c r="AM249" s="142" t="s">
        <v>81</v>
      </c>
      <c r="AN249" s="142" t="s">
        <v>81</v>
      </c>
      <c r="AO249" s="142" t="s">
        <v>78</v>
      </c>
      <c r="AP249" s="142" t="s">
        <v>81</v>
      </c>
      <c r="AQ249" s="142">
        <v>1</v>
      </c>
      <c r="AR249" s="142" t="s">
        <v>104</v>
      </c>
    </row>
    <row r="250" spans="1:44" s="143" customFormat="1" ht="25.05" customHeight="1" x14ac:dyDescent="0.3">
      <c r="A250" s="126" t="s">
        <v>692</v>
      </c>
      <c r="B250" s="125" t="s">
        <v>693</v>
      </c>
      <c r="C250" s="139">
        <v>2018</v>
      </c>
      <c r="D250" s="139" t="s">
        <v>172</v>
      </c>
      <c r="E250" s="139" t="s">
        <v>78</v>
      </c>
      <c r="F250" s="139" t="s">
        <v>537</v>
      </c>
      <c r="G250" s="139" t="s">
        <v>521</v>
      </c>
      <c r="H250" s="139" t="s">
        <v>596</v>
      </c>
      <c r="I250" s="126" t="s">
        <v>101</v>
      </c>
      <c r="J250" s="126" t="s">
        <v>689</v>
      </c>
      <c r="K250" s="126" t="s">
        <v>81</v>
      </c>
      <c r="L250" s="140" t="s">
        <v>104</v>
      </c>
      <c r="M250" s="140">
        <v>74619100</v>
      </c>
      <c r="N250" s="126">
        <v>62837136.842105262</v>
      </c>
      <c r="O250" s="126">
        <v>89488251.690947354</v>
      </c>
      <c r="P250" s="126">
        <v>51460711.939999998</v>
      </c>
      <c r="Q250" s="126">
        <v>51460711.939999998</v>
      </c>
      <c r="R250" s="126">
        <v>73286743.695112199</v>
      </c>
      <c r="S250" s="126">
        <v>51460711.939999998</v>
      </c>
      <c r="T250" s="126">
        <v>51460711.939999998</v>
      </c>
      <c r="U250" s="127">
        <v>73286743.695112199</v>
      </c>
      <c r="V250" s="140" t="s">
        <v>81</v>
      </c>
      <c r="W250" s="126" t="s">
        <v>78</v>
      </c>
      <c r="X250" s="126" t="s">
        <v>81</v>
      </c>
      <c r="Y250" s="126" t="s">
        <v>78</v>
      </c>
      <c r="Z250" s="126" t="s">
        <v>81</v>
      </c>
      <c r="AA250" s="126">
        <v>0</v>
      </c>
      <c r="AB250" s="141" t="s">
        <v>78</v>
      </c>
      <c r="AC250" s="126">
        <v>0</v>
      </c>
      <c r="AD250" s="139" t="s">
        <v>78</v>
      </c>
      <c r="AE250" s="126">
        <v>0</v>
      </c>
      <c r="AF250" s="126" t="s">
        <v>78</v>
      </c>
      <c r="AG250" s="126">
        <v>0</v>
      </c>
      <c r="AH250" s="142" t="s">
        <v>81</v>
      </c>
      <c r="AI250" s="142" t="s">
        <v>78</v>
      </c>
      <c r="AJ250" s="142" t="s">
        <v>81</v>
      </c>
      <c r="AK250" s="142" t="s">
        <v>78</v>
      </c>
      <c r="AL250" s="142" t="s">
        <v>78</v>
      </c>
      <c r="AM250" s="142" t="s">
        <v>81</v>
      </c>
      <c r="AN250" s="142" t="s">
        <v>81</v>
      </c>
      <c r="AO250" s="142" t="s">
        <v>78</v>
      </c>
      <c r="AP250" s="142" t="s">
        <v>81</v>
      </c>
      <c r="AQ250" s="142">
        <v>1</v>
      </c>
      <c r="AR250" s="142" t="s">
        <v>104</v>
      </c>
    </row>
    <row r="251" spans="1:44" s="143" customFormat="1" ht="25.05" customHeight="1" x14ac:dyDescent="0.3">
      <c r="A251" s="126" t="s">
        <v>740</v>
      </c>
      <c r="B251" s="125" t="s">
        <v>741</v>
      </c>
      <c r="C251" s="139">
        <v>2018</v>
      </c>
      <c r="D251" s="139" t="s">
        <v>273</v>
      </c>
      <c r="E251" s="139" t="s">
        <v>78</v>
      </c>
      <c r="F251" s="139" t="s">
        <v>549</v>
      </c>
      <c r="G251" s="139" t="s">
        <v>518</v>
      </c>
      <c r="H251" s="139" t="s">
        <v>115</v>
      </c>
      <c r="I251" s="126" t="s">
        <v>115</v>
      </c>
      <c r="J251" s="126" t="s">
        <v>676</v>
      </c>
      <c r="K251" s="126" t="s">
        <v>81</v>
      </c>
      <c r="L251" s="140" t="s">
        <v>74</v>
      </c>
      <c r="M251" s="140">
        <v>5645360</v>
      </c>
      <c r="N251" s="126">
        <v>5645360</v>
      </c>
      <c r="O251" s="126">
        <v>8039726.536799999</v>
      </c>
      <c r="P251" s="126">
        <v>3145360</v>
      </c>
      <c r="Q251" s="126">
        <v>3145360</v>
      </c>
      <c r="R251" s="126">
        <v>4479401.5367999999</v>
      </c>
      <c r="S251" s="126">
        <v>3145360</v>
      </c>
      <c r="T251" s="126">
        <v>3145360</v>
      </c>
      <c r="U251" s="127">
        <v>4479401.5367999999</v>
      </c>
      <c r="V251" s="140" t="s">
        <v>81</v>
      </c>
      <c r="W251" s="126" t="s">
        <v>78</v>
      </c>
      <c r="X251" s="126" t="s">
        <v>81</v>
      </c>
      <c r="Y251" s="126" t="s">
        <v>78</v>
      </c>
      <c r="Z251" s="126" t="s">
        <v>81</v>
      </c>
      <c r="AA251" s="126">
        <v>0</v>
      </c>
      <c r="AB251" s="141" t="s">
        <v>78</v>
      </c>
      <c r="AC251" s="126">
        <v>0</v>
      </c>
      <c r="AD251" s="139" t="s">
        <v>78</v>
      </c>
      <c r="AE251" s="126">
        <v>0</v>
      </c>
      <c r="AF251" s="126" t="s">
        <v>78</v>
      </c>
      <c r="AG251" s="126">
        <v>0</v>
      </c>
      <c r="AH251" s="142" t="s">
        <v>81</v>
      </c>
      <c r="AI251" s="142" t="s">
        <v>78</v>
      </c>
      <c r="AJ251" s="142" t="s">
        <v>81</v>
      </c>
      <c r="AK251" s="142" t="s">
        <v>78</v>
      </c>
      <c r="AL251" s="142" t="s">
        <v>78</v>
      </c>
      <c r="AM251" s="142" t="s">
        <v>81</v>
      </c>
      <c r="AN251" s="142" t="s">
        <v>81</v>
      </c>
      <c r="AO251" s="142" t="s">
        <v>78</v>
      </c>
      <c r="AP251" s="142" t="s">
        <v>81</v>
      </c>
      <c r="AQ251" s="142">
        <v>1</v>
      </c>
      <c r="AR251" s="142" t="s">
        <v>74</v>
      </c>
    </row>
    <row r="252" spans="1:44" s="143" customFormat="1" ht="25.05" customHeight="1" x14ac:dyDescent="0.3">
      <c r="A252" s="126" t="s">
        <v>1088</v>
      </c>
      <c r="B252" s="125" t="s">
        <v>1089</v>
      </c>
      <c r="C252" s="139">
        <v>2017</v>
      </c>
      <c r="D252" s="139" t="s">
        <v>87</v>
      </c>
      <c r="E252" s="139" t="s">
        <v>1090</v>
      </c>
      <c r="F252" s="139" t="s">
        <v>1848</v>
      </c>
      <c r="G252" s="139" t="s">
        <v>87</v>
      </c>
      <c r="H252" s="139" t="s">
        <v>599</v>
      </c>
      <c r="I252" s="126" t="s">
        <v>101</v>
      </c>
      <c r="J252" s="126" t="s">
        <v>676</v>
      </c>
      <c r="K252" s="126" t="s">
        <v>81</v>
      </c>
      <c r="L252" s="140" t="s">
        <v>74</v>
      </c>
      <c r="M252" s="140">
        <v>479000</v>
      </c>
      <c r="N252" s="126">
        <v>479000</v>
      </c>
      <c r="O252" s="126">
        <v>643934.07000000007</v>
      </c>
      <c r="P252" s="126">
        <v>479000</v>
      </c>
      <c r="Q252" s="126">
        <v>479000</v>
      </c>
      <c r="R252" s="126">
        <v>643934.07000000007</v>
      </c>
      <c r="S252" s="126">
        <v>479000</v>
      </c>
      <c r="T252" s="126">
        <v>479000</v>
      </c>
      <c r="U252" s="127">
        <v>643934.07000000007</v>
      </c>
      <c r="V252" s="140" t="s">
        <v>81</v>
      </c>
      <c r="W252" s="126" t="s">
        <v>78</v>
      </c>
      <c r="X252" s="126" t="s">
        <v>81</v>
      </c>
      <c r="Y252" s="126" t="s">
        <v>78</v>
      </c>
      <c r="Z252" s="126" t="s">
        <v>81</v>
      </c>
      <c r="AA252" s="126">
        <v>0</v>
      </c>
      <c r="AB252" s="141" t="s">
        <v>78</v>
      </c>
      <c r="AC252" s="126">
        <v>0</v>
      </c>
      <c r="AD252" s="139" t="s">
        <v>78</v>
      </c>
      <c r="AE252" s="126">
        <v>0</v>
      </c>
      <c r="AF252" s="126" t="s">
        <v>78</v>
      </c>
      <c r="AG252" s="126">
        <v>0</v>
      </c>
      <c r="AH252" s="142" t="s">
        <v>81</v>
      </c>
      <c r="AI252" s="142" t="s">
        <v>78</v>
      </c>
      <c r="AJ252" s="142" t="s">
        <v>81</v>
      </c>
      <c r="AK252" s="142" t="s">
        <v>78</v>
      </c>
      <c r="AL252" s="142" t="s">
        <v>78</v>
      </c>
      <c r="AM252" s="142" t="s">
        <v>81</v>
      </c>
      <c r="AN252" s="142" t="s">
        <v>81</v>
      </c>
      <c r="AO252" s="142" t="s">
        <v>78</v>
      </c>
      <c r="AP252" s="142" t="s">
        <v>81</v>
      </c>
      <c r="AQ252" s="142">
        <v>1</v>
      </c>
      <c r="AR252" s="142" t="s">
        <v>74</v>
      </c>
    </row>
    <row r="253" spans="1:44" s="143" customFormat="1" ht="25.05" customHeight="1" x14ac:dyDescent="0.3">
      <c r="A253" s="126" t="s">
        <v>718</v>
      </c>
      <c r="B253" s="125" t="s">
        <v>719</v>
      </c>
      <c r="C253" s="139">
        <v>2018</v>
      </c>
      <c r="D253" s="139" t="s">
        <v>498</v>
      </c>
      <c r="E253" s="139" t="s">
        <v>78</v>
      </c>
      <c r="F253" s="139" t="s">
        <v>540</v>
      </c>
      <c r="G253" s="139" t="s">
        <v>520</v>
      </c>
      <c r="H253" s="139" t="s">
        <v>596</v>
      </c>
      <c r="I253" s="126" t="s">
        <v>101</v>
      </c>
      <c r="J253" s="126" t="s">
        <v>676</v>
      </c>
      <c r="K253" s="126" t="s">
        <v>81</v>
      </c>
      <c r="L253" s="140" t="s">
        <v>74</v>
      </c>
      <c r="M253" s="140">
        <v>6000000</v>
      </c>
      <c r="N253" s="126">
        <v>6000000</v>
      </c>
      <c r="O253" s="126">
        <v>8544780</v>
      </c>
      <c r="P253" s="126">
        <v>6000000</v>
      </c>
      <c r="Q253" s="126">
        <v>6000000</v>
      </c>
      <c r="R253" s="126">
        <v>8544780</v>
      </c>
      <c r="S253" s="126">
        <v>6000000</v>
      </c>
      <c r="T253" s="126">
        <v>6000000</v>
      </c>
      <c r="U253" s="127">
        <v>8544780</v>
      </c>
      <c r="V253" s="140" t="s">
        <v>81</v>
      </c>
      <c r="W253" s="126" t="s">
        <v>78</v>
      </c>
      <c r="X253" s="126" t="s">
        <v>81</v>
      </c>
      <c r="Y253" s="126" t="s">
        <v>78</v>
      </c>
      <c r="Z253" s="126" t="s">
        <v>81</v>
      </c>
      <c r="AA253" s="126">
        <v>0</v>
      </c>
      <c r="AB253" s="141" t="s">
        <v>78</v>
      </c>
      <c r="AC253" s="126">
        <v>0</v>
      </c>
      <c r="AD253" s="139" t="s">
        <v>78</v>
      </c>
      <c r="AE253" s="126">
        <v>0</v>
      </c>
      <c r="AF253" s="126" t="s">
        <v>78</v>
      </c>
      <c r="AG253" s="126">
        <v>0</v>
      </c>
      <c r="AH253" s="142" t="s">
        <v>81</v>
      </c>
      <c r="AI253" s="142" t="s">
        <v>78</v>
      </c>
      <c r="AJ253" s="142" t="s">
        <v>81</v>
      </c>
      <c r="AK253" s="142" t="s">
        <v>78</v>
      </c>
      <c r="AL253" s="142" t="s">
        <v>78</v>
      </c>
      <c r="AM253" s="142" t="s">
        <v>81</v>
      </c>
      <c r="AN253" s="142" t="s">
        <v>81</v>
      </c>
      <c r="AO253" s="142" t="s">
        <v>78</v>
      </c>
      <c r="AP253" s="142" t="s">
        <v>81</v>
      </c>
      <c r="AQ253" s="142">
        <v>1</v>
      </c>
      <c r="AR253" s="142" t="s">
        <v>74</v>
      </c>
    </row>
    <row r="254" spans="1:44" s="143" customFormat="1" ht="25.05" customHeight="1" x14ac:dyDescent="0.3">
      <c r="A254" s="126" t="s">
        <v>778</v>
      </c>
      <c r="B254" s="125" t="s">
        <v>779</v>
      </c>
      <c r="C254" s="139">
        <v>2018</v>
      </c>
      <c r="D254" s="139" t="s">
        <v>151</v>
      </c>
      <c r="E254" s="139" t="s">
        <v>78</v>
      </c>
      <c r="F254" s="139" t="s">
        <v>546</v>
      </c>
      <c r="G254" s="139" t="s">
        <v>518</v>
      </c>
      <c r="H254" s="139" t="s">
        <v>596</v>
      </c>
      <c r="I254" s="126" t="s">
        <v>101</v>
      </c>
      <c r="J254" s="126" t="s">
        <v>689</v>
      </c>
      <c r="K254" s="126" t="s">
        <v>81</v>
      </c>
      <c r="L254" s="140" t="s">
        <v>74</v>
      </c>
      <c r="M254" s="140">
        <v>410000</v>
      </c>
      <c r="N254" s="126">
        <v>410000</v>
      </c>
      <c r="O254" s="126">
        <v>583893.29999999993</v>
      </c>
      <c r="P254" s="126">
        <v>410000</v>
      </c>
      <c r="Q254" s="126">
        <v>410000</v>
      </c>
      <c r="R254" s="126">
        <v>583893.29999999993</v>
      </c>
      <c r="S254" s="126">
        <v>410000</v>
      </c>
      <c r="T254" s="126">
        <v>410000</v>
      </c>
      <c r="U254" s="127">
        <v>583893.29999999993</v>
      </c>
      <c r="V254" s="140" t="s">
        <v>81</v>
      </c>
      <c r="W254" s="126" t="s">
        <v>78</v>
      </c>
      <c r="X254" s="126" t="s">
        <v>81</v>
      </c>
      <c r="Y254" s="126" t="s">
        <v>78</v>
      </c>
      <c r="Z254" s="126" t="s">
        <v>81</v>
      </c>
      <c r="AA254" s="126">
        <v>0</v>
      </c>
      <c r="AB254" s="141" t="s">
        <v>78</v>
      </c>
      <c r="AC254" s="126">
        <v>0</v>
      </c>
      <c r="AD254" s="139" t="s">
        <v>78</v>
      </c>
      <c r="AE254" s="126">
        <v>0</v>
      </c>
      <c r="AF254" s="126" t="s">
        <v>78</v>
      </c>
      <c r="AG254" s="126">
        <v>0</v>
      </c>
      <c r="AH254" s="142" t="s">
        <v>81</v>
      </c>
      <c r="AI254" s="142" t="s">
        <v>78</v>
      </c>
      <c r="AJ254" s="142" t="s">
        <v>81</v>
      </c>
      <c r="AK254" s="142" t="s">
        <v>78</v>
      </c>
      <c r="AL254" s="142" t="s">
        <v>78</v>
      </c>
      <c r="AM254" s="142" t="s">
        <v>81</v>
      </c>
      <c r="AN254" s="142" t="s">
        <v>81</v>
      </c>
      <c r="AO254" s="142" t="s">
        <v>78</v>
      </c>
      <c r="AP254" s="142" t="s">
        <v>81</v>
      </c>
      <c r="AQ254" s="142">
        <v>1</v>
      </c>
      <c r="AR254" s="142" t="s">
        <v>74</v>
      </c>
    </row>
    <row r="255" spans="1:44" s="143" customFormat="1" ht="25.05" customHeight="1" x14ac:dyDescent="0.3">
      <c r="A255" s="126" t="s">
        <v>829</v>
      </c>
      <c r="B255" s="125" t="s">
        <v>830</v>
      </c>
      <c r="C255" s="139">
        <v>2018</v>
      </c>
      <c r="D255" s="139" t="s">
        <v>498</v>
      </c>
      <c r="E255" s="139" t="s">
        <v>78</v>
      </c>
      <c r="F255" s="139" t="s">
        <v>540</v>
      </c>
      <c r="G255" s="139" t="s">
        <v>520</v>
      </c>
      <c r="H255" s="139" t="s">
        <v>599</v>
      </c>
      <c r="I255" s="126" t="s">
        <v>101</v>
      </c>
      <c r="J255" s="126" t="s">
        <v>676</v>
      </c>
      <c r="K255" s="126" t="s">
        <v>81</v>
      </c>
      <c r="L255" s="140" t="s">
        <v>74</v>
      </c>
      <c r="M255" s="140">
        <v>1000000</v>
      </c>
      <c r="N255" s="126">
        <v>1000000</v>
      </c>
      <c r="O255" s="126">
        <v>1424130</v>
      </c>
      <c r="P255" s="126">
        <v>1000000</v>
      </c>
      <c r="Q255" s="126">
        <v>1000000</v>
      </c>
      <c r="R255" s="126">
        <v>1424130</v>
      </c>
      <c r="S255" s="126">
        <v>1000000</v>
      </c>
      <c r="T255" s="126">
        <v>1000000</v>
      </c>
      <c r="U255" s="127">
        <v>1424130</v>
      </c>
      <c r="V255" s="140" t="s">
        <v>81</v>
      </c>
      <c r="W255" s="126" t="s">
        <v>78</v>
      </c>
      <c r="X255" s="126" t="s">
        <v>81</v>
      </c>
      <c r="Y255" s="126" t="s">
        <v>78</v>
      </c>
      <c r="Z255" s="126" t="s">
        <v>81</v>
      </c>
      <c r="AA255" s="126">
        <v>0</v>
      </c>
      <c r="AB255" s="141" t="s">
        <v>78</v>
      </c>
      <c r="AC255" s="126">
        <v>0</v>
      </c>
      <c r="AD255" s="139" t="s">
        <v>78</v>
      </c>
      <c r="AE255" s="126">
        <v>0</v>
      </c>
      <c r="AF255" s="126" t="s">
        <v>78</v>
      </c>
      <c r="AG255" s="126">
        <v>0</v>
      </c>
      <c r="AH255" s="142" t="s">
        <v>81</v>
      </c>
      <c r="AI255" s="142" t="s">
        <v>78</v>
      </c>
      <c r="AJ255" s="142" t="s">
        <v>81</v>
      </c>
      <c r="AK255" s="142" t="s">
        <v>78</v>
      </c>
      <c r="AL255" s="142" t="s">
        <v>78</v>
      </c>
      <c r="AM255" s="142" t="s">
        <v>81</v>
      </c>
      <c r="AN255" s="142" t="s">
        <v>81</v>
      </c>
      <c r="AO255" s="142" t="s">
        <v>78</v>
      </c>
      <c r="AP255" s="142" t="s">
        <v>81</v>
      </c>
      <c r="AQ255" s="142">
        <v>1</v>
      </c>
      <c r="AR255" s="142" t="s">
        <v>74</v>
      </c>
    </row>
    <row r="256" spans="1:44" s="143" customFormat="1" ht="25.05" customHeight="1" x14ac:dyDescent="0.3">
      <c r="A256" s="126" t="s">
        <v>696</v>
      </c>
      <c r="B256" s="125" t="s">
        <v>697</v>
      </c>
      <c r="C256" s="139">
        <v>2018</v>
      </c>
      <c r="D256" s="139" t="s">
        <v>484</v>
      </c>
      <c r="E256" s="139" t="s">
        <v>78</v>
      </c>
      <c r="F256" s="139" t="s">
        <v>525</v>
      </c>
      <c r="G256" s="139" t="s">
        <v>520</v>
      </c>
      <c r="H256" s="139" t="s">
        <v>115</v>
      </c>
      <c r="I256" s="126" t="s">
        <v>115</v>
      </c>
      <c r="J256" s="126" t="s">
        <v>689</v>
      </c>
      <c r="K256" s="126" t="s">
        <v>81</v>
      </c>
      <c r="L256" s="140" t="s">
        <v>74</v>
      </c>
      <c r="M256" s="140">
        <v>10300000</v>
      </c>
      <c r="N256" s="126">
        <v>10300000</v>
      </c>
      <c r="O256" s="126">
        <v>14668538.999999998</v>
      </c>
      <c r="P256" s="126">
        <v>10300000</v>
      </c>
      <c r="Q256" s="126">
        <v>10300000</v>
      </c>
      <c r="R256" s="126">
        <v>14668538.999999998</v>
      </c>
      <c r="S256" s="126">
        <v>10300000</v>
      </c>
      <c r="T256" s="126">
        <v>10300000</v>
      </c>
      <c r="U256" s="127">
        <v>14668538.999999998</v>
      </c>
      <c r="V256" s="140" t="s">
        <v>81</v>
      </c>
      <c r="W256" s="126" t="s">
        <v>78</v>
      </c>
      <c r="X256" s="126" t="s">
        <v>81</v>
      </c>
      <c r="Y256" s="126" t="s">
        <v>78</v>
      </c>
      <c r="Z256" s="126" t="s">
        <v>81</v>
      </c>
      <c r="AA256" s="126">
        <v>0</v>
      </c>
      <c r="AB256" s="141" t="s">
        <v>78</v>
      </c>
      <c r="AC256" s="126">
        <v>0</v>
      </c>
      <c r="AD256" s="139" t="s">
        <v>78</v>
      </c>
      <c r="AE256" s="126">
        <v>0</v>
      </c>
      <c r="AF256" s="126" t="s">
        <v>78</v>
      </c>
      <c r="AG256" s="126">
        <v>0</v>
      </c>
      <c r="AH256" s="142" t="s">
        <v>81</v>
      </c>
      <c r="AI256" s="142" t="s">
        <v>78</v>
      </c>
      <c r="AJ256" s="142" t="s">
        <v>81</v>
      </c>
      <c r="AK256" s="142" t="s">
        <v>78</v>
      </c>
      <c r="AL256" s="142" t="s">
        <v>78</v>
      </c>
      <c r="AM256" s="142" t="s">
        <v>81</v>
      </c>
      <c r="AN256" s="142" t="s">
        <v>81</v>
      </c>
      <c r="AO256" s="142" t="s">
        <v>78</v>
      </c>
      <c r="AP256" s="142" t="s">
        <v>81</v>
      </c>
      <c r="AQ256" s="142">
        <v>1</v>
      </c>
      <c r="AR256" s="142" t="s">
        <v>74</v>
      </c>
    </row>
    <row r="257" spans="1:44" s="143" customFormat="1" ht="25.05" customHeight="1" x14ac:dyDescent="0.3">
      <c r="A257" s="126" t="s">
        <v>1296</v>
      </c>
      <c r="B257" s="125" t="s">
        <v>1297</v>
      </c>
      <c r="C257" s="139">
        <v>2016</v>
      </c>
      <c r="D257" s="139" t="s">
        <v>151</v>
      </c>
      <c r="E257" s="139" t="s">
        <v>78</v>
      </c>
      <c r="F257" s="139" t="s">
        <v>546</v>
      </c>
      <c r="G257" s="139" t="s">
        <v>518</v>
      </c>
      <c r="H257" s="139" t="s">
        <v>587</v>
      </c>
      <c r="I257" s="126" t="s">
        <v>256</v>
      </c>
      <c r="J257" s="126" t="s">
        <v>689</v>
      </c>
      <c r="K257" s="126" t="s">
        <v>81</v>
      </c>
      <c r="L257" s="140" t="s">
        <v>104</v>
      </c>
      <c r="M257" s="140">
        <v>88850000</v>
      </c>
      <c r="N257" s="126">
        <v>69805080.018541366</v>
      </c>
      <c r="O257" s="126">
        <v>96730993.53409332</v>
      </c>
      <c r="P257" s="126">
        <v>72875656.170000002</v>
      </c>
      <c r="Q257" s="126">
        <v>72875656.170000002</v>
      </c>
      <c r="R257" s="126">
        <v>100985983.0244541</v>
      </c>
      <c r="S257" s="126">
        <v>72875656.170000002</v>
      </c>
      <c r="T257" s="126">
        <v>72875656.170000002</v>
      </c>
      <c r="U257" s="127">
        <v>100985983.0244541</v>
      </c>
      <c r="V257" s="140" t="s">
        <v>75</v>
      </c>
      <c r="W257" s="126" t="s">
        <v>1298</v>
      </c>
      <c r="X257" s="126" t="s">
        <v>81</v>
      </c>
      <c r="Y257" s="126" t="s">
        <v>78</v>
      </c>
      <c r="Z257" s="126" t="s">
        <v>75</v>
      </c>
      <c r="AA257" s="126">
        <v>999</v>
      </c>
      <c r="AB257" s="141" t="s">
        <v>1299</v>
      </c>
      <c r="AC257" s="126">
        <v>999</v>
      </c>
      <c r="AD257" s="139" t="s">
        <v>1300</v>
      </c>
      <c r="AE257" s="126">
        <v>999</v>
      </c>
      <c r="AF257" s="126" t="s">
        <v>1301</v>
      </c>
      <c r="AG257" s="126">
        <v>3</v>
      </c>
      <c r="AH257" s="142" t="s">
        <v>81</v>
      </c>
      <c r="AI257" s="142" t="s">
        <v>78</v>
      </c>
      <c r="AJ257" s="142" t="s">
        <v>75</v>
      </c>
      <c r="AK257" s="142" t="s">
        <v>256</v>
      </c>
      <c r="AL257" s="142" t="s">
        <v>78</v>
      </c>
      <c r="AM257" s="142" t="s">
        <v>81</v>
      </c>
      <c r="AN257" s="142" t="s">
        <v>81</v>
      </c>
      <c r="AO257" s="142" t="s">
        <v>78</v>
      </c>
      <c r="AP257" s="142" t="s">
        <v>81</v>
      </c>
      <c r="AQ257" s="142">
        <v>1</v>
      </c>
      <c r="AR257" s="142" t="s">
        <v>104</v>
      </c>
    </row>
    <row r="258" spans="1:44" s="143" customFormat="1" ht="25.05" customHeight="1" x14ac:dyDescent="0.3">
      <c r="A258" s="126" t="s">
        <v>734</v>
      </c>
      <c r="B258" s="125" t="s">
        <v>735</v>
      </c>
      <c r="C258" s="139">
        <v>2018</v>
      </c>
      <c r="D258" s="139" t="s">
        <v>502</v>
      </c>
      <c r="E258" s="139" t="s">
        <v>78</v>
      </c>
      <c r="F258" s="139" t="s">
        <v>548</v>
      </c>
      <c r="G258" s="139" t="s">
        <v>520</v>
      </c>
      <c r="H258" s="139" t="s">
        <v>599</v>
      </c>
      <c r="I258" s="126" t="s">
        <v>101</v>
      </c>
      <c r="J258" s="126" t="s">
        <v>689</v>
      </c>
      <c r="K258" s="126" t="s">
        <v>81</v>
      </c>
      <c r="L258" s="140" t="s">
        <v>74</v>
      </c>
      <c r="M258" s="140">
        <v>11000000</v>
      </c>
      <c r="N258" s="126">
        <v>11000000</v>
      </c>
      <c r="O258" s="126">
        <v>15665429.999999998</v>
      </c>
      <c r="P258" s="126">
        <v>10000000</v>
      </c>
      <c r="Q258" s="126">
        <v>10000000</v>
      </c>
      <c r="R258" s="126">
        <v>14241299.999999998</v>
      </c>
      <c r="S258" s="126">
        <v>10000000</v>
      </c>
      <c r="T258" s="126">
        <v>10000000</v>
      </c>
      <c r="U258" s="127">
        <v>14241299.999999998</v>
      </c>
      <c r="V258" s="140" t="s">
        <v>81</v>
      </c>
      <c r="W258" s="126" t="s">
        <v>78</v>
      </c>
      <c r="X258" s="126" t="s">
        <v>81</v>
      </c>
      <c r="Y258" s="126" t="s">
        <v>78</v>
      </c>
      <c r="Z258" s="126" t="s">
        <v>81</v>
      </c>
      <c r="AA258" s="126">
        <v>0</v>
      </c>
      <c r="AB258" s="141" t="s">
        <v>78</v>
      </c>
      <c r="AC258" s="126">
        <v>0</v>
      </c>
      <c r="AD258" s="139" t="s">
        <v>78</v>
      </c>
      <c r="AE258" s="126">
        <v>0</v>
      </c>
      <c r="AF258" s="126" t="s">
        <v>78</v>
      </c>
      <c r="AG258" s="126">
        <v>0</v>
      </c>
      <c r="AH258" s="142" t="s">
        <v>81</v>
      </c>
      <c r="AI258" s="142" t="s">
        <v>78</v>
      </c>
      <c r="AJ258" s="142" t="s">
        <v>81</v>
      </c>
      <c r="AK258" s="142" t="s">
        <v>78</v>
      </c>
      <c r="AL258" s="142" t="s">
        <v>78</v>
      </c>
      <c r="AM258" s="142" t="s">
        <v>81</v>
      </c>
      <c r="AN258" s="142" t="s">
        <v>81</v>
      </c>
      <c r="AO258" s="142" t="s">
        <v>78</v>
      </c>
      <c r="AP258" s="142" t="s">
        <v>81</v>
      </c>
      <c r="AQ258" s="142">
        <v>1</v>
      </c>
      <c r="AR258" s="142" t="s">
        <v>74</v>
      </c>
    </row>
    <row r="259" spans="1:44" s="143" customFormat="1" ht="25.05" customHeight="1" x14ac:dyDescent="0.3">
      <c r="A259" s="126" t="s">
        <v>1302</v>
      </c>
      <c r="B259" s="125" t="s">
        <v>1303</v>
      </c>
      <c r="C259" s="139">
        <v>2016</v>
      </c>
      <c r="D259" s="139" t="s">
        <v>433</v>
      </c>
      <c r="E259" s="139" t="s">
        <v>78</v>
      </c>
      <c r="F259" s="139" t="s">
        <v>564</v>
      </c>
      <c r="G259" s="139" t="s">
        <v>520</v>
      </c>
      <c r="H259" s="139" t="s">
        <v>599</v>
      </c>
      <c r="I259" s="126" t="s">
        <v>101</v>
      </c>
      <c r="J259" s="126" t="s">
        <v>676</v>
      </c>
      <c r="K259" s="126" t="s">
        <v>81</v>
      </c>
      <c r="L259" s="140" t="s">
        <v>74</v>
      </c>
      <c r="M259" s="140">
        <v>15000000</v>
      </c>
      <c r="N259" s="126">
        <v>15000000</v>
      </c>
      <c r="O259" s="126">
        <v>20785950</v>
      </c>
      <c r="P259" s="126">
        <v>15000000</v>
      </c>
      <c r="Q259" s="126">
        <v>15000000</v>
      </c>
      <c r="R259" s="126">
        <v>20785950</v>
      </c>
      <c r="S259" s="126">
        <v>15000000</v>
      </c>
      <c r="T259" s="126">
        <v>15000000</v>
      </c>
      <c r="U259" s="127">
        <v>20785950</v>
      </c>
      <c r="V259" s="140" t="s">
        <v>81</v>
      </c>
      <c r="W259" s="126" t="s">
        <v>78</v>
      </c>
      <c r="X259" s="126" t="s">
        <v>81</v>
      </c>
      <c r="Y259" s="126" t="s">
        <v>78</v>
      </c>
      <c r="Z259" s="126" t="s">
        <v>81</v>
      </c>
      <c r="AA259" s="126">
        <v>0</v>
      </c>
      <c r="AB259" s="141" t="s">
        <v>78</v>
      </c>
      <c r="AC259" s="126">
        <v>0</v>
      </c>
      <c r="AD259" s="139" t="s">
        <v>78</v>
      </c>
      <c r="AE259" s="126">
        <v>0</v>
      </c>
      <c r="AF259" s="126" t="s">
        <v>78</v>
      </c>
      <c r="AG259" s="126">
        <v>0</v>
      </c>
      <c r="AH259" s="142" t="s">
        <v>81</v>
      </c>
      <c r="AI259" s="142" t="s">
        <v>78</v>
      </c>
      <c r="AJ259" s="142" t="s">
        <v>81</v>
      </c>
      <c r="AK259" s="142" t="s">
        <v>78</v>
      </c>
      <c r="AL259" s="142" t="s">
        <v>78</v>
      </c>
      <c r="AM259" s="142" t="s">
        <v>81</v>
      </c>
      <c r="AN259" s="142" t="s">
        <v>81</v>
      </c>
      <c r="AO259" s="142" t="s">
        <v>78</v>
      </c>
      <c r="AP259" s="142" t="s">
        <v>81</v>
      </c>
      <c r="AQ259" s="142">
        <v>1</v>
      </c>
      <c r="AR259" s="142" t="s">
        <v>74</v>
      </c>
    </row>
    <row r="260" spans="1:44" s="143" customFormat="1" ht="25.05" customHeight="1" x14ac:dyDescent="0.3">
      <c r="A260" s="126" t="s">
        <v>835</v>
      </c>
      <c r="B260" s="125" t="s">
        <v>836</v>
      </c>
      <c r="C260" s="139">
        <v>2018</v>
      </c>
      <c r="D260" s="139" t="s">
        <v>273</v>
      </c>
      <c r="E260" s="139" t="s">
        <v>78</v>
      </c>
      <c r="F260" s="139" t="s">
        <v>549</v>
      </c>
      <c r="G260" s="139" t="s">
        <v>518</v>
      </c>
      <c r="H260" s="139" t="s">
        <v>581</v>
      </c>
      <c r="I260" s="126" t="s">
        <v>228</v>
      </c>
      <c r="J260" s="126" t="s">
        <v>837</v>
      </c>
      <c r="K260" s="126" t="s">
        <v>81</v>
      </c>
      <c r="L260" s="140" t="s">
        <v>74</v>
      </c>
      <c r="M260" s="140">
        <v>15000000</v>
      </c>
      <c r="N260" s="126">
        <v>15000000</v>
      </c>
      <c r="O260" s="126">
        <v>21361950</v>
      </c>
      <c r="P260" s="126">
        <v>13000000</v>
      </c>
      <c r="Q260" s="126">
        <v>13000000</v>
      </c>
      <c r="R260" s="126">
        <v>18513690</v>
      </c>
      <c r="S260" s="126">
        <v>7000000</v>
      </c>
      <c r="T260" s="126">
        <v>7000000</v>
      </c>
      <c r="U260" s="127">
        <v>9968910</v>
      </c>
      <c r="V260" s="140" t="s">
        <v>75</v>
      </c>
      <c r="W260" s="126" t="s">
        <v>838</v>
      </c>
      <c r="X260" s="126" t="s">
        <v>81</v>
      </c>
      <c r="Y260" s="126" t="s">
        <v>78</v>
      </c>
      <c r="Z260" s="126" t="s">
        <v>75</v>
      </c>
      <c r="AA260" s="126">
        <v>0</v>
      </c>
      <c r="AB260" s="141" t="s">
        <v>78</v>
      </c>
      <c r="AC260" s="126">
        <v>999</v>
      </c>
      <c r="AD260" s="139" t="s">
        <v>839</v>
      </c>
      <c r="AE260" s="144">
        <v>999</v>
      </c>
      <c r="AF260" s="126" t="s">
        <v>840</v>
      </c>
      <c r="AG260" s="126">
        <v>3</v>
      </c>
      <c r="AH260" s="142" t="s">
        <v>81</v>
      </c>
      <c r="AI260" s="142" t="s">
        <v>78</v>
      </c>
      <c r="AJ260" s="142" t="s">
        <v>81</v>
      </c>
      <c r="AK260" s="142" t="s">
        <v>78</v>
      </c>
      <c r="AL260" s="142" t="s">
        <v>78</v>
      </c>
      <c r="AM260" s="142" t="s">
        <v>81</v>
      </c>
      <c r="AN260" s="142" t="s">
        <v>81</v>
      </c>
      <c r="AO260" s="142" t="s">
        <v>78</v>
      </c>
      <c r="AP260" s="142" t="s">
        <v>81</v>
      </c>
      <c r="AQ260" s="142">
        <v>1</v>
      </c>
      <c r="AR260" s="142" t="s">
        <v>74</v>
      </c>
    </row>
    <row r="261" spans="1:44" s="143" customFormat="1" ht="25.05" customHeight="1" x14ac:dyDescent="0.3">
      <c r="A261" s="126" t="s">
        <v>1043</v>
      </c>
      <c r="B261" s="125" t="s">
        <v>1044</v>
      </c>
      <c r="C261" s="139">
        <v>2017</v>
      </c>
      <c r="D261" s="139" t="s">
        <v>151</v>
      </c>
      <c r="E261" s="139" t="s">
        <v>78</v>
      </c>
      <c r="F261" s="139" t="s">
        <v>546</v>
      </c>
      <c r="G261" s="139" t="s">
        <v>518</v>
      </c>
      <c r="H261" s="139" t="s">
        <v>581</v>
      </c>
      <c r="I261" s="126" t="s">
        <v>228</v>
      </c>
      <c r="J261" s="126" t="s">
        <v>689</v>
      </c>
      <c r="K261" s="126" t="s">
        <v>81</v>
      </c>
      <c r="L261" s="140" t="s">
        <v>126</v>
      </c>
      <c r="M261" s="140">
        <v>96934000</v>
      </c>
      <c r="N261" s="126">
        <v>72105807.353849128</v>
      </c>
      <c r="O261" s="126">
        <v>96934000</v>
      </c>
      <c r="P261" s="126">
        <v>63685280.140000001</v>
      </c>
      <c r="Q261" s="126">
        <v>63685280.140000001</v>
      </c>
      <c r="R261" s="126">
        <v>85614032.6506062</v>
      </c>
      <c r="S261" s="126">
        <v>63685280.140000001</v>
      </c>
      <c r="T261" s="126">
        <v>63685280.140000001</v>
      </c>
      <c r="U261" s="127">
        <v>85614032.6506062</v>
      </c>
      <c r="V261" s="140" t="s">
        <v>81</v>
      </c>
      <c r="W261" s="126" t="s">
        <v>78</v>
      </c>
      <c r="X261" s="126" t="s">
        <v>81</v>
      </c>
      <c r="Y261" s="126" t="s">
        <v>78</v>
      </c>
      <c r="Z261" s="126" t="s">
        <v>81</v>
      </c>
      <c r="AA261" s="126">
        <v>0</v>
      </c>
      <c r="AB261" s="141" t="s">
        <v>78</v>
      </c>
      <c r="AC261" s="126">
        <v>0</v>
      </c>
      <c r="AD261" s="139" t="s">
        <v>78</v>
      </c>
      <c r="AE261" s="126">
        <v>0</v>
      </c>
      <c r="AF261" s="126" t="s">
        <v>78</v>
      </c>
      <c r="AG261" s="126">
        <v>0</v>
      </c>
      <c r="AH261" s="142" t="s">
        <v>81</v>
      </c>
      <c r="AI261" s="142" t="s">
        <v>78</v>
      </c>
      <c r="AJ261" s="142" t="s">
        <v>81</v>
      </c>
      <c r="AK261" s="142" t="s">
        <v>78</v>
      </c>
      <c r="AL261" s="142" t="s">
        <v>78</v>
      </c>
      <c r="AM261" s="142" t="s">
        <v>81</v>
      </c>
      <c r="AN261" s="142" t="s">
        <v>81</v>
      </c>
      <c r="AO261" s="142" t="s">
        <v>78</v>
      </c>
      <c r="AP261" s="142" t="s">
        <v>81</v>
      </c>
      <c r="AQ261" s="142">
        <v>1</v>
      </c>
      <c r="AR261" s="142" t="s">
        <v>126</v>
      </c>
    </row>
    <row r="262" spans="1:44" s="143" customFormat="1" ht="25.05" customHeight="1" x14ac:dyDescent="0.3">
      <c r="A262" s="126" t="s">
        <v>1091</v>
      </c>
      <c r="B262" s="125" t="s">
        <v>1092</v>
      </c>
      <c r="C262" s="139">
        <v>2017</v>
      </c>
      <c r="D262" s="139" t="s">
        <v>371</v>
      </c>
      <c r="E262" s="139" t="s">
        <v>78</v>
      </c>
      <c r="F262" s="139" t="s">
        <v>542</v>
      </c>
      <c r="G262" s="139" t="s">
        <v>520</v>
      </c>
      <c r="H262" s="139" t="s">
        <v>599</v>
      </c>
      <c r="I262" s="126" t="s">
        <v>101</v>
      </c>
      <c r="J262" s="126" t="s">
        <v>676</v>
      </c>
      <c r="K262" s="126" t="s">
        <v>81</v>
      </c>
      <c r="L262" s="140" t="s">
        <v>74</v>
      </c>
      <c r="M262" s="140">
        <v>1256450</v>
      </c>
      <c r="N262" s="126">
        <v>1256450</v>
      </c>
      <c r="O262" s="126">
        <v>1689083.4284999999</v>
      </c>
      <c r="P262" s="126">
        <v>1256450</v>
      </c>
      <c r="Q262" s="126">
        <v>1256450</v>
      </c>
      <c r="R262" s="126">
        <v>1689083.4284999999</v>
      </c>
      <c r="S262" s="126">
        <v>1256450</v>
      </c>
      <c r="T262" s="126">
        <v>1256450</v>
      </c>
      <c r="U262" s="127">
        <v>1689083.4284999999</v>
      </c>
      <c r="V262" s="140" t="s">
        <v>81</v>
      </c>
      <c r="W262" s="126" t="s">
        <v>78</v>
      </c>
      <c r="X262" s="126" t="s">
        <v>81</v>
      </c>
      <c r="Y262" s="126" t="s">
        <v>78</v>
      </c>
      <c r="Z262" s="126" t="s">
        <v>81</v>
      </c>
      <c r="AA262" s="126">
        <v>0</v>
      </c>
      <c r="AB262" s="141" t="s">
        <v>78</v>
      </c>
      <c r="AC262" s="126">
        <v>0</v>
      </c>
      <c r="AD262" s="139" t="s">
        <v>78</v>
      </c>
      <c r="AE262" s="144">
        <v>0</v>
      </c>
      <c r="AF262" s="126" t="s">
        <v>78</v>
      </c>
      <c r="AG262" s="126">
        <v>0</v>
      </c>
      <c r="AH262" s="142" t="s">
        <v>81</v>
      </c>
      <c r="AI262" s="142" t="s">
        <v>78</v>
      </c>
      <c r="AJ262" s="142" t="s">
        <v>81</v>
      </c>
      <c r="AK262" s="142" t="s">
        <v>78</v>
      </c>
      <c r="AL262" s="142" t="s">
        <v>78</v>
      </c>
      <c r="AM262" s="142" t="s">
        <v>81</v>
      </c>
      <c r="AN262" s="142" t="s">
        <v>81</v>
      </c>
      <c r="AO262" s="142" t="s">
        <v>78</v>
      </c>
      <c r="AP262" s="142" t="s">
        <v>81</v>
      </c>
      <c r="AQ262" s="142">
        <v>1</v>
      </c>
      <c r="AR262" s="142" t="s">
        <v>74</v>
      </c>
    </row>
    <row r="263" spans="1:44" s="143" customFormat="1" ht="25.05" customHeight="1" x14ac:dyDescent="0.3">
      <c r="A263" s="126" t="s">
        <v>1075</v>
      </c>
      <c r="B263" s="125" t="s">
        <v>1076</v>
      </c>
      <c r="C263" s="139">
        <v>2017</v>
      </c>
      <c r="D263" s="139" t="s">
        <v>502</v>
      </c>
      <c r="E263" s="139" t="s">
        <v>78</v>
      </c>
      <c r="F263" s="139" t="s">
        <v>548</v>
      </c>
      <c r="G263" s="139" t="s">
        <v>520</v>
      </c>
      <c r="H263" s="139" t="s">
        <v>590</v>
      </c>
      <c r="I263" s="126" t="s">
        <v>256</v>
      </c>
      <c r="J263" s="126" t="s">
        <v>676</v>
      </c>
      <c r="K263" s="126" t="s">
        <v>81</v>
      </c>
      <c r="L263" s="140" t="s">
        <v>74</v>
      </c>
      <c r="M263" s="140">
        <v>37879000</v>
      </c>
      <c r="N263" s="126">
        <v>37879000</v>
      </c>
      <c r="O263" s="126">
        <v>50921876.07</v>
      </c>
      <c r="P263" s="126">
        <v>30000000</v>
      </c>
      <c r="Q263" s="126">
        <v>30000000</v>
      </c>
      <c r="R263" s="126">
        <v>40329900</v>
      </c>
      <c r="S263" s="126">
        <v>30000000</v>
      </c>
      <c r="T263" s="126">
        <v>30000000</v>
      </c>
      <c r="U263" s="127">
        <v>40329900</v>
      </c>
      <c r="V263" s="140" t="s">
        <v>75</v>
      </c>
      <c r="W263" s="126" t="s">
        <v>1077</v>
      </c>
      <c r="X263" s="126" t="s">
        <v>81</v>
      </c>
      <c r="Y263" s="126" t="s">
        <v>78</v>
      </c>
      <c r="Z263" s="126" t="s">
        <v>75</v>
      </c>
      <c r="AA263" s="126">
        <v>999</v>
      </c>
      <c r="AB263" s="141" t="s">
        <v>1078</v>
      </c>
      <c r="AC263" s="126">
        <v>999</v>
      </c>
      <c r="AD263" s="139" t="s">
        <v>1079</v>
      </c>
      <c r="AE263" s="144">
        <v>0</v>
      </c>
      <c r="AF263" s="126" t="s">
        <v>78</v>
      </c>
      <c r="AG263" s="126">
        <v>2</v>
      </c>
      <c r="AH263" s="142" t="s">
        <v>81</v>
      </c>
      <c r="AI263" s="142" t="s">
        <v>78</v>
      </c>
      <c r="AJ263" s="142" t="s">
        <v>75</v>
      </c>
      <c r="AK263" s="142" t="s">
        <v>256</v>
      </c>
      <c r="AL263" s="142" t="s">
        <v>78</v>
      </c>
      <c r="AM263" s="142" t="s">
        <v>81</v>
      </c>
      <c r="AN263" s="142" t="s">
        <v>81</v>
      </c>
      <c r="AO263" s="142" t="s">
        <v>78</v>
      </c>
      <c r="AP263" s="142" t="s">
        <v>81</v>
      </c>
      <c r="AQ263" s="142">
        <v>1</v>
      </c>
      <c r="AR263" s="142" t="s">
        <v>74</v>
      </c>
    </row>
    <row r="264" spans="1:44" s="143" customFormat="1" ht="25.05" customHeight="1" x14ac:dyDescent="0.3">
      <c r="A264" s="126" t="s">
        <v>722</v>
      </c>
      <c r="B264" s="125" t="s">
        <v>723</v>
      </c>
      <c r="C264" s="139">
        <v>2018</v>
      </c>
      <c r="D264" s="139" t="s">
        <v>371</v>
      </c>
      <c r="E264" s="139" t="s">
        <v>78</v>
      </c>
      <c r="F264" s="139" t="s">
        <v>542</v>
      </c>
      <c r="G264" s="139" t="s">
        <v>520</v>
      </c>
      <c r="H264" s="139" t="s">
        <v>228</v>
      </c>
      <c r="I264" s="126" t="s">
        <v>228</v>
      </c>
      <c r="J264" s="126" t="s">
        <v>676</v>
      </c>
      <c r="K264" s="126" t="s">
        <v>81</v>
      </c>
      <c r="L264" s="140" t="s">
        <v>74</v>
      </c>
      <c r="M264" s="140">
        <v>4560000</v>
      </c>
      <c r="N264" s="126">
        <v>4560000</v>
      </c>
      <c r="O264" s="126">
        <v>6494032.7999999998</v>
      </c>
      <c r="P264" s="126">
        <v>4215000</v>
      </c>
      <c r="Q264" s="126">
        <v>4215000</v>
      </c>
      <c r="R264" s="126">
        <v>6002707.9499999993</v>
      </c>
      <c r="S264" s="126">
        <v>4215000</v>
      </c>
      <c r="T264" s="126">
        <v>4215000</v>
      </c>
      <c r="U264" s="127">
        <v>6002707.9499999993</v>
      </c>
      <c r="V264" s="140" t="s">
        <v>75</v>
      </c>
      <c r="W264" s="126" t="s">
        <v>724</v>
      </c>
      <c r="X264" s="126" t="s">
        <v>75</v>
      </c>
      <c r="Y264" s="126" t="s">
        <v>725</v>
      </c>
      <c r="Z264" s="126" t="s">
        <v>75</v>
      </c>
      <c r="AA264" s="126">
        <v>999</v>
      </c>
      <c r="AB264" s="141" t="s">
        <v>726</v>
      </c>
      <c r="AC264" s="126">
        <v>0</v>
      </c>
      <c r="AD264" s="139" t="s">
        <v>78</v>
      </c>
      <c r="AE264" s="126">
        <v>0</v>
      </c>
      <c r="AF264" s="126" t="s">
        <v>78</v>
      </c>
      <c r="AG264" s="126">
        <v>2</v>
      </c>
      <c r="AH264" s="142" t="s">
        <v>81</v>
      </c>
      <c r="AI264" s="142" t="s">
        <v>78</v>
      </c>
      <c r="AJ264" s="142" t="s">
        <v>75</v>
      </c>
      <c r="AK264" s="142" t="s">
        <v>228</v>
      </c>
      <c r="AL264" s="142" t="s">
        <v>78</v>
      </c>
      <c r="AM264" s="142" t="s">
        <v>81</v>
      </c>
      <c r="AN264" s="142" t="s">
        <v>81</v>
      </c>
      <c r="AO264" s="142" t="s">
        <v>78</v>
      </c>
      <c r="AP264" s="142" t="s">
        <v>75</v>
      </c>
      <c r="AQ264" s="142">
        <v>1</v>
      </c>
      <c r="AR264" s="142" t="s">
        <v>74</v>
      </c>
    </row>
    <row r="265" spans="1:44" s="143" customFormat="1" ht="25.05" customHeight="1" x14ac:dyDescent="0.3">
      <c r="A265" s="126" t="s">
        <v>1259</v>
      </c>
      <c r="B265" s="125" t="s">
        <v>1260</v>
      </c>
      <c r="C265" s="139">
        <v>2016</v>
      </c>
      <c r="D265" s="139" t="s">
        <v>507</v>
      </c>
      <c r="E265" s="139" t="s">
        <v>78</v>
      </c>
      <c r="F265" s="139" t="s">
        <v>562</v>
      </c>
      <c r="G265" s="139" t="s">
        <v>519</v>
      </c>
      <c r="H265" s="139" t="s">
        <v>228</v>
      </c>
      <c r="I265" s="126" t="s">
        <v>228</v>
      </c>
      <c r="J265" s="126" t="s">
        <v>689</v>
      </c>
      <c r="K265" s="126" t="s">
        <v>81</v>
      </c>
      <c r="L265" s="140" t="s">
        <v>74</v>
      </c>
      <c r="M265" s="140">
        <v>15950000</v>
      </c>
      <c r="N265" s="126">
        <v>15950000</v>
      </c>
      <c r="O265" s="126">
        <v>22102393.5</v>
      </c>
      <c r="P265" s="126">
        <v>14033467.369999999</v>
      </c>
      <c r="Q265" s="126">
        <v>14033467.369999999</v>
      </c>
      <c r="R265" s="126">
        <v>19446596.738630097</v>
      </c>
      <c r="S265" s="126">
        <v>11500000</v>
      </c>
      <c r="T265" s="126">
        <v>11500000</v>
      </c>
      <c r="U265" s="127">
        <v>15935894.999999998</v>
      </c>
      <c r="V265" s="140" t="s">
        <v>75</v>
      </c>
      <c r="W265" s="126" t="s">
        <v>1261</v>
      </c>
      <c r="X265" s="126" t="s">
        <v>81</v>
      </c>
      <c r="Y265" s="126" t="s">
        <v>78</v>
      </c>
      <c r="Z265" s="126" t="s">
        <v>75</v>
      </c>
      <c r="AA265" s="126">
        <v>0</v>
      </c>
      <c r="AB265" s="141" t="s">
        <v>78</v>
      </c>
      <c r="AC265" s="126">
        <v>999</v>
      </c>
      <c r="AD265" s="139" t="s">
        <v>1262</v>
      </c>
      <c r="AE265" s="126">
        <v>0</v>
      </c>
      <c r="AF265" s="126" t="s">
        <v>78</v>
      </c>
      <c r="AG265" s="126">
        <v>1</v>
      </c>
      <c r="AH265" s="142" t="s">
        <v>81</v>
      </c>
      <c r="AI265" s="142" t="s">
        <v>78</v>
      </c>
      <c r="AJ265" s="142" t="s">
        <v>81</v>
      </c>
      <c r="AK265" s="142" t="s">
        <v>78</v>
      </c>
      <c r="AL265" s="142" t="s">
        <v>78</v>
      </c>
      <c r="AM265" s="142" t="s">
        <v>81</v>
      </c>
      <c r="AN265" s="142" t="s">
        <v>81</v>
      </c>
      <c r="AO265" s="142" t="s">
        <v>78</v>
      </c>
      <c r="AP265" s="142" t="s">
        <v>81</v>
      </c>
      <c r="AQ265" s="142">
        <v>1</v>
      </c>
      <c r="AR265" s="142" t="s">
        <v>74</v>
      </c>
    </row>
    <row r="266" spans="1:44" s="143" customFormat="1" ht="25.05" customHeight="1" x14ac:dyDescent="0.3">
      <c r="A266" s="126" t="s">
        <v>1270</v>
      </c>
      <c r="B266" s="125" t="s">
        <v>1271</v>
      </c>
      <c r="C266" s="139">
        <v>2016</v>
      </c>
      <c r="D266" s="139" t="s">
        <v>155</v>
      </c>
      <c r="E266" s="139" t="s">
        <v>78</v>
      </c>
      <c r="F266" s="139" t="s">
        <v>559</v>
      </c>
      <c r="G266" s="139" t="s">
        <v>520</v>
      </c>
      <c r="H266" s="139" t="s">
        <v>588</v>
      </c>
      <c r="I266" s="126" t="s">
        <v>256</v>
      </c>
      <c r="J266" s="126" t="s">
        <v>689</v>
      </c>
      <c r="K266" s="126" t="s">
        <v>81</v>
      </c>
      <c r="L266" s="140" t="s">
        <v>104</v>
      </c>
      <c r="M266" s="140">
        <v>101600000</v>
      </c>
      <c r="N266" s="126">
        <v>79822128.642473862</v>
      </c>
      <c r="O266" s="126">
        <v>110611918.3237353</v>
      </c>
      <c r="P266" s="126">
        <v>53313648.289999999</v>
      </c>
      <c r="Q266" s="126">
        <v>53313648.289999999</v>
      </c>
      <c r="R266" s="126">
        <v>73878321.844901696</v>
      </c>
      <c r="S266" s="126">
        <v>53313648.289999999</v>
      </c>
      <c r="T266" s="126">
        <v>53313648.289999999</v>
      </c>
      <c r="U266" s="127">
        <v>73878321.844901696</v>
      </c>
      <c r="V266" s="140" t="s">
        <v>75</v>
      </c>
      <c r="W266" s="126" t="s">
        <v>1272</v>
      </c>
      <c r="X266" s="126" t="s">
        <v>81</v>
      </c>
      <c r="Y266" s="126" t="s">
        <v>78</v>
      </c>
      <c r="Z266" s="126" t="s">
        <v>75</v>
      </c>
      <c r="AA266" s="126">
        <v>999</v>
      </c>
      <c r="AB266" s="141" t="s">
        <v>1273</v>
      </c>
      <c r="AC266" s="126">
        <v>999</v>
      </c>
      <c r="AD266" s="139" t="s">
        <v>1272</v>
      </c>
      <c r="AE266" s="126">
        <v>0</v>
      </c>
      <c r="AF266" s="126" t="s">
        <v>78</v>
      </c>
      <c r="AG266" s="126">
        <v>2</v>
      </c>
      <c r="AH266" s="142" t="s">
        <v>81</v>
      </c>
      <c r="AI266" s="142" t="s">
        <v>78</v>
      </c>
      <c r="AJ266" s="142" t="s">
        <v>81</v>
      </c>
      <c r="AK266" s="142" t="s">
        <v>78</v>
      </c>
      <c r="AL266" s="142" t="s">
        <v>78</v>
      </c>
      <c r="AM266" s="142" t="s">
        <v>81</v>
      </c>
      <c r="AN266" s="142" t="s">
        <v>81</v>
      </c>
      <c r="AO266" s="142" t="s">
        <v>78</v>
      </c>
      <c r="AP266" s="142" t="s">
        <v>81</v>
      </c>
      <c r="AQ266" s="142">
        <v>1</v>
      </c>
      <c r="AR266" s="142" t="s">
        <v>104</v>
      </c>
    </row>
    <row r="267" spans="1:44" s="143" customFormat="1" ht="25.05" customHeight="1" x14ac:dyDescent="0.3">
      <c r="A267" s="126" t="s">
        <v>772</v>
      </c>
      <c r="B267" s="125" t="s">
        <v>773</v>
      </c>
      <c r="C267" s="139">
        <v>2018</v>
      </c>
      <c r="D267" s="139" t="s">
        <v>433</v>
      </c>
      <c r="E267" s="139" t="s">
        <v>78</v>
      </c>
      <c r="F267" s="139" t="s">
        <v>564</v>
      </c>
      <c r="G267" s="139" t="s">
        <v>520</v>
      </c>
      <c r="H267" s="139" t="s">
        <v>228</v>
      </c>
      <c r="I267" s="126" t="s">
        <v>228</v>
      </c>
      <c r="J267" s="126" t="s">
        <v>676</v>
      </c>
      <c r="K267" s="126" t="s">
        <v>81</v>
      </c>
      <c r="L267" s="140" t="s">
        <v>74</v>
      </c>
      <c r="M267" s="140">
        <v>49440000</v>
      </c>
      <c r="N267" s="126">
        <v>49440000</v>
      </c>
      <c r="O267" s="126">
        <v>70408987.199999988</v>
      </c>
      <c r="P267" s="126">
        <v>20995000</v>
      </c>
      <c r="Q267" s="126">
        <v>20995000</v>
      </c>
      <c r="R267" s="126">
        <v>29899609.349999998</v>
      </c>
      <c r="S267" s="126">
        <v>20995000</v>
      </c>
      <c r="T267" s="126">
        <v>20995000</v>
      </c>
      <c r="U267" s="127">
        <v>29899609.349999998</v>
      </c>
      <c r="V267" s="140" t="s">
        <v>75</v>
      </c>
      <c r="W267" s="126" t="s">
        <v>774</v>
      </c>
      <c r="X267" s="126" t="s">
        <v>75</v>
      </c>
      <c r="Y267" s="126" t="s">
        <v>775</v>
      </c>
      <c r="Z267" s="126" t="s">
        <v>75</v>
      </c>
      <c r="AA267" s="126">
        <v>999</v>
      </c>
      <c r="AB267" s="141" t="s">
        <v>776</v>
      </c>
      <c r="AC267" s="126">
        <v>999</v>
      </c>
      <c r="AD267" s="139" t="s">
        <v>777</v>
      </c>
      <c r="AE267" s="126">
        <v>0</v>
      </c>
      <c r="AF267" s="126" t="s">
        <v>78</v>
      </c>
      <c r="AG267" s="126">
        <v>2</v>
      </c>
      <c r="AH267" s="142" t="s">
        <v>81</v>
      </c>
      <c r="AI267" s="142" t="s">
        <v>78</v>
      </c>
      <c r="AJ267" s="142" t="s">
        <v>75</v>
      </c>
      <c r="AK267" s="142" t="s">
        <v>228</v>
      </c>
      <c r="AL267" s="142" t="s">
        <v>78</v>
      </c>
      <c r="AM267" s="142" t="s">
        <v>81</v>
      </c>
      <c r="AN267" s="142" t="s">
        <v>81</v>
      </c>
      <c r="AO267" s="142" t="s">
        <v>78</v>
      </c>
      <c r="AP267" s="142" t="s">
        <v>75</v>
      </c>
      <c r="AQ267" s="142">
        <v>1</v>
      </c>
      <c r="AR267" s="142" t="s">
        <v>74</v>
      </c>
    </row>
    <row r="268" spans="1:44" s="143" customFormat="1" ht="25.05" customHeight="1" x14ac:dyDescent="0.3">
      <c r="A268" s="126" t="s">
        <v>1047</v>
      </c>
      <c r="B268" s="125" t="s">
        <v>1048</v>
      </c>
      <c r="C268" s="139">
        <v>2017</v>
      </c>
      <c r="D268" s="139" t="s">
        <v>113</v>
      </c>
      <c r="E268" s="139" t="s">
        <v>78</v>
      </c>
      <c r="F268" s="139" t="s">
        <v>565</v>
      </c>
      <c r="G268" s="139" t="s">
        <v>518</v>
      </c>
      <c r="H268" s="139" t="s">
        <v>228</v>
      </c>
      <c r="I268" s="126" t="s">
        <v>228</v>
      </c>
      <c r="J268" s="126" t="s">
        <v>689</v>
      </c>
      <c r="K268" s="126" t="s">
        <v>81</v>
      </c>
      <c r="L268" s="140" t="s">
        <v>74</v>
      </c>
      <c r="M268" s="140">
        <v>48355326</v>
      </c>
      <c r="N268" s="126">
        <v>48355326</v>
      </c>
      <c r="O268" s="126">
        <v>65005515.401579998</v>
      </c>
      <c r="P268" s="126">
        <v>31681430.449999999</v>
      </c>
      <c r="Q268" s="126">
        <v>31681430.449999999</v>
      </c>
      <c r="R268" s="126">
        <v>42590297.3968485</v>
      </c>
      <c r="S268" s="126">
        <v>23127460.629999999</v>
      </c>
      <c r="T268" s="126">
        <v>23127460.629999999</v>
      </c>
      <c r="U268" s="127">
        <v>31090939.148727898</v>
      </c>
      <c r="V268" s="140" t="s">
        <v>81</v>
      </c>
      <c r="W268" s="126" t="s">
        <v>78</v>
      </c>
      <c r="X268" s="126" t="s">
        <v>81</v>
      </c>
      <c r="Y268" s="126" t="s">
        <v>78</v>
      </c>
      <c r="Z268" s="126" t="s">
        <v>81</v>
      </c>
      <c r="AA268" s="126">
        <v>0</v>
      </c>
      <c r="AB268" s="141" t="s">
        <v>78</v>
      </c>
      <c r="AC268" s="126">
        <v>0</v>
      </c>
      <c r="AD268" s="139" t="s">
        <v>78</v>
      </c>
      <c r="AE268" s="126">
        <v>0</v>
      </c>
      <c r="AF268" s="126" t="s">
        <v>78</v>
      </c>
      <c r="AG268" s="126">
        <v>0</v>
      </c>
      <c r="AH268" s="142" t="s">
        <v>81</v>
      </c>
      <c r="AI268" s="142" t="s">
        <v>78</v>
      </c>
      <c r="AJ268" s="142" t="s">
        <v>81</v>
      </c>
      <c r="AK268" s="142" t="s">
        <v>78</v>
      </c>
      <c r="AL268" s="142" t="s">
        <v>78</v>
      </c>
      <c r="AM268" s="142" t="s">
        <v>81</v>
      </c>
      <c r="AN268" s="142" t="s">
        <v>81</v>
      </c>
      <c r="AO268" s="142" t="s">
        <v>78</v>
      </c>
      <c r="AP268" s="142" t="s">
        <v>81</v>
      </c>
      <c r="AQ268" s="142">
        <v>1</v>
      </c>
      <c r="AR268" s="142" t="s">
        <v>74</v>
      </c>
    </row>
    <row r="269" spans="1:44" s="143" customFormat="1" ht="25.05" customHeight="1" x14ac:dyDescent="0.3">
      <c r="A269" s="126" t="s">
        <v>1313</v>
      </c>
      <c r="B269" s="125" t="s">
        <v>1314</v>
      </c>
      <c r="C269" s="139">
        <v>2016</v>
      </c>
      <c r="D269" s="139" t="s">
        <v>99</v>
      </c>
      <c r="E269" s="139" t="s">
        <v>78</v>
      </c>
      <c r="F269" s="139" t="s">
        <v>532</v>
      </c>
      <c r="G269" s="139" t="s">
        <v>520</v>
      </c>
      <c r="H269" s="139" t="s">
        <v>573</v>
      </c>
      <c r="I269" s="126" t="s">
        <v>466</v>
      </c>
      <c r="J269" s="126" t="s">
        <v>689</v>
      </c>
      <c r="K269" s="126" t="s">
        <v>81</v>
      </c>
      <c r="L269" s="140" t="s">
        <v>74</v>
      </c>
      <c r="M269" s="140">
        <v>800000</v>
      </c>
      <c r="N269" s="126">
        <v>800000</v>
      </c>
      <c r="O269" s="126">
        <v>1108584</v>
      </c>
      <c r="P269" s="126">
        <v>800000</v>
      </c>
      <c r="Q269" s="126">
        <v>800000</v>
      </c>
      <c r="R269" s="126">
        <v>1108584</v>
      </c>
      <c r="S269" s="126">
        <v>800000</v>
      </c>
      <c r="T269" s="126">
        <v>800000</v>
      </c>
      <c r="U269" s="127">
        <v>1108584</v>
      </c>
      <c r="V269" s="140" t="s">
        <v>81</v>
      </c>
      <c r="W269" s="126" t="s">
        <v>78</v>
      </c>
      <c r="X269" s="126" t="s">
        <v>81</v>
      </c>
      <c r="Y269" s="126" t="s">
        <v>78</v>
      </c>
      <c r="Z269" s="126" t="s">
        <v>81</v>
      </c>
      <c r="AA269" s="126">
        <v>0</v>
      </c>
      <c r="AB269" s="141" t="s">
        <v>78</v>
      </c>
      <c r="AC269" s="126">
        <v>0</v>
      </c>
      <c r="AD269" s="139" t="s">
        <v>78</v>
      </c>
      <c r="AE269" s="144">
        <v>0</v>
      </c>
      <c r="AF269" s="126" t="s">
        <v>78</v>
      </c>
      <c r="AG269" s="126">
        <v>0</v>
      </c>
      <c r="AH269" s="142" t="s">
        <v>81</v>
      </c>
      <c r="AI269" s="142" t="s">
        <v>78</v>
      </c>
      <c r="AJ269" s="142" t="s">
        <v>81</v>
      </c>
      <c r="AK269" s="142" t="s">
        <v>78</v>
      </c>
      <c r="AL269" s="142" t="s">
        <v>78</v>
      </c>
      <c r="AM269" s="142" t="s">
        <v>81</v>
      </c>
      <c r="AN269" s="142" t="s">
        <v>81</v>
      </c>
      <c r="AO269" s="142" t="s">
        <v>78</v>
      </c>
      <c r="AP269" s="142" t="s">
        <v>81</v>
      </c>
      <c r="AQ269" s="142">
        <v>1</v>
      </c>
      <c r="AR269" s="142" t="s">
        <v>74</v>
      </c>
    </row>
    <row r="270" spans="1:44" s="143" customFormat="1" ht="25.05" customHeight="1" x14ac:dyDescent="0.3">
      <c r="A270" s="126" t="s">
        <v>1263</v>
      </c>
      <c r="B270" s="125" t="s">
        <v>1264</v>
      </c>
      <c r="C270" s="139">
        <v>2016</v>
      </c>
      <c r="D270" s="139" t="s">
        <v>155</v>
      </c>
      <c r="E270" s="139" t="s">
        <v>78</v>
      </c>
      <c r="F270" s="139" t="s">
        <v>559</v>
      </c>
      <c r="G270" s="139" t="s">
        <v>520</v>
      </c>
      <c r="H270" s="139" t="s">
        <v>584</v>
      </c>
      <c r="I270" s="126" t="s">
        <v>228</v>
      </c>
      <c r="J270" s="126" t="s">
        <v>689</v>
      </c>
      <c r="K270" s="126" t="s">
        <v>81</v>
      </c>
      <c r="L270" s="140" t="s">
        <v>104</v>
      </c>
      <c r="M270" s="140">
        <v>52240000</v>
      </c>
      <c r="N270" s="126">
        <v>41042401.577586956</v>
      </c>
      <c r="O270" s="126">
        <v>56873687.138109572</v>
      </c>
      <c r="P270" s="126">
        <v>17915436.350000001</v>
      </c>
      <c r="Q270" s="126">
        <v>17915436.350000001</v>
      </c>
      <c r="R270" s="126">
        <v>24825957.613285501</v>
      </c>
      <c r="S270" s="126">
        <v>12877296.59</v>
      </c>
      <c r="T270" s="126">
        <v>12877296.59</v>
      </c>
      <c r="U270" s="127">
        <v>17844456.203660697</v>
      </c>
      <c r="V270" s="140" t="s">
        <v>75</v>
      </c>
      <c r="W270" s="126" t="s">
        <v>1265</v>
      </c>
      <c r="X270" s="126" t="s">
        <v>81</v>
      </c>
      <c r="Y270" s="126" t="s">
        <v>78</v>
      </c>
      <c r="Z270" s="126" t="s">
        <v>75</v>
      </c>
      <c r="AA270" s="126">
        <v>999</v>
      </c>
      <c r="AB270" s="141" t="s">
        <v>1266</v>
      </c>
      <c r="AC270" s="126">
        <v>999</v>
      </c>
      <c r="AD270" s="139" t="s">
        <v>1267</v>
      </c>
      <c r="AE270" s="126">
        <v>0</v>
      </c>
      <c r="AF270" s="126" t="s">
        <v>78</v>
      </c>
      <c r="AG270" s="126">
        <v>2</v>
      </c>
      <c r="AH270" s="142" t="s">
        <v>81</v>
      </c>
      <c r="AI270" s="142" t="s">
        <v>78</v>
      </c>
      <c r="AJ270" s="142" t="s">
        <v>75</v>
      </c>
      <c r="AK270" s="142" t="s">
        <v>228</v>
      </c>
      <c r="AL270" s="142" t="s">
        <v>78</v>
      </c>
      <c r="AM270" s="142" t="s">
        <v>81</v>
      </c>
      <c r="AN270" s="142" t="s">
        <v>81</v>
      </c>
      <c r="AO270" s="142" t="s">
        <v>78</v>
      </c>
      <c r="AP270" s="142" t="s">
        <v>81</v>
      </c>
      <c r="AQ270" s="142">
        <v>1</v>
      </c>
      <c r="AR270" s="142" t="s">
        <v>104</v>
      </c>
    </row>
    <row r="271" spans="1:44" s="143" customFormat="1" ht="25.05" customHeight="1" x14ac:dyDescent="0.3">
      <c r="A271" s="126" t="s">
        <v>674</v>
      </c>
      <c r="B271" s="125" t="s">
        <v>675</v>
      </c>
      <c r="C271" s="139">
        <v>2018</v>
      </c>
      <c r="D271" s="139" t="s">
        <v>501</v>
      </c>
      <c r="E271" s="139" t="s">
        <v>78</v>
      </c>
      <c r="F271" s="139" t="s">
        <v>551</v>
      </c>
      <c r="G271" s="139" t="s">
        <v>519</v>
      </c>
      <c r="H271" s="139" t="s">
        <v>599</v>
      </c>
      <c r="I271" s="126" t="s">
        <v>101</v>
      </c>
      <c r="J271" s="126" t="s">
        <v>676</v>
      </c>
      <c r="K271" s="126" t="s">
        <v>81</v>
      </c>
      <c r="L271" s="140" t="s">
        <v>74</v>
      </c>
      <c r="M271" s="140">
        <v>7000000</v>
      </c>
      <c r="N271" s="126">
        <v>7000000</v>
      </c>
      <c r="O271" s="126">
        <v>9968910</v>
      </c>
      <c r="P271" s="126">
        <v>7000000</v>
      </c>
      <c r="Q271" s="126">
        <v>7000000</v>
      </c>
      <c r="R271" s="126">
        <v>9968910</v>
      </c>
      <c r="S271" s="126">
        <v>7000000</v>
      </c>
      <c r="T271" s="126">
        <v>7000000</v>
      </c>
      <c r="U271" s="127">
        <v>9968910</v>
      </c>
      <c r="V271" s="140" t="s">
        <v>81</v>
      </c>
      <c r="W271" s="126" t="s">
        <v>78</v>
      </c>
      <c r="X271" s="126" t="s">
        <v>81</v>
      </c>
      <c r="Y271" s="126" t="s">
        <v>78</v>
      </c>
      <c r="Z271" s="126" t="s">
        <v>81</v>
      </c>
      <c r="AA271" s="126">
        <v>0</v>
      </c>
      <c r="AB271" s="141" t="s">
        <v>78</v>
      </c>
      <c r="AC271" s="126">
        <v>0</v>
      </c>
      <c r="AD271" s="139" t="s">
        <v>78</v>
      </c>
      <c r="AE271" s="126">
        <v>0</v>
      </c>
      <c r="AF271" s="126" t="s">
        <v>78</v>
      </c>
      <c r="AG271" s="126">
        <v>0</v>
      </c>
      <c r="AH271" s="142" t="s">
        <v>81</v>
      </c>
      <c r="AI271" s="142" t="s">
        <v>78</v>
      </c>
      <c r="AJ271" s="142" t="s">
        <v>75</v>
      </c>
      <c r="AK271" s="142" t="s">
        <v>78</v>
      </c>
      <c r="AL271" s="142" t="s">
        <v>78</v>
      </c>
      <c r="AM271" s="142" t="s">
        <v>81</v>
      </c>
      <c r="AN271" s="142" t="s">
        <v>81</v>
      </c>
      <c r="AO271" s="142" t="s">
        <v>78</v>
      </c>
      <c r="AP271" s="142" t="s">
        <v>81</v>
      </c>
      <c r="AQ271" s="142">
        <v>1</v>
      </c>
      <c r="AR271" s="142" t="s">
        <v>74</v>
      </c>
    </row>
    <row r="272" spans="1:44" s="143" customFormat="1" ht="25.05" customHeight="1" x14ac:dyDescent="0.3">
      <c r="A272" s="126" t="s">
        <v>224</v>
      </c>
      <c r="B272" s="126" t="s">
        <v>225</v>
      </c>
      <c r="C272" s="139">
        <v>2020</v>
      </c>
      <c r="D272" s="139" t="s">
        <v>226</v>
      </c>
      <c r="E272" s="139">
        <v>0</v>
      </c>
      <c r="F272" s="139" t="s">
        <v>534</v>
      </c>
      <c r="G272" s="139" t="s">
        <v>518</v>
      </c>
      <c r="H272" s="139" t="s">
        <v>227</v>
      </c>
      <c r="I272" s="126" t="s">
        <v>228</v>
      </c>
      <c r="J272" s="126" t="s">
        <v>221</v>
      </c>
      <c r="K272" s="126" t="s">
        <v>75</v>
      </c>
      <c r="L272" s="126" t="s">
        <v>126</v>
      </c>
      <c r="M272" s="126">
        <v>1000000</v>
      </c>
      <c r="N272" s="126">
        <v>723154.69001974212</v>
      </c>
      <c r="O272" s="126">
        <v>1000000</v>
      </c>
      <c r="P272" s="126" t="s">
        <v>659</v>
      </c>
      <c r="Q272" s="126" t="s">
        <v>659</v>
      </c>
      <c r="R272" s="126" t="s">
        <v>659</v>
      </c>
      <c r="S272" s="126">
        <v>1000000</v>
      </c>
      <c r="T272" s="126">
        <v>723154.69001974212</v>
      </c>
      <c r="U272" s="127">
        <v>1000000</v>
      </c>
      <c r="V272" s="126" t="s">
        <v>75</v>
      </c>
      <c r="W272" s="126" t="s">
        <v>229</v>
      </c>
      <c r="X272" s="126" t="s">
        <v>75</v>
      </c>
      <c r="Y272" s="126" t="s">
        <v>230</v>
      </c>
      <c r="Z272" s="126" t="s">
        <v>75</v>
      </c>
      <c r="AA272" s="126">
        <v>0</v>
      </c>
      <c r="AB272" s="141">
        <v>0</v>
      </c>
      <c r="AC272" s="126">
        <v>1</v>
      </c>
      <c r="AD272" s="139" t="s">
        <v>231</v>
      </c>
      <c r="AE272" s="126">
        <v>1</v>
      </c>
      <c r="AF272" s="126" t="s">
        <v>232</v>
      </c>
      <c r="AG272" s="126">
        <v>2</v>
      </c>
      <c r="AH272" s="142" t="s">
        <v>81</v>
      </c>
      <c r="AI272" s="142">
        <v>0</v>
      </c>
      <c r="AJ272" s="142" t="s">
        <v>75</v>
      </c>
      <c r="AK272" s="142" t="s">
        <v>233</v>
      </c>
      <c r="AL272" s="142" t="s">
        <v>160</v>
      </c>
      <c r="AM272" s="142" t="s">
        <v>75</v>
      </c>
      <c r="AN272" s="142" t="s">
        <v>81</v>
      </c>
      <c r="AO272" s="142" t="s">
        <v>222</v>
      </c>
      <c r="AP272" s="142" t="s">
        <v>75</v>
      </c>
      <c r="AQ272" s="142">
        <v>1</v>
      </c>
      <c r="AR272" s="142" t="s">
        <v>126</v>
      </c>
    </row>
    <row r="273" spans="1:44" s="143" customFormat="1" ht="25.05" customHeight="1" x14ac:dyDescent="0.3">
      <c r="A273" s="126" t="s">
        <v>1093</v>
      </c>
      <c r="B273" s="125" t="s">
        <v>1094</v>
      </c>
      <c r="C273" s="139">
        <v>2016</v>
      </c>
      <c r="D273" s="139" t="s">
        <v>497</v>
      </c>
      <c r="E273" s="139" t="s">
        <v>78</v>
      </c>
      <c r="F273" s="139" t="s">
        <v>538</v>
      </c>
      <c r="G273" s="139" t="s">
        <v>520</v>
      </c>
      <c r="H273" s="139" t="s">
        <v>597</v>
      </c>
      <c r="I273" s="126" t="s">
        <v>101</v>
      </c>
      <c r="J273" s="126" t="s">
        <v>676</v>
      </c>
      <c r="K273" s="126" t="s">
        <v>81</v>
      </c>
      <c r="L273" s="140" t="s">
        <v>74</v>
      </c>
      <c r="M273" s="140">
        <v>35000000</v>
      </c>
      <c r="N273" s="126">
        <v>35000000</v>
      </c>
      <c r="O273" s="126">
        <v>48500550</v>
      </c>
      <c r="P273" s="126">
        <v>35000000</v>
      </c>
      <c r="Q273" s="126">
        <v>35000000</v>
      </c>
      <c r="R273" s="126">
        <v>48500550</v>
      </c>
      <c r="S273" s="126">
        <v>35000000</v>
      </c>
      <c r="T273" s="126">
        <v>35000000</v>
      </c>
      <c r="U273" s="127">
        <v>48500550</v>
      </c>
      <c r="V273" s="140" t="s">
        <v>81</v>
      </c>
      <c r="W273" s="126" t="s">
        <v>78</v>
      </c>
      <c r="X273" s="126" t="s">
        <v>81</v>
      </c>
      <c r="Y273" s="126" t="s">
        <v>78</v>
      </c>
      <c r="Z273" s="126" t="s">
        <v>81</v>
      </c>
      <c r="AA273" s="126">
        <v>0</v>
      </c>
      <c r="AB273" s="141" t="s">
        <v>78</v>
      </c>
      <c r="AC273" s="126">
        <v>0</v>
      </c>
      <c r="AD273" s="139" t="s">
        <v>78</v>
      </c>
      <c r="AE273" s="126">
        <v>0</v>
      </c>
      <c r="AF273" s="126" t="s">
        <v>78</v>
      </c>
      <c r="AG273" s="126">
        <v>0</v>
      </c>
      <c r="AH273" s="142" t="s">
        <v>81</v>
      </c>
      <c r="AI273" s="142" t="s">
        <v>78</v>
      </c>
      <c r="AJ273" s="142" t="s">
        <v>81</v>
      </c>
      <c r="AK273" s="142" t="s">
        <v>78</v>
      </c>
      <c r="AL273" s="142" t="s">
        <v>78</v>
      </c>
      <c r="AM273" s="142" t="s">
        <v>81</v>
      </c>
      <c r="AN273" s="142" t="s">
        <v>81</v>
      </c>
      <c r="AO273" s="142" t="s">
        <v>78</v>
      </c>
      <c r="AP273" s="142" t="s">
        <v>81</v>
      </c>
      <c r="AQ273" s="142">
        <v>1</v>
      </c>
      <c r="AR273" s="142" t="s">
        <v>74</v>
      </c>
    </row>
    <row r="274" spans="1:44" s="143" customFormat="1" ht="25.05" customHeight="1" x14ac:dyDescent="0.3">
      <c r="A274" s="126" t="s">
        <v>985</v>
      </c>
      <c r="B274" s="125" t="s">
        <v>986</v>
      </c>
      <c r="C274" s="139">
        <v>2017</v>
      </c>
      <c r="D274" s="139" t="s">
        <v>179</v>
      </c>
      <c r="E274" s="139" t="s">
        <v>78</v>
      </c>
      <c r="F274" s="139" t="s">
        <v>561</v>
      </c>
      <c r="G274" s="139" t="s">
        <v>522</v>
      </c>
      <c r="H274" s="139" t="s">
        <v>595</v>
      </c>
      <c r="I274" s="126" t="s">
        <v>101</v>
      </c>
      <c r="J274" s="126" t="s">
        <v>676</v>
      </c>
      <c r="K274" s="126" t="s">
        <v>81</v>
      </c>
      <c r="L274" s="140" t="s">
        <v>74</v>
      </c>
      <c r="M274" s="140">
        <v>13380000</v>
      </c>
      <c r="N274" s="126">
        <v>13380000</v>
      </c>
      <c r="O274" s="126">
        <v>17987135.399999999</v>
      </c>
      <c r="P274" s="126">
        <v>13379999.720000001</v>
      </c>
      <c r="Q274" s="126">
        <v>13379999.720000001</v>
      </c>
      <c r="R274" s="126">
        <v>17987135.023587599</v>
      </c>
      <c r="S274" s="126">
        <v>13379999.720000001</v>
      </c>
      <c r="T274" s="126">
        <v>13379999.720000001</v>
      </c>
      <c r="U274" s="127">
        <v>17987135.023587599</v>
      </c>
      <c r="V274" s="140" t="s">
        <v>81</v>
      </c>
      <c r="W274" s="126" t="s">
        <v>78</v>
      </c>
      <c r="X274" s="126" t="s">
        <v>81</v>
      </c>
      <c r="Y274" s="126" t="s">
        <v>78</v>
      </c>
      <c r="Z274" s="126" t="s">
        <v>81</v>
      </c>
      <c r="AA274" s="126">
        <v>0</v>
      </c>
      <c r="AB274" s="141" t="s">
        <v>78</v>
      </c>
      <c r="AC274" s="126">
        <v>0</v>
      </c>
      <c r="AD274" s="139" t="s">
        <v>78</v>
      </c>
      <c r="AE274" s="126">
        <v>0</v>
      </c>
      <c r="AF274" s="126" t="s">
        <v>78</v>
      </c>
      <c r="AG274" s="126">
        <v>0</v>
      </c>
      <c r="AH274" s="142" t="s">
        <v>81</v>
      </c>
      <c r="AI274" s="142" t="s">
        <v>78</v>
      </c>
      <c r="AJ274" s="142" t="s">
        <v>81</v>
      </c>
      <c r="AK274" s="142" t="s">
        <v>78</v>
      </c>
      <c r="AL274" s="142" t="s">
        <v>78</v>
      </c>
      <c r="AM274" s="142" t="s">
        <v>81</v>
      </c>
      <c r="AN274" s="142" t="s">
        <v>81</v>
      </c>
      <c r="AO274" s="142" t="s">
        <v>78</v>
      </c>
      <c r="AP274" s="142" t="s">
        <v>81</v>
      </c>
      <c r="AQ274" s="142">
        <v>1</v>
      </c>
      <c r="AR274" s="142" t="s">
        <v>74</v>
      </c>
    </row>
    <row r="275" spans="1:44" s="143" customFormat="1" ht="25.05" customHeight="1" x14ac:dyDescent="0.3">
      <c r="A275" s="126" t="s">
        <v>1200</v>
      </c>
      <c r="B275" s="125" t="s">
        <v>1201</v>
      </c>
      <c r="C275" s="139">
        <v>2016</v>
      </c>
      <c r="D275" s="139" t="s">
        <v>87</v>
      </c>
      <c r="E275" s="139" t="s">
        <v>937</v>
      </c>
      <c r="F275" s="139" t="s">
        <v>1848</v>
      </c>
      <c r="G275" s="139" t="s">
        <v>87</v>
      </c>
      <c r="H275" s="139" t="s">
        <v>596</v>
      </c>
      <c r="I275" s="126" t="s">
        <v>101</v>
      </c>
      <c r="J275" s="126" t="s">
        <v>676</v>
      </c>
      <c r="K275" s="126" t="s">
        <v>81</v>
      </c>
      <c r="L275" s="140" t="s">
        <v>74</v>
      </c>
      <c r="M275" s="140">
        <v>2608000</v>
      </c>
      <c r="N275" s="126">
        <v>2608000</v>
      </c>
      <c r="O275" s="126">
        <v>3613983.84</v>
      </c>
      <c r="P275" s="126">
        <v>2608000</v>
      </c>
      <c r="Q275" s="126">
        <v>2608000</v>
      </c>
      <c r="R275" s="126">
        <v>3613983.84</v>
      </c>
      <c r="S275" s="126">
        <v>2608000</v>
      </c>
      <c r="T275" s="126">
        <v>2608000</v>
      </c>
      <c r="U275" s="127">
        <v>3613983.84</v>
      </c>
      <c r="V275" s="140" t="s">
        <v>81</v>
      </c>
      <c r="W275" s="126" t="s">
        <v>78</v>
      </c>
      <c r="X275" s="126" t="s">
        <v>81</v>
      </c>
      <c r="Y275" s="126" t="s">
        <v>78</v>
      </c>
      <c r="Z275" s="126" t="s">
        <v>81</v>
      </c>
      <c r="AA275" s="126">
        <v>0</v>
      </c>
      <c r="AB275" s="141" t="s">
        <v>78</v>
      </c>
      <c r="AC275" s="126">
        <v>0</v>
      </c>
      <c r="AD275" s="139" t="s">
        <v>78</v>
      </c>
      <c r="AE275" s="126">
        <v>0</v>
      </c>
      <c r="AF275" s="126" t="s">
        <v>78</v>
      </c>
      <c r="AG275" s="126">
        <v>0</v>
      </c>
      <c r="AH275" s="142" t="s">
        <v>81</v>
      </c>
      <c r="AI275" s="142" t="s">
        <v>78</v>
      </c>
      <c r="AJ275" s="142" t="s">
        <v>81</v>
      </c>
      <c r="AK275" s="142" t="s">
        <v>78</v>
      </c>
      <c r="AL275" s="142" t="s">
        <v>78</v>
      </c>
      <c r="AM275" s="142" t="s">
        <v>81</v>
      </c>
      <c r="AN275" s="142" t="s">
        <v>81</v>
      </c>
      <c r="AO275" s="142" t="s">
        <v>78</v>
      </c>
      <c r="AP275" s="142" t="s">
        <v>81</v>
      </c>
      <c r="AQ275" s="142">
        <v>1</v>
      </c>
      <c r="AR275" s="142" t="s">
        <v>74</v>
      </c>
    </row>
    <row r="276" spans="1:44" s="143" customFormat="1" ht="25.05" customHeight="1" x14ac:dyDescent="0.3">
      <c r="A276" s="126" t="s">
        <v>1061</v>
      </c>
      <c r="B276" s="125" t="s">
        <v>1062</v>
      </c>
      <c r="C276" s="139">
        <v>2017</v>
      </c>
      <c r="D276" s="139" t="s">
        <v>172</v>
      </c>
      <c r="E276" s="139" t="s">
        <v>78</v>
      </c>
      <c r="F276" s="139" t="s">
        <v>537</v>
      </c>
      <c r="G276" s="139" t="s">
        <v>521</v>
      </c>
      <c r="H276" s="139" t="s">
        <v>572</v>
      </c>
      <c r="I276" s="126" t="s">
        <v>466</v>
      </c>
      <c r="J276" s="126" t="s">
        <v>689</v>
      </c>
      <c r="K276" s="126" t="s">
        <v>81</v>
      </c>
      <c r="L276" s="140" t="s">
        <v>104</v>
      </c>
      <c r="M276" s="140">
        <v>94040000</v>
      </c>
      <c r="N276" s="126">
        <v>73737199.491900206</v>
      </c>
      <c r="O276" s="126">
        <v>99127129.392946199</v>
      </c>
      <c r="P276" s="126">
        <v>69414370.079999998</v>
      </c>
      <c r="Q276" s="126">
        <v>69414370.079999998</v>
      </c>
      <c r="R276" s="126">
        <v>93315820.129646406</v>
      </c>
      <c r="S276" s="126">
        <v>69414370.079999998</v>
      </c>
      <c r="T276" s="126">
        <v>69414370.079999998</v>
      </c>
      <c r="U276" s="127">
        <v>93315820.129646406</v>
      </c>
      <c r="V276" s="140" t="s">
        <v>75</v>
      </c>
      <c r="W276" s="126" t="s">
        <v>1063</v>
      </c>
      <c r="X276" s="126" t="s">
        <v>81</v>
      </c>
      <c r="Y276" s="126" t="s">
        <v>78</v>
      </c>
      <c r="Z276" s="126" t="s">
        <v>81</v>
      </c>
      <c r="AA276" s="126">
        <v>0</v>
      </c>
      <c r="AB276" s="141" t="s">
        <v>78</v>
      </c>
      <c r="AC276" s="126">
        <v>0</v>
      </c>
      <c r="AD276" s="139" t="s">
        <v>78</v>
      </c>
      <c r="AE276" s="126">
        <v>0</v>
      </c>
      <c r="AF276" s="126" t="s">
        <v>78</v>
      </c>
      <c r="AG276" s="126">
        <v>0</v>
      </c>
      <c r="AH276" s="142" t="s">
        <v>81</v>
      </c>
      <c r="AI276" s="142" t="s">
        <v>78</v>
      </c>
      <c r="AJ276" s="142" t="s">
        <v>75</v>
      </c>
      <c r="AK276" s="142" t="s">
        <v>72</v>
      </c>
      <c r="AL276" s="142" t="s">
        <v>1064</v>
      </c>
      <c r="AM276" s="142" t="s">
        <v>75</v>
      </c>
      <c r="AN276" s="142" t="s">
        <v>81</v>
      </c>
      <c r="AO276" s="142" t="s">
        <v>78</v>
      </c>
      <c r="AP276" s="142" t="s">
        <v>81</v>
      </c>
      <c r="AQ276" s="142">
        <v>1</v>
      </c>
      <c r="AR276" s="142" t="s">
        <v>104</v>
      </c>
    </row>
    <row r="277" spans="1:44" s="143" customFormat="1" ht="25.05" customHeight="1" x14ac:dyDescent="0.3">
      <c r="A277" s="126" t="s">
        <v>1183</v>
      </c>
      <c r="B277" s="125" t="s">
        <v>1184</v>
      </c>
      <c r="C277" s="139">
        <v>2016</v>
      </c>
      <c r="D277" s="139" t="s">
        <v>179</v>
      </c>
      <c r="E277" s="139" t="s">
        <v>78</v>
      </c>
      <c r="F277" s="139" t="s">
        <v>561</v>
      </c>
      <c r="G277" s="139" t="s">
        <v>522</v>
      </c>
      <c r="H277" s="139" t="s">
        <v>587</v>
      </c>
      <c r="I277" s="126" t="s">
        <v>256</v>
      </c>
      <c r="J277" s="126" t="s">
        <v>676</v>
      </c>
      <c r="K277" s="126" t="s">
        <v>81</v>
      </c>
      <c r="L277" s="140" t="s">
        <v>74</v>
      </c>
      <c r="M277" s="140">
        <v>4950000</v>
      </c>
      <c r="N277" s="126">
        <v>4950000</v>
      </c>
      <c r="O277" s="126">
        <v>6859363.5</v>
      </c>
      <c r="P277" s="126">
        <v>4950000</v>
      </c>
      <c r="Q277" s="126">
        <v>4950000</v>
      </c>
      <c r="R277" s="126">
        <v>6859363.5</v>
      </c>
      <c r="S277" s="126">
        <v>4950000</v>
      </c>
      <c r="T277" s="126">
        <v>4950000</v>
      </c>
      <c r="U277" s="127">
        <v>6859363.5</v>
      </c>
      <c r="V277" s="140" t="s">
        <v>81</v>
      </c>
      <c r="W277" s="126" t="s">
        <v>78</v>
      </c>
      <c r="X277" s="126" t="s">
        <v>81</v>
      </c>
      <c r="Y277" s="126" t="s">
        <v>78</v>
      </c>
      <c r="Z277" s="126" t="s">
        <v>81</v>
      </c>
      <c r="AA277" s="126">
        <v>0</v>
      </c>
      <c r="AB277" s="141" t="s">
        <v>78</v>
      </c>
      <c r="AC277" s="126">
        <v>0</v>
      </c>
      <c r="AD277" s="139" t="s">
        <v>78</v>
      </c>
      <c r="AE277" s="126">
        <v>0</v>
      </c>
      <c r="AF277" s="126" t="s">
        <v>78</v>
      </c>
      <c r="AG277" s="126">
        <v>0</v>
      </c>
      <c r="AH277" s="142" t="s">
        <v>81</v>
      </c>
      <c r="AI277" s="142" t="s">
        <v>78</v>
      </c>
      <c r="AJ277" s="142" t="s">
        <v>81</v>
      </c>
      <c r="AK277" s="142" t="s">
        <v>78</v>
      </c>
      <c r="AL277" s="142" t="s">
        <v>78</v>
      </c>
      <c r="AM277" s="142" t="s">
        <v>81</v>
      </c>
      <c r="AN277" s="142" t="s">
        <v>81</v>
      </c>
      <c r="AO277" s="142" t="s">
        <v>78</v>
      </c>
      <c r="AP277" s="142" t="s">
        <v>81</v>
      </c>
      <c r="AQ277" s="142">
        <v>1</v>
      </c>
      <c r="AR277" s="142" t="s">
        <v>74</v>
      </c>
    </row>
    <row r="278" spans="1:44" s="143" customFormat="1" ht="25.05" customHeight="1" x14ac:dyDescent="0.3">
      <c r="A278" s="126" t="s">
        <v>341</v>
      </c>
      <c r="B278" s="126" t="s">
        <v>342</v>
      </c>
      <c r="C278" s="139">
        <v>2019</v>
      </c>
      <c r="D278" s="139" t="s">
        <v>343</v>
      </c>
      <c r="E278" s="139">
        <v>0</v>
      </c>
      <c r="F278" s="139" t="s">
        <v>528</v>
      </c>
      <c r="G278" s="139" t="s">
        <v>521</v>
      </c>
      <c r="H278" s="139" t="s">
        <v>227</v>
      </c>
      <c r="I278" s="126" t="s">
        <v>228</v>
      </c>
      <c r="J278" s="126" t="s">
        <v>73</v>
      </c>
      <c r="K278" s="126" t="s">
        <v>81</v>
      </c>
      <c r="L278" s="126" t="s">
        <v>74</v>
      </c>
      <c r="M278" s="126">
        <v>21380000</v>
      </c>
      <c r="N278" s="126">
        <v>21380000</v>
      </c>
      <c r="O278" s="126">
        <v>29735090.199999999</v>
      </c>
      <c r="P278" s="126" t="s">
        <v>659</v>
      </c>
      <c r="Q278" s="126" t="s">
        <v>659</v>
      </c>
      <c r="R278" s="126" t="s">
        <v>659</v>
      </c>
      <c r="S278" s="126">
        <v>8000000</v>
      </c>
      <c r="T278" s="126">
        <v>8000000</v>
      </c>
      <c r="U278" s="127">
        <v>11126320</v>
      </c>
      <c r="V278" s="126" t="s">
        <v>75</v>
      </c>
      <c r="W278" s="126" t="s">
        <v>344</v>
      </c>
      <c r="X278" s="126" t="s">
        <v>75</v>
      </c>
      <c r="Y278" s="126" t="s">
        <v>345</v>
      </c>
      <c r="Z278" s="126" t="s">
        <v>75</v>
      </c>
      <c r="AA278" s="126">
        <v>2</v>
      </c>
      <c r="AB278" s="141" t="s">
        <v>346</v>
      </c>
      <c r="AC278" s="126">
        <v>2</v>
      </c>
      <c r="AD278" s="139" t="s">
        <v>347</v>
      </c>
      <c r="AE278" s="126">
        <v>2</v>
      </c>
      <c r="AF278" s="126" t="s">
        <v>348</v>
      </c>
      <c r="AG278" s="126">
        <v>6</v>
      </c>
      <c r="AH278" s="142" t="s">
        <v>75</v>
      </c>
      <c r="AI278" s="142" t="s">
        <v>349</v>
      </c>
      <c r="AJ278" s="142" t="s">
        <v>75</v>
      </c>
      <c r="AK278" s="142" t="s">
        <v>350</v>
      </c>
      <c r="AL278" s="142" t="s">
        <v>132</v>
      </c>
      <c r="AM278" s="142" t="s">
        <v>75</v>
      </c>
      <c r="AN278" s="142" t="s">
        <v>75</v>
      </c>
      <c r="AO278" s="142" t="s">
        <v>84</v>
      </c>
      <c r="AP278" s="142" t="s">
        <v>75</v>
      </c>
      <c r="AQ278" s="142">
        <v>1</v>
      </c>
      <c r="AR278" s="142" t="s">
        <v>74</v>
      </c>
    </row>
    <row r="279" spans="1:44" s="143" customFormat="1" ht="25.05" customHeight="1" x14ac:dyDescent="0.3">
      <c r="A279" s="126" t="s">
        <v>705</v>
      </c>
      <c r="B279" s="125" t="s">
        <v>706</v>
      </c>
      <c r="C279" s="139">
        <v>2018</v>
      </c>
      <c r="D279" s="139" t="s">
        <v>513</v>
      </c>
      <c r="E279" s="139" t="s">
        <v>78</v>
      </c>
      <c r="F279" s="139" t="s">
        <v>539</v>
      </c>
      <c r="G279" s="139" t="s">
        <v>520</v>
      </c>
      <c r="H279" s="139" t="s">
        <v>228</v>
      </c>
      <c r="I279" s="126" t="s">
        <v>228</v>
      </c>
      <c r="J279" s="126" t="s">
        <v>676</v>
      </c>
      <c r="K279" s="126" t="s">
        <v>81</v>
      </c>
      <c r="L279" s="140" t="s">
        <v>74</v>
      </c>
      <c r="M279" s="140">
        <v>5000000</v>
      </c>
      <c r="N279" s="126">
        <v>5000000</v>
      </c>
      <c r="O279" s="126">
        <v>7120649.9999999991</v>
      </c>
      <c r="P279" s="126">
        <v>5000000</v>
      </c>
      <c r="Q279" s="126">
        <v>5000000</v>
      </c>
      <c r="R279" s="126">
        <v>7120649.9999999991</v>
      </c>
      <c r="S279" s="126">
        <v>5000000</v>
      </c>
      <c r="T279" s="126">
        <v>5000000</v>
      </c>
      <c r="U279" s="127">
        <v>7120649.9999999991</v>
      </c>
      <c r="V279" s="140" t="s">
        <v>75</v>
      </c>
      <c r="W279" s="126" t="s">
        <v>707</v>
      </c>
      <c r="X279" s="126" t="s">
        <v>81</v>
      </c>
      <c r="Y279" s="126" t="s">
        <v>78</v>
      </c>
      <c r="Z279" s="126" t="s">
        <v>75</v>
      </c>
      <c r="AA279" s="126">
        <v>0</v>
      </c>
      <c r="AB279" s="141" t="s">
        <v>78</v>
      </c>
      <c r="AC279" s="126">
        <v>999</v>
      </c>
      <c r="AD279" s="139" t="s">
        <v>708</v>
      </c>
      <c r="AE279" s="126">
        <v>0</v>
      </c>
      <c r="AF279" s="126" t="s">
        <v>78</v>
      </c>
      <c r="AG279" s="126">
        <v>1</v>
      </c>
      <c r="AH279" s="142" t="s">
        <v>81</v>
      </c>
      <c r="AI279" s="142" t="s">
        <v>78</v>
      </c>
      <c r="AJ279" s="142" t="s">
        <v>75</v>
      </c>
      <c r="AK279" s="142" t="s">
        <v>228</v>
      </c>
      <c r="AL279" s="142" t="s">
        <v>78</v>
      </c>
      <c r="AM279" s="142" t="s">
        <v>81</v>
      </c>
      <c r="AN279" s="142" t="s">
        <v>81</v>
      </c>
      <c r="AO279" s="142" t="s">
        <v>78</v>
      </c>
      <c r="AP279" s="142" t="s">
        <v>81</v>
      </c>
      <c r="AQ279" s="142">
        <v>1</v>
      </c>
      <c r="AR279" s="142" t="s">
        <v>74</v>
      </c>
    </row>
    <row r="280" spans="1:44" s="143" customFormat="1" ht="25.05" customHeight="1" x14ac:dyDescent="0.3">
      <c r="A280" s="126" t="s">
        <v>1687</v>
      </c>
      <c r="B280" s="126" t="s">
        <v>1688</v>
      </c>
      <c r="C280" s="139">
        <v>2019</v>
      </c>
      <c r="D280" s="139" t="s">
        <v>484</v>
      </c>
      <c r="E280" s="139" t="s">
        <v>78</v>
      </c>
      <c r="F280" s="139" t="s">
        <v>525</v>
      </c>
      <c r="G280" s="139" t="s">
        <v>520</v>
      </c>
      <c r="H280" s="139" t="s">
        <v>587</v>
      </c>
      <c r="I280" s="126" t="s">
        <v>256</v>
      </c>
      <c r="J280" s="126" t="s">
        <v>679</v>
      </c>
      <c r="K280" s="126" t="s">
        <v>81</v>
      </c>
      <c r="L280" s="126" t="s">
        <v>74</v>
      </c>
      <c r="M280" s="126">
        <v>12470000</v>
      </c>
      <c r="N280" s="126">
        <v>12470000</v>
      </c>
      <c r="O280" s="126">
        <v>17343151.300000001</v>
      </c>
      <c r="P280" s="126">
        <v>6500000</v>
      </c>
      <c r="Q280" s="126">
        <v>6500000</v>
      </c>
      <c r="R280" s="126">
        <v>9040135</v>
      </c>
      <c r="S280" s="126">
        <v>6500000</v>
      </c>
      <c r="T280" s="126">
        <v>6500000</v>
      </c>
      <c r="U280" s="127">
        <v>9040135</v>
      </c>
      <c r="V280" s="126" t="s">
        <v>75</v>
      </c>
      <c r="W280" s="126" t="s">
        <v>1689</v>
      </c>
      <c r="X280" s="126" t="s">
        <v>75</v>
      </c>
      <c r="Y280" s="126" t="s">
        <v>1690</v>
      </c>
      <c r="Z280" s="126" t="s">
        <v>75</v>
      </c>
      <c r="AA280" s="126">
        <v>999</v>
      </c>
      <c r="AB280" s="141" t="s">
        <v>1691</v>
      </c>
      <c r="AC280" s="126">
        <v>999</v>
      </c>
      <c r="AD280" s="139" t="s">
        <v>1692</v>
      </c>
      <c r="AE280" s="126">
        <v>999</v>
      </c>
      <c r="AF280" s="126" t="s">
        <v>1693</v>
      </c>
      <c r="AG280" s="126">
        <v>5</v>
      </c>
      <c r="AH280" s="142" t="s">
        <v>75</v>
      </c>
      <c r="AI280" s="142" t="s">
        <v>1694</v>
      </c>
      <c r="AJ280" s="142" t="s">
        <v>75</v>
      </c>
      <c r="AK280" s="142" t="s">
        <v>1695</v>
      </c>
      <c r="AL280" s="142" t="s">
        <v>121</v>
      </c>
      <c r="AM280" s="142" t="s">
        <v>75</v>
      </c>
      <c r="AN280" s="142" t="s">
        <v>75</v>
      </c>
      <c r="AO280" s="142" t="s">
        <v>78</v>
      </c>
      <c r="AP280" s="142" t="s">
        <v>75</v>
      </c>
      <c r="AQ280" s="142">
        <v>1</v>
      </c>
      <c r="AR280" s="142" t="s">
        <v>74</v>
      </c>
    </row>
    <row r="281" spans="1:44" s="143" customFormat="1" ht="25.05" customHeight="1" x14ac:dyDescent="0.3">
      <c r="A281" s="126" t="s">
        <v>1667</v>
      </c>
      <c r="B281" s="126" t="s">
        <v>1668</v>
      </c>
      <c r="C281" s="139">
        <v>2019</v>
      </c>
      <c r="D281" s="139" t="s">
        <v>289</v>
      </c>
      <c r="E281" s="139" t="s">
        <v>78</v>
      </c>
      <c r="F281" s="139" t="s">
        <v>492</v>
      </c>
      <c r="G281" s="139" t="s">
        <v>521</v>
      </c>
      <c r="H281" s="139" t="s">
        <v>586</v>
      </c>
      <c r="I281" s="126" t="s">
        <v>228</v>
      </c>
      <c r="J281" s="126" t="s">
        <v>676</v>
      </c>
      <c r="K281" s="126" t="s">
        <v>81</v>
      </c>
      <c r="L281" s="126" t="s">
        <v>74</v>
      </c>
      <c r="M281" s="126">
        <v>49490000</v>
      </c>
      <c r="N281" s="126">
        <v>49490000</v>
      </c>
      <c r="O281" s="126">
        <v>68830197.099999994</v>
      </c>
      <c r="P281" s="126">
        <v>42097947</v>
      </c>
      <c r="Q281" s="126">
        <v>42097947</v>
      </c>
      <c r="R281" s="126">
        <v>58549403.708130002</v>
      </c>
      <c r="S281" s="126">
        <v>42097947</v>
      </c>
      <c r="T281" s="126">
        <v>42097947</v>
      </c>
      <c r="U281" s="127">
        <v>58549403.708130002</v>
      </c>
      <c r="V281" s="126" t="s">
        <v>81</v>
      </c>
      <c r="W281" s="126" t="s">
        <v>78</v>
      </c>
      <c r="X281" s="126" t="s">
        <v>81</v>
      </c>
      <c r="Y281" s="126" t="s">
        <v>1669</v>
      </c>
      <c r="Z281" s="126" t="s">
        <v>75</v>
      </c>
      <c r="AA281" s="126">
        <v>999</v>
      </c>
      <c r="AB281" s="141" t="s">
        <v>1670</v>
      </c>
      <c r="AC281" s="126">
        <v>0</v>
      </c>
      <c r="AD281" s="139" t="s">
        <v>78</v>
      </c>
      <c r="AE281" s="126">
        <v>0</v>
      </c>
      <c r="AF281" s="126" t="s">
        <v>78</v>
      </c>
      <c r="AG281" s="126">
        <v>1</v>
      </c>
      <c r="AH281" s="142" t="s">
        <v>81</v>
      </c>
      <c r="AI281" s="142" t="s">
        <v>78</v>
      </c>
      <c r="AJ281" s="142" t="s">
        <v>81</v>
      </c>
      <c r="AK281" s="142" t="s">
        <v>1423</v>
      </c>
      <c r="AL281" s="142" t="s">
        <v>132</v>
      </c>
      <c r="AM281" s="142" t="s">
        <v>75</v>
      </c>
      <c r="AN281" s="142" t="s">
        <v>75</v>
      </c>
      <c r="AO281" s="142" t="s">
        <v>78</v>
      </c>
      <c r="AP281" s="142" t="s">
        <v>81</v>
      </c>
      <c r="AQ281" s="142">
        <v>1</v>
      </c>
      <c r="AR281" s="142" t="s">
        <v>74</v>
      </c>
    </row>
    <row r="282" spans="1:44" s="143" customFormat="1" ht="25.05" customHeight="1" x14ac:dyDescent="0.3">
      <c r="A282" s="126" t="s">
        <v>912</v>
      </c>
      <c r="B282" s="125" t="s">
        <v>913</v>
      </c>
      <c r="C282" s="139">
        <v>2017</v>
      </c>
      <c r="D282" s="139" t="s">
        <v>87</v>
      </c>
      <c r="E282" s="139" t="s">
        <v>914</v>
      </c>
      <c r="F282" s="139" t="s">
        <v>1848</v>
      </c>
      <c r="G282" s="139" t="s">
        <v>87</v>
      </c>
      <c r="H282" s="139" t="s">
        <v>228</v>
      </c>
      <c r="I282" s="126" t="s">
        <v>228</v>
      </c>
      <c r="J282" s="126" t="s">
        <v>679</v>
      </c>
      <c r="K282" s="126" t="s">
        <v>75</v>
      </c>
      <c r="L282" s="140" t="s">
        <v>126</v>
      </c>
      <c r="M282" s="140">
        <v>9985185</v>
      </c>
      <c r="N282" s="126">
        <v>7427629.3767155381</v>
      </c>
      <c r="O282" s="126">
        <v>9985185</v>
      </c>
      <c r="P282" s="126">
        <v>7221564.4900000002</v>
      </c>
      <c r="Q282" s="126">
        <v>7221564.4900000002</v>
      </c>
      <c r="R282" s="126">
        <v>9708165.7908417005</v>
      </c>
      <c r="S282" s="126">
        <v>0</v>
      </c>
      <c r="T282" s="126">
        <v>0</v>
      </c>
      <c r="U282" s="127">
        <v>0</v>
      </c>
      <c r="V282" s="140" t="s">
        <v>81</v>
      </c>
      <c r="W282" s="126" t="s">
        <v>78</v>
      </c>
      <c r="X282" s="126" t="s">
        <v>81</v>
      </c>
      <c r="Y282" s="126" t="s">
        <v>78</v>
      </c>
      <c r="Z282" s="126" t="s">
        <v>81</v>
      </c>
      <c r="AA282" s="126">
        <v>0</v>
      </c>
      <c r="AB282" s="141" t="s">
        <v>78</v>
      </c>
      <c r="AC282" s="126">
        <v>0</v>
      </c>
      <c r="AD282" s="139" t="s">
        <v>78</v>
      </c>
      <c r="AE282" s="126">
        <v>0</v>
      </c>
      <c r="AF282" s="126" t="s">
        <v>78</v>
      </c>
      <c r="AG282" s="126">
        <v>0</v>
      </c>
      <c r="AH282" s="142" t="s">
        <v>81</v>
      </c>
      <c r="AI282" s="142" t="s">
        <v>78</v>
      </c>
      <c r="AJ282" s="142" t="s">
        <v>81</v>
      </c>
      <c r="AK282" s="142" t="s">
        <v>78</v>
      </c>
      <c r="AL282" s="142" t="s">
        <v>78</v>
      </c>
      <c r="AM282" s="142" t="s">
        <v>81</v>
      </c>
      <c r="AN282" s="142" t="s">
        <v>81</v>
      </c>
      <c r="AO282" s="142" t="s">
        <v>78</v>
      </c>
      <c r="AP282" s="142" t="s">
        <v>81</v>
      </c>
      <c r="AQ282" s="142">
        <v>1</v>
      </c>
      <c r="AR282" s="142" t="s">
        <v>126</v>
      </c>
    </row>
    <row r="283" spans="1:44" s="143" customFormat="1" ht="25.05" customHeight="1" x14ac:dyDescent="0.3">
      <c r="A283" s="126" t="s">
        <v>944</v>
      </c>
      <c r="B283" s="125" t="s">
        <v>945</v>
      </c>
      <c r="C283" s="139">
        <v>2017</v>
      </c>
      <c r="D283" s="139" t="s">
        <v>254</v>
      </c>
      <c r="E283" s="139" t="s">
        <v>78</v>
      </c>
      <c r="F283" s="139" t="s">
        <v>555</v>
      </c>
      <c r="G283" s="139" t="s">
        <v>522</v>
      </c>
      <c r="H283" s="139" t="s">
        <v>587</v>
      </c>
      <c r="I283" s="126" t="s">
        <v>256</v>
      </c>
      <c r="J283" s="126" t="s">
        <v>679</v>
      </c>
      <c r="K283" s="126" t="s">
        <v>81</v>
      </c>
      <c r="L283" s="140" t="s">
        <v>126</v>
      </c>
      <c r="M283" s="140">
        <v>282318000</v>
      </c>
      <c r="N283" s="126">
        <v>210006471.62527058</v>
      </c>
      <c r="O283" s="126">
        <v>282318000</v>
      </c>
      <c r="P283" s="126">
        <v>138235613.19999999</v>
      </c>
      <c r="Q283" s="126">
        <v>138235613.19999999</v>
      </c>
      <c r="R283" s="126">
        <v>185834281.89315599</v>
      </c>
      <c r="S283" s="126">
        <v>87609659.430000007</v>
      </c>
      <c r="T283" s="126">
        <v>87609659.430000007</v>
      </c>
      <c r="U283" s="127">
        <v>117776293.46153191</v>
      </c>
      <c r="V283" s="140" t="s">
        <v>81</v>
      </c>
      <c r="W283" s="126" t="s">
        <v>78</v>
      </c>
      <c r="X283" s="126" t="s">
        <v>81</v>
      </c>
      <c r="Y283" s="126" t="s">
        <v>78</v>
      </c>
      <c r="Z283" s="126" t="s">
        <v>81</v>
      </c>
      <c r="AA283" s="126">
        <v>0</v>
      </c>
      <c r="AB283" s="141" t="s">
        <v>78</v>
      </c>
      <c r="AC283" s="126">
        <v>0</v>
      </c>
      <c r="AD283" s="139" t="s">
        <v>78</v>
      </c>
      <c r="AE283" s="126">
        <v>0</v>
      </c>
      <c r="AF283" s="126" t="s">
        <v>78</v>
      </c>
      <c r="AG283" s="126">
        <v>0</v>
      </c>
      <c r="AH283" s="142" t="s">
        <v>81</v>
      </c>
      <c r="AI283" s="142" t="s">
        <v>78</v>
      </c>
      <c r="AJ283" s="142" t="s">
        <v>81</v>
      </c>
      <c r="AK283" s="142" t="s">
        <v>78</v>
      </c>
      <c r="AL283" s="142" t="s">
        <v>78</v>
      </c>
      <c r="AM283" s="142" t="s">
        <v>81</v>
      </c>
      <c r="AN283" s="142" t="s">
        <v>81</v>
      </c>
      <c r="AO283" s="142" t="s">
        <v>78</v>
      </c>
      <c r="AP283" s="142" t="s">
        <v>81</v>
      </c>
      <c r="AQ283" s="142">
        <v>1</v>
      </c>
      <c r="AR283" s="142" t="s">
        <v>126</v>
      </c>
    </row>
    <row r="284" spans="1:44" s="143" customFormat="1" ht="25.05" customHeight="1" x14ac:dyDescent="0.3">
      <c r="A284" s="126" t="s">
        <v>784</v>
      </c>
      <c r="B284" s="125" t="s">
        <v>785</v>
      </c>
      <c r="C284" s="139">
        <v>2018</v>
      </c>
      <c r="D284" s="139" t="s">
        <v>254</v>
      </c>
      <c r="E284" s="139" t="s">
        <v>78</v>
      </c>
      <c r="F284" s="139" t="s">
        <v>555</v>
      </c>
      <c r="G284" s="139" t="s">
        <v>522</v>
      </c>
      <c r="H284" s="139" t="s">
        <v>587</v>
      </c>
      <c r="I284" s="126" t="s">
        <v>256</v>
      </c>
      <c r="J284" s="126" t="s">
        <v>689</v>
      </c>
      <c r="K284" s="126" t="s">
        <v>81</v>
      </c>
      <c r="L284" s="140" t="s">
        <v>104</v>
      </c>
      <c r="M284" s="140">
        <v>135717000</v>
      </c>
      <c r="N284" s="126">
        <v>114288000</v>
      </c>
      <c r="O284" s="126">
        <v>162760969.44</v>
      </c>
      <c r="P284" s="126">
        <v>94378280.840000004</v>
      </c>
      <c r="Q284" s="126">
        <v>94378280.840000004</v>
      </c>
      <c r="R284" s="126">
        <v>134406941.09266919</v>
      </c>
      <c r="S284" s="126">
        <v>93722112.859999999</v>
      </c>
      <c r="T284" s="126">
        <v>93722112.859999999</v>
      </c>
      <c r="U284" s="127">
        <v>133472472.58731179</v>
      </c>
      <c r="V284" s="140" t="s">
        <v>75</v>
      </c>
      <c r="W284" s="126" t="s">
        <v>78</v>
      </c>
      <c r="X284" s="126" t="s">
        <v>81</v>
      </c>
      <c r="Y284" s="126" t="s">
        <v>78</v>
      </c>
      <c r="Z284" s="126" t="s">
        <v>75</v>
      </c>
      <c r="AA284" s="126">
        <v>0</v>
      </c>
      <c r="AB284" s="141" t="s">
        <v>78</v>
      </c>
      <c r="AC284" s="126">
        <v>999</v>
      </c>
      <c r="AD284" s="139" t="s">
        <v>786</v>
      </c>
      <c r="AE284" s="126">
        <v>0</v>
      </c>
      <c r="AF284" s="126" t="s">
        <v>78</v>
      </c>
      <c r="AG284" s="126">
        <v>2</v>
      </c>
      <c r="AH284" s="142" t="s">
        <v>75</v>
      </c>
      <c r="AI284" s="142" t="s">
        <v>787</v>
      </c>
      <c r="AJ284" s="142" t="s">
        <v>81</v>
      </c>
      <c r="AK284" s="142" t="s">
        <v>78</v>
      </c>
      <c r="AL284" s="142" t="s">
        <v>78</v>
      </c>
      <c r="AM284" s="142" t="s">
        <v>81</v>
      </c>
      <c r="AN284" s="142" t="s">
        <v>81</v>
      </c>
      <c r="AO284" s="142" t="s">
        <v>78</v>
      </c>
      <c r="AP284" s="142" t="s">
        <v>81</v>
      </c>
      <c r="AQ284" s="142">
        <v>1</v>
      </c>
      <c r="AR284" s="142" t="s">
        <v>104</v>
      </c>
    </row>
    <row r="285" spans="1:44" s="143" customFormat="1" ht="25.05" customHeight="1" x14ac:dyDescent="0.3">
      <c r="A285" s="126" t="s">
        <v>1124</v>
      </c>
      <c r="B285" s="125" t="s">
        <v>1125</v>
      </c>
      <c r="C285" s="139">
        <v>2016</v>
      </c>
      <c r="D285" s="139" t="s">
        <v>254</v>
      </c>
      <c r="E285" s="139" t="s">
        <v>78</v>
      </c>
      <c r="F285" s="139" t="s">
        <v>555</v>
      </c>
      <c r="G285" s="139" t="s">
        <v>522</v>
      </c>
      <c r="H285" s="139" t="s">
        <v>588</v>
      </c>
      <c r="I285" s="126" t="s">
        <v>256</v>
      </c>
      <c r="J285" s="126" t="s">
        <v>679</v>
      </c>
      <c r="K285" s="126" t="s">
        <v>75</v>
      </c>
      <c r="L285" s="140" t="s">
        <v>104</v>
      </c>
      <c r="M285" s="140">
        <v>2250614</v>
      </c>
      <c r="N285" s="126">
        <v>1768196.8526826049</v>
      </c>
      <c r="O285" s="126">
        <v>2450243.424667866</v>
      </c>
      <c r="P285" s="126">
        <v>1600142.72</v>
      </c>
      <c r="Q285" s="126">
        <v>1600142.72</v>
      </c>
      <c r="R285" s="126">
        <v>2217365.7713855999</v>
      </c>
      <c r="S285" s="126">
        <v>0</v>
      </c>
      <c r="T285" s="126">
        <v>0</v>
      </c>
      <c r="U285" s="127">
        <v>0</v>
      </c>
      <c r="V285" s="140" t="s">
        <v>81</v>
      </c>
      <c r="W285" s="126" t="s">
        <v>78</v>
      </c>
      <c r="X285" s="126" t="s">
        <v>81</v>
      </c>
      <c r="Y285" s="126" t="s">
        <v>78</v>
      </c>
      <c r="Z285" s="126" t="s">
        <v>81</v>
      </c>
      <c r="AA285" s="126">
        <v>0</v>
      </c>
      <c r="AB285" s="141" t="s">
        <v>78</v>
      </c>
      <c r="AC285" s="126">
        <v>0</v>
      </c>
      <c r="AD285" s="139" t="s">
        <v>78</v>
      </c>
      <c r="AE285" s="126">
        <v>0</v>
      </c>
      <c r="AF285" s="126" t="s">
        <v>78</v>
      </c>
      <c r="AG285" s="126">
        <v>0</v>
      </c>
      <c r="AH285" s="142" t="s">
        <v>81</v>
      </c>
      <c r="AI285" s="142" t="s">
        <v>78</v>
      </c>
      <c r="AJ285" s="142" t="s">
        <v>81</v>
      </c>
      <c r="AK285" s="142" t="s">
        <v>78</v>
      </c>
      <c r="AL285" s="142" t="s">
        <v>78</v>
      </c>
      <c r="AM285" s="142" t="s">
        <v>81</v>
      </c>
      <c r="AN285" s="142" t="s">
        <v>81</v>
      </c>
      <c r="AO285" s="142" t="s">
        <v>78</v>
      </c>
      <c r="AP285" s="142" t="s">
        <v>81</v>
      </c>
      <c r="AQ285" s="142">
        <v>1</v>
      </c>
      <c r="AR285" s="142" t="s">
        <v>104</v>
      </c>
    </row>
    <row r="286" spans="1:44" s="143" customFormat="1" ht="25.05" customHeight="1" x14ac:dyDescent="0.3">
      <c r="A286" s="126" t="s">
        <v>750</v>
      </c>
      <c r="B286" s="125" t="s">
        <v>751</v>
      </c>
      <c r="C286" s="139">
        <v>2018</v>
      </c>
      <c r="D286" s="139" t="s">
        <v>184</v>
      </c>
      <c r="E286" s="139" t="s">
        <v>78</v>
      </c>
      <c r="F286" s="139" t="s">
        <v>554</v>
      </c>
      <c r="G286" s="139" t="s">
        <v>520</v>
      </c>
      <c r="H286" s="139" t="s">
        <v>574</v>
      </c>
      <c r="I286" s="126" t="s">
        <v>72</v>
      </c>
      <c r="J286" s="126" t="s">
        <v>689</v>
      </c>
      <c r="K286" s="126" t="s">
        <v>81</v>
      </c>
      <c r="L286" s="140" t="s">
        <v>126</v>
      </c>
      <c r="M286" s="140">
        <v>72000000</v>
      </c>
      <c r="N286" s="126">
        <v>50557182.279707618</v>
      </c>
      <c r="O286" s="126">
        <v>72000000</v>
      </c>
      <c r="P286" s="126">
        <v>14464558.220000001</v>
      </c>
      <c r="Q286" s="126">
        <v>14464558.220000001</v>
      </c>
      <c r="R286" s="126">
        <v>20599411.297848601</v>
      </c>
      <c r="S286" s="126">
        <v>14464558.220000001</v>
      </c>
      <c r="T286" s="126">
        <v>14464558.220000001</v>
      </c>
      <c r="U286" s="127">
        <v>20599411.297848601</v>
      </c>
      <c r="V286" s="140" t="s">
        <v>81</v>
      </c>
      <c r="W286" s="126" t="s">
        <v>78</v>
      </c>
      <c r="X286" s="126" t="s">
        <v>81</v>
      </c>
      <c r="Y286" s="126" t="s">
        <v>78</v>
      </c>
      <c r="Z286" s="126" t="s">
        <v>81</v>
      </c>
      <c r="AA286" s="126">
        <v>0</v>
      </c>
      <c r="AB286" s="141" t="s">
        <v>78</v>
      </c>
      <c r="AC286" s="126">
        <v>0</v>
      </c>
      <c r="AD286" s="139" t="s">
        <v>78</v>
      </c>
      <c r="AE286" s="126">
        <v>0</v>
      </c>
      <c r="AF286" s="126" t="s">
        <v>78</v>
      </c>
      <c r="AG286" s="126">
        <v>0</v>
      </c>
      <c r="AH286" s="142" t="s">
        <v>81</v>
      </c>
      <c r="AI286" s="142" t="s">
        <v>78</v>
      </c>
      <c r="AJ286" s="142" t="s">
        <v>81</v>
      </c>
      <c r="AK286" s="142" t="s">
        <v>78</v>
      </c>
      <c r="AL286" s="142" t="s">
        <v>78</v>
      </c>
      <c r="AM286" s="142" t="s">
        <v>81</v>
      </c>
      <c r="AN286" s="142" t="s">
        <v>81</v>
      </c>
      <c r="AO286" s="142" t="s">
        <v>78</v>
      </c>
      <c r="AP286" s="142" t="s">
        <v>81</v>
      </c>
      <c r="AQ286" s="142">
        <v>1</v>
      </c>
      <c r="AR286" s="142" t="s">
        <v>126</v>
      </c>
    </row>
    <row r="287" spans="1:44" s="143" customFormat="1" ht="25.05" customHeight="1" x14ac:dyDescent="0.3">
      <c r="A287" s="126" t="s">
        <v>1600</v>
      </c>
      <c r="B287" s="126" t="s">
        <v>1601</v>
      </c>
      <c r="C287" s="139">
        <v>2019</v>
      </c>
      <c r="D287" s="139" t="s">
        <v>497</v>
      </c>
      <c r="E287" s="139" t="s">
        <v>78</v>
      </c>
      <c r="F287" s="139" t="s">
        <v>538</v>
      </c>
      <c r="G287" s="139" t="s">
        <v>520</v>
      </c>
      <c r="H287" s="139" t="s">
        <v>228</v>
      </c>
      <c r="I287" s="126" t="s">
        <v>228</v>
      </c>
      <c r="J287" s="126" t="s">
        <v>679</v>
      </c>
      <c r="K287" s="126" t="s">
        <v>81</v>
      </c>
      <c r="L287" s="126" t="s">
        <v>74</v>
      </c>
      <c r="M287" s="126">
        <v>25000000</v>
      </c>
      <c r="N287" s="126">
        <v>25000000</v>
      </c>
      <c r="O287" s="126">
        <v>34769750</v>
      </c>
      <c r="P287" s="126">
        <v>20000000</v>
      </c>
      <c r="Q287" s="126">
        <v>20000000</v>
      </c>
      <c r="R287" s="126">
        <v>27815800</v>
      </c>
      <c r="S287" s="126">
        <v>20000000</v>
      </c>
      <c r="T287" s="126">
        <v>20000000</v>
      </c>
      <c r="U287" s="127">
        <v>27815800</v>
      </c>
      <c r="V287" s="126" t="s">
        <v>75</v>
      </c>
      <c r="W287" s="126" t="s">
        <v>1602</v>
      </c>
      <c r="X287" s="126" t="s">
        <v>75</v>
      </c>
      <c r="Y287" s="126" t="s">
        <v>1603</v>
      </c>
      <c r="Z287" s="126" t="s">
        <v>75</v>
      </c>
      <c r="AA287" s="126">
        <v>999</v>
      </c>
      <c r="AB287" s="141" t="s">
        <v>1604</v>
      </c>
      <c r="AC287" s="126">
        <v>999</v>
      </c>
      <c r="AD287" s="139" t="s">
        <v>1605</v>
      </c>
      <c r="AE287" s="126">
        <v>999</v>
      </c>
      <c r="AF287" s="126" t="s">
        <v>1606</v>
      </c>
      <c r="AG287" s="126">
        <v>3</v>
      </c>
      <c r="AH287" s="142" t="s">
        <v>81</v>
      </c>
      <c r="AI287" s="142" t="s">
        <v>78</v>
      </c>
      <c r="AJ287" s="142" t="s">
        <v>75</v>
      </c>
      <c r="AK287" s="142" t="s">
        <v>1607</v>
      </c>
      <c r="AL287" s="142" t="s">
        <v>121</v>
      </c>
      <c r="AM287" s="142" t="s">
        <v>75</v>
      </c>
      <c r="AN287" s="142" t="s">
        <v>75</v>
      </c>
      <c r="AO287" s="142" t="s">
        <v>78</v>
      </c>
      <c r="AP287" s="142" t="s">
        <v>75</v>
      </c>
      <c r="AQ287" s="142">
        <v>1</v>
      </c>
      <c r="AR287" s="142" t="s">
        <v>74</v>
      </c>
    </row>
    <row r="288" spans="1:44" s="143" customFormat="1" ht="25.05" customHeight="1" x14ac:dyDescent="0.3">
      <c r="A288" s="126" t="s">
        <v>905</v>
      </c>
      <c r="B288" s="125" t="s">
        <v>906</v>
      </c>
      <c r="C288" s="139">
        <v>2017</v>
      </c>
      <c r="D288" s="139" t="s">
        <v>497</v>
      </c>
      <c r="E288" s="139" t="s">
        <v>78</v>
      </c>
      <c r="F288" s="139" t="s">
        <v>538</v>
      </c>
      <c r="G288" s="139" t="s">
        <v>520</v>
      </c>
      <c r="H288" s="139" t="s">
        <v>585</v>
      </c>
      <c r="I288" s="126" t="s">
        <v>228</v>
      </c>
      <c r="J288" s="126" t="s">
        <v>676</v>
      </c>
      <c r="K288" s="126" t="s">
        <v>81</v>
      </c>
      <c r="L288" s="140" t="s">
        <v>74</v>
      </c>
      <c r="M288" s="140">
        <v>40376010</v>
      </c>
      <c r="N288" s="126">
        <v>40376010</v>
      </c>
      <c r="O288" s="126">
        <v>54278681.5233</v>
      </c>
      <c r="P288" s="126">
        <v>27864750</v>
      </c>
      <c r="Q288" s="126">
        <v>27864750</v>
      </c>
      <c r="R288" s="126">
        <v>37459419.3675</v>
      </c>
      <c r="S288" s="126">
        <v>27864750</v>
      </c>
      <c r="T288" s="126">
        <v>27864750</v>
      </c>
      <c r="U288" s="127">
        <v>37459419.3675</v>
      </c>
      <c r="V288" s="140" t="s">
        <v>75</v>
      </c>
      <c r="W288" s="126" t="s">
        <v>907</v>
      </c>
      <c r="X288" s="126" t="s">
        <v>75</v>
      </c>
      <c r="Y288" s="126" t="s">
        <v>908</v>
      </c>
      <c r="Z288" s="126" t="s">
        <v>75</v>
      </c>
      <c r="AA288" s="126">
        <v>999</v>
      </c>
      <c r="AB288" s="141" t="s">
        <v>909</v>
      </c>
      <c r="AC288" s="126">
        <v>999</v>
      </c>
      <c r="AD288" s="139" t="s">
        <v>910</v>
      </c>
      <c r="AE288" s="126">
        <v>0</v>
      </c>
      <c r="AF288" s="126" t="s">
        <v>78</v>
      </c>
      <c r="AG288" s="126">
        <v>2</v>
      </c>
      <c r="AH288" s="142" t="s">
        <v>75</v>
      </c>
      <c r="AI288" s="142" t="s">
        <v>911</v>
      </c>
      <c r="AJ288" s="142" t="s">
        <v>75</v>
      </c>
      <c r="AK288" s="142" t="s">
        <v>466</v>
      </c>
      <c r="AL288" s="142" t="s">
        <v>78</v>
      </c>
      <c r="AM288" s="142" t="s">
        <v>81</v>
      </c>
      <c r="AN288" s="142" t="s">
        <v>81</v>
      </c>
      <c r="AO288" s="142" t="s">
        <v>78</v>
      </c>
      <c r="AP288" s="142" t="s">
        <v>75</v>
      </c>
      <c r="AQ288" s="142">
        <v>1</v>
      </c>
      <c r="AR288" s="142" t="s">
        <v>74</v>
      </c>
    </row>
    <row r="289" spans="1:44" s="143" customFormat="1" ht="25.05" customHeight="1" x14ac:dyDescent="0.3">
      <c r="A289" s="126" t="s">
        <v>759</v>
      </c>
      <c r="B289" s="125" t="s">
        <v>760</v>
      </c>
      <c r="C289" s="139">
        <v>2018</v>
      </c>
      <c r="D289" s="139" t="s">
        <v>184</v>
      </c>
      <c r="E289" s="139" t="s">
        <v>78</v>
      </c>
      <c r="F289" s="139" t="s">
        <v>554</v>
      </c>
      <c r="G289" s="139" t="s">
        <v>520</v>
      </c>
      <c r="H289" s="139" t="s">
        <v>585</v>
      </c>
      <c r="I289" s="126" t="s">
        <v>228</v>
      </c>
      <c r="J289" s="126" t="s">
        <v>689</v>
      </c>
      <c r="K289" s="126" t="s">
        <v>81</v>
      </c>
      <c r="L289" s="140" t="s">
        <v>74</v>
      </c>
      <c r="M289" s="140">
        <v>11890000</v>
      </c>
      <c r="N289" s="126">
        <v>11890000</v>
      </c>
      <c r="O289" s="126">
        <v>16932905.699999999</v>
      </c>
      <c r="P289" s="126">
        <v>11890000</v>
      </c>
      <c r="Q289" s="126">
        <v>11890000</v>
      </c>
      <c r="R289" s="126">
        <v>16932905.699999999</v>
      </c>
      <c r="S289" s="126">
        <v>11890000</v>
      </c>
      <c r="T289" s="126">
        <v>11890000</v>
      </c>
      <c r="U289" s="127">
        <v>16932905.699999999</v>
      </c>
      <c r="V289" s="140" t="s">
        <v>81</v>
      </c>
      <c r="W289" s="126" t="s">
        <v>78</v>
      </c>
      <c r="X289" s="126" t="s">
        <v>81</v>
      </c>
      <c r="Y289" s="126" t="s">
        <v>78</v>
      </c>
      <c r="Z289" s="126" t="s">
        <v>81</v>
      </c>
      <c r="AA289" s="126">
        <v>0</v>
      </c>
      <c r="AB289" s="141" t="s">
        <v>78</v>
      </c>
      <c r="AC289" s="126">
        <v>0</v>
      </c>
      <c r="AD289" s="139" t="s">
        <v>78</v>
      </c>
      <c r="AE289" s="126">
        <v>0</v>
      </c>
      <c r="AF289" s="126" t="s">
        <v>78</v>
      </c>
      <c r="AG289" s="126">
        <v>0</v>
      </c>
      <c r="AH289" s="142" t="s">
        <v>81</v>
      </c>
      <c r="AI289" s="142" t="s">
        <v>78</v>
      </c>
      <c r="AJ289" s="142" t="s">
        <v>81</v>
      </c>
      <c r="AK289" s="142" t="s">
        <v>78</v>
      </c>
      <c r="AL289" s="142" t="s">
        <v>78</v>
      </c>
      <c r="AM289" s="142" t="s">
        <v>81</v>
      </c>
      <c r="AN289" s="142" t="s">
        <v>81</v>
      </c>
      <c r="AO289" s="142" t="s">
        <v>78</v>
      </c>
      <c r="AP289" s="142" t="s">
        <v>81</v>
      </c>
      <c r="AQ289" s="142">
        <v>1</v>
      </c>
      <c r="AR289" s="142" t="s">
        <v>74</v>
      </c>
    </row>
    <row r="290" spans="1:44" s="143" customFormat="1" ht="25.05" customHeight="1" x14ac:dyDescent="0.3">
      <c r="A290" s="126" t="s">
        <v>953</v>
      </c>
      <c r="B290" s="125" t="s">
        <v>954</v>
      </c>
      <c r="C290" s="139">
        <v>2017</v>
      </c>
      <c r="D290" s="139" t="s">
        <v>87</v>
      </c>
      <c r="E290" s="139" t="s">
        <v>955</v>
      </c>
      <c r="F290" s="139" t="s">
        <v>1848</v>
      </c>
      <c r="G290" s="139" t="s">
        <v>87</v>
      </c>
      <c r="H290" s="139" t="s">
        <v>228</v>
      </c>
      <c r="I290" s="126" t="s">
        <v>228</v>
      </c>
      <c r="J290" s="126" t="s">
        <v>676</v>
      </c>
      <c r="K290" s="126" t="s">
        <v>81</v>
      </c>
      <c r="L290" s="140" t="s">
        <v>74</v>
      </c>
      <c r="M290" s="140">
        <v>25000000</v>
      </c>
      <c r="N290" s="126">
        <v>25000000</v>
      </c>
      <c r="O290" s="126">
        <v>33608250</v>
      </c>
      <c r="P290" s="126">
        <v>25000000</v>
      </c>
      <c r="Q290" s="126">
        <v>25000000</v>
      </c>
      <c r="R290" s="126">
        <v>33608250</v>
      </c>
      <c r="S290" s="126">
        <v>25000000</v>
      </c>
      <c r="T290" s="126">
        <v>25000000</v>
      </c>
      <c r="U290" s="127">
        <v>33608250</v>
      </c>
      <c r="V290" s="140" t="s">
        <v>75</v>
      </c>
      <c r="W290" s="126" t="s">
        <v>956</v>
      </c>
      <c r="X290" s="126" t="s">
        <v>75</v>
      </c>
      <c r="Y290" s="126" t="s">
        <v>957</v>
      </c>
      <c r="Z290" s="126" t="s">
        <v>75</v>
      </c>
      <c r="AA290" s="126">
        <v>999</v>
      </c>
      <c r="AB290" s="141" t="s">
        <v>958</v>
      </c>
      <c r="AC290" s="126">
        <v>0</v>
      </c>
      <c r="AD290" s="139" t="s">
        <v>78</v>
      </c>
      <c r="AE290" s="126">
        <v>0</v>
      </c>
      <c r="AF290" s="126" t="s">
        <v>78</v>
      </c>
      <c r="AG290" s="126">
        <v>1</v>
      </c>
      <c r="AH290" s="142" t="s">
        <v>75</v>
      </c>
      <c r="AI290" s="142" t="s">
        <v>959</v>
      </c>
      <c r="AJ290" s="142" t="s">
        <v>75</v>
      </c>
      <c r="AK290" s="142" t="s">
        <v>228</v>
      </c>
      <c r="AL290" s="142" t="s">
        <v>960</v>
      </c>
      <c r="AM290" s="142" t="s">
        <v>75</v>
      </c>
      <c r="AN290" s="142" t="s">
        <v>75</v>
      </c>
      <c r="AO290" s="142" t="s">
        <v>78</v>
      </c>
      <c r="AP290" s="142" t="s">
        <v>75</v>
      </c>
      <c r="AQ290" s="142">
        <v>1</v>
      </c>
      <c r="AR290" s="142" t="s">
        <v>74</v>
      </c>
    </row>
    <row r="291" spans="1:44" s="143" customFormat="1" ht="25.05" customHeight="1" x14ac:dyDescent="0.3">
      <c r="A291" s="126" t="s">
        <v>1080</v>
      </c>
      <c r="B291" s="125" t="s">
        <v>1081</v>
      </c>
      <c r="C291" s="139">
        <v>2017</v>
      </c>
      <c r="D291" s="139" t="s">
        <v>502</v>
      </c>
      <c r="E291" s="139" t="s">
        <v>78</v>
      </c>
      <c r="F291" s="139" t="s">
        <v>548</v>
      </c>
      <c r="G291" s="139" t="s">
        <v>520</v>
      </c>
      <c r="H291" s="139" t="s">
        <v>597</v>
      </c>
      <c r="I291" s="126" t="s">
        <v>101</v>
      </c>
      <c r="J291" s="126" t="s">
        <v>676</v>
      </c>
      <c r="K291" s="126" t="s">
        <v>81</v>
      </c>
      <c r="L291" s="140" t="s">
        <v>74</v>
      </c>
      <c r="M291" s="140">
        <v>1642000</v>
      </c>
      <c r="N291" s="126">
        <v>1642000</v>
      </c>
      <c r="O291" s="126">
        <v>2207389.86</v>
      </c>
      <c r="P291" s="126">
        <v>1000000</v>
      </c>
      <c r="Q291" s="126">
        <v>1000000</v>
      </c>
      <c r="R291" s="126">
        <v>1344330</v>
      </c>
      <c r="S291" s="126">
        <v>1000000</v>
      </c>
      <c r="T291" s="126">
        <v>1000000</v>
      </c>
      <c r="U291" s="127">
        <v>1344330</v>
      </c>
      <c r="V291" s="140" t="s">
        <v>81</v>
      </c>
      <c r="W291" s="126" t="s">
        <v>78</v>
      </c>
      <c r="X291" s="126" t="s">
        <v>81</v>
      </c>
      <c r="Y291" s="126" t="s">
        <v>78</v>
      </c>
      <c r="Z291" s="126" t="s">
        <v>81</v>
      </c>
      <c r="AA291" s="126">
        <v>0</v>
      </c>
      <c r="AB291" s="141" t="s">
        <v>78</v>
      </c>
      <c r="AC291" s="126">
        <v>0</v>
      </c>
      <c r="AD291" s="139" t="s">
        <v>78</v>
      </c>
      <c r="AE291" s="144">
        <v>0</v>
      </c>
      <c r="AF291" s="126" t="s">
        <v>78</v>
      </c>
      <c r="AG291" s="126">
        <v>0</v>
      </c>
      <c r="AH291" s="142" t="s">
        <v>81</v>
      </c>
      <c r="AI291" s="142" t="s">
        <v>78</v>
      </c>
      <c r="AJ291" s="142" t="s">
        <v>81</v>
      </c>
      <c r="AK291" s="142" t="s">
        <v>78</v>
      </c>
      <c r="AL291" s="142" t="s">
        <v>78</v>
      </c>
      <c r="AM291" s="142" t="s">
        <v>81</v>
      </c>
      <c r="AN291" s="142" t="s">
        <v>81</v>
      </c>
      <c r="AO291" s="142" t="s">
        <v>78</v>
      </c>
      <c r="AP291" s="142" t="s">
        <v>81</v>
      </c>
      <c r="AQ291" s="142">
        <v>1</v>
      </c>
      <c r="AR291" s="142" t="s">
        <v>74</v>
      </c>
    </row>
    <row r="292" spans="1:44" s="143" customFormat="1" ht="25.05" customHeight="1" x14ac:dyDescent="0.3">
      <c r="A292" s="126" t="s">
        <v>1185</v>
      </c>
      <c r="B292" s="125" t="s">
        <v>1186</v>
      </c>
      <c r="C292" s="139">
        <v>2016</v>
      </c>
      <c r="D292" s="139" t="s">
        <v>254</v>
      </c>
      <c r="E292" s="139" t="s">
        <v>78</v>
      </c>
      <c r="F292" s="139" t="s">
        <v>555</v>
      </c>
      <c r="G292" s="139" t="s">
        <v>522</v>
      </c>
      <c r="H292" s="139" t="s">
        <v>580</v>
      </c>
      <c r="I292" s="126" t="s">
        <v>115</v>
      </c>
      <c r="J292" s="126" t="s">
        <v>676</v>
      </c>
      <c r="K292" s="126" t="s">
        <v>81</v>
      </c>
      <c r="L292" s="140" t="s">
        <v>74</v>
      </c>
      <c r="M292" s="140">
        <v>55810000</v>
      </c>
      <c r="N292" s="126">
        <v>55810000</v>
      </c>
      <c r="O292" s="126">
        <v>77337591.299999997</v>
      </c>
      <c r="P292" s="126">
        <v>35900000</v>
      </c>
      <c r="Q292" s="126">
        <v>35900000</v>
      </c>
      <c r="R292" s="126">
        <v>49747707</v>
      </c>
      <c r="S292" s="126">
        <v>35900000</v>
      </c>
      <c r="T292" s="126">
        <v>35900000</v>
      </c>
      <c r="U292" s="127">
        <v>49747707</v>
      </c>
      <c r="V292" s="140" t="s">
        <v>81</v>
      </c>
      <c r="W292" s="126" t="s">
        <v>78</v>
      </c>
      <c r="X292" s="126" t="s">
        <v>81</v>
      </c>
      <c r="Y292" s="126" t="s">
        <v>78</v>
      </c>
      <c r="Z292" s="126" t="s">
        <v>81</v>
      </c>
      <c r="AA292" s="126">
        <v>0</v>
      </c>
      <c r="AB292" s="141" t="s">
        <v>78</v>
      </c>
      <c r="AC292" s="126">
        <v>0</v>
      </c>
      <c r="AD292" s="139" t="s">
        <v>78</v>
      </c>
      <c r="AE292" s="126">
        <v>0</v>
      </c>
      <c r="AF292" s="126" t="s">
        <v>78</v>
      </c>
      <c r="AG292" s="126">
        <v>0</v>
      </c>
      <c r="AH292" s="142" t="s">
        <v>81</v>
      </c>
      <c r="AI292" s="142" t="s">
        <v>78</v>
      </c>
      <c r="AJ292" s="142" t="s">
        <v>81</v>
      </c>
      <c r="AK292" s="142" t="s">
        <v>78</v>
      </c>
      <c r="AL292" s="142" t="s">
        <v>78</v>
      </c>
      <c r="AM292" s="142" t="s">
        <v>81</v>
      </c>
      <c r="AN292" s="142" t="s">
        <v>81</v>
      </c>
      <c r="AO292" s="142" t="s">
        <v>78</v>
      </c>
      <c r="AP292" s="142" t="s">
        <v>81</v>
      </c>
      <c r="AQ292" s="142">
        <v>1</v>
      </c>
      <c r="AR292" s="142" t="s">
        <v>74</v>
      </c>
    </row>
    <row r="293" spans="1:44" s="143" customFormat="1" ht="25.05" customHeight="1" x14ac:dyDescent="0.3">
      <c r="A293" s="126" t="s">
        <v>1384</v>
      </c>
      <c r="B293" s="125" t="s">
        <v>1385</v>
      </c>
      <c r="C293" s="139">
        <v>2015</v>
      </c>
      <c r="D293" s="145" t="s">
        <v>155</v>
      </c>
      <c r="E293" s="139" t="s">
        <v>78</v>
      </c>
      <c r="F293" s="139" t="s">
        <v>559</v>
      </c>
      <c r="G293" s="139" t="s">
        <v>520</v>
      </c>
      <c r="H293" s="139" t="s">
        <v>585</v>
      </c>
      <c r="I293" s="126" t="s">
        <v>228</v>
      </c>
      <c r="J293" s="126" t="s">
        <v>676</v>
      </c>
      <c r="K293" s="126" t="s">
        <v>81</v>
      </c>
      <c r="L293" s="140" t="s">
        <v>74</v>
      </c>
      <c r="M293" s="140">
        <v>22250000</v>
      </c>
      <c r="N293" s="126">
        <v>22250000</v>
      </c>
      <c r="O293" s="126">
        <v>32236022.5</v>
      </c>
      <c r="P293" s="126">
        <v>22250000</v>
      </c>
      <c r="Q293" s="126">
        <v>22250000</v>
      </c>
      <c r="R293" s="126">
        <v>32236022.5</v>
      </c>
      <c r="S293" s="126">
        <v>22250000</v>
      </c>
      <c r="T293" s="126">
        <v>22250000</v>
      </c>
      <c r="U293" s="127">
        <v>32236022.5</v>
      </c>
      <c r="V293" s="140" t="s">
        <v>75</v>
      </c>
      <c r="W293" s="126" t="s">
        <v>1386</v>
      </c>
      <c r="X293" s="126" t="s">
        <v>75</v>
      </c>
      <c r="Y293" s="126" t="s">
        <v>1387</v>
      </c>
      <c r="Z293" s="126" t="s">
        <v>75</v>
      </c>
      <c r="AA293" s="126">
        <v>999</v>
      </c>
      <c r="AB293" s="141" t="s">
        <v>1388</v>
      </c>
      <c r="AC293" s="126">
        <v>0</v>
      </c>
      <c r="AD293" s="139" t="s">
        <v>78</v>
      </c>
      <c r="AE293" s="126">
        <v>999</v>
      </c>
      <c r="AF293" s="126" t="s">
        <v>1389</v>
      </c>
      <c r="AG293" s="126">
        <v>2</v>
      </c>
      <c r="AH293" s="142" t="s">
        <v>81</v>
      </c>
      <c r="AI293" s="142" t="s">
        <v>78</v>
      </c>
      <c r="AJ293" s="142" t="s">
        <v>75</v>
      </c>
      <c r="AK293" s="142" t="s">
        <v>228</v>
      </c>
      <c r="AL293" s="142" t="s">
        <v>78</v>
      </c>
      <c r="AM293" s="142" t="s">
        <v>81</v>
      </c>
      <c r="AN293" s="142" t="s">
        <v>81</v>
      </c>
      <c r="AO293" s="142" t="s">
        <v>78</v>
      </c>
      <c r="AP293" s="142" t="s">
        <v>75</v>
      </c>
      <c r="AQ293" s="142">
        <v>1</v>
      </c>
      <c r="AR293" s="142" t="s">
        <v>74</v>
      </c>
    </row>
    <row r="294" spans="1:44" s="143" customFormat="1" ht="25.05" customHeight="1" x14ac:dyDescent="0.3">
      <c r="A294" s="126" t="s">
        <v>1616</v>
      </c>
      <c r="B294" s="126" t="s">
        <v>1617</v>
      </c>
      <c r="C294" s="139">
        <v>2019</v>
      </c>
      <c r="D294" s="139" t="s">
        <v>314</v>
      </c>
      <c r="E294" s="139" t="s">
        <v>78</v>
      </c>
      <c r="F294" s="139" t="s">
        <v>557</v>
      </c>
      <c r="G294" s="139" t="s">
        <v>522</v>
      </c>
      <c r="H294" s="139" t="s">
        <v>587</v>
      </c>
      <c r="I294" s="126" t="s">
        <v>256</v>
      </c>
      <c r="J294" s="126" t="s">
        <v>679</v>
      </c>
      <c r="K294" s="126" t="s">
        <v>81</v>
      </c>
      <c r="L294" s="126" t="s">
        <v>74</v>
      </c>
      <c r="M294" s="126">
        <v>25218000</v>
      </c>
      <c r="N294" s="126">
        <v>25218000</v>
      </c>
      <c r="O294" s="126">
        <v>35072942.219999999</v>
      </c>
      <c r="P294" s="126">
        <v>22134000</v>
      </c>
      <c r="Q294" s="126">
        <v>22134000</v>
      </c>
      <c r="R294" s="126">
        <v>30783745.859999999</v>
      </c>
      <c r="S294" s="126">
        <v>22134000</v>
      </c>
      <c r="T294" s="126">
        <v>22134000</v>
      </c>
      <c r="U294" s="127">
        <v>30783745.859999999</v>
      </c>
      <c r="V294" s="126" t="s">
        <v>75</v>
      </c>
      <c r="W294" s="126" t="s">
        <v>1618</v>
      </c>
      <c r="X294" s="126" t="s">
        <v>75</v>
      </c>
      <c r="Y294" s="126" t="s">
        <v>1619</v>
      </c>
      <c r="Z294" s="126" t="s">
        <v>75</v>
      </c>
      <c r="AA294" s="126">
        <v>999</v>
      </c>
      <c r="AB294" s="141" t="s">
        <v>1620</v>
      </c>
      <c r="AC294" s="126">
        <v>999</v>
      </c>
      <c r="AD294" s="139" t="s">
        <v>1621</v>
      </c>
      <c r="AE294" s="126">
        <v>999</v>
      </c>
      <c r="AF294" s="126" t="s">
        <v>1622</v>
      </c>
      <c r="AG294" s="126">
        <v>4</v>
      </c>
      <c r="AH294" s="142" t="s">
        <v>81</v>
      </c>
      <c r="AI294" s="142" t="s">
        <v>78</v>
      </c>
      <c r="AJ294" s="142" t="s">
        <v>75</v>
      </c>
      <c r="AK294" s="142" t="s">
        <v>1623</v>
      </c>
      <c r="AL294" s="142" t="s">
        <v>121</v>
      </c>
      <c r="AM294" s="142" t="s">
        <v>75</v>
      </c>
      <c r="AN294" s="142" t="s">
        <v>75</v>
      </c>
      <c r="AO294" s="142" t="s">
        <v>78</v>
      </c>
      <c r="AP294" s="142" t="s">
        <v>75</v>
      </c>
      <c r="AQ294" s="142">
        <v>1</v>
      </c>
      <c r="AR294" s="142" t="s">
        <v>74</v>
      </c>
    </row>
    <row r="295" spans="1:44" s="143" customFormat="1" ht="25.05" customHeight="1" x14ac:dyDescent="0.3">
      <c r="A295" s="126" t="s">
        <v>1376</v>
      </c>
      <c r="B295" s="125" t="s">
        <v>1377</v>
      </c>
      <c r="C295" s="139">
        <v>2015</v>
      </c>
      <c r="D295" s="145" t="s">
        <v>501</v>
      </c>
      <c r="E295" s="139" t="s">
        <v>78</v>
      </c>
      <c r="F295" s="139" t="s">
        <v>551</v>
      </c>
      <c r="G295" s="139" t="s">
        <v>519</v>
      </c>
      <c r="H295" s="139" t="s">
        <v>228</v>
      </c>
      <c r="I295" s="126" t="s">
        <v>228</v>
      </c>
      <c r="J295" s="126" t="s">
        <v>837</v>
      </c>
      <c r="K295" s="126" t="s">
        <v>81</v>
      </c>
      <c r="L295" s="140" t="s">
        <v>74</v>
      </c>
      <c r="M295" s="140">
        <v>50000000</v>
      </c>
      <c r="N295" s="126">
        <v>50000000</v>
      </c>
      <c r="O295" s="126">
        <v>72440500</v>
      </c>
      <c r="P295" s="126">
        <v>24500000</v>
      </c>
      <c r="Q295" s="126">
        <v>24500000</v>
      </c>
      <c r="R295" s="126">
        <v>35495845</v>
      </c>
      <c r="S295" s="126">
        <v>20000000</v>
      </c>
      <c r="T295" s="126">
        <v>20000000</v>
      </c>
      <c r="U295" s="127">
        <v>28976200</v>
      </c>
      <c r="V295" s="140" t="s">
        <v>81</v>
      </c>
      <c r="W295" s="126" t="s">
        <v>78</v>
      </c>
      <c r="X295" s="126" t="s">
        <v>81</v>
      </c>
      <c r="Y295" s="126" t="s">
        <v>78</v>
      </c>
      <c r="Z295" s="126" t="s">
        <v>81</v>
      </c>
      <c r="AA295" s="126">
        <v>0</v>
      </c>
      <c r="AB295" s="141" t="s">
        <v>78</v>
      </c>
      <c r="AC295" s="126">
        <v>0</v>
      </c>
      <c r="AD295" s="139" t="s">
        <v>78</v>
      </c>
      <c r="AE295" s="126">
        <v>0</v>
      </c>
      <c r="AF295" s="126" t="s">
        <v>78</v>
      </c>
      <c r="AG295" s="126">
        <v>0</v>
      </c>
      <c r="AH295" s="142" t="s">
        <v>75</v>
      </c>
      <c r="AI295" s="142" t="s">
        <v>442</v>
      </c>
      <c r="AJ295" s="142" t="s">
        <v>81</v>
      </c>
      <c r="AK295" s="142" t="s">
        <v>78</v>
      </c>
      <c r="AL295" s="142" t="s">
        <v>78</v>
      </c>
      <c r="AM295" s="142" t="s">
        <v>81</v>
      </c>
      <c r="AN295" s="142" t="s">
        <v>81</v>
      </c>
      <c r="AO295" s="142" t="s">
        <v>78</v>
      </c>
      <c r="AP295" s="142" t="s">
        <v>81</v>
      </c>
      <c r="AQ295" s="142">
        <v>1</v>
      </c>
      <c r="AR295" s="142" t="s">
        <v>74</v>
      </c>
    </row>
    <row r="296" spans="1:44" s="143" customFormat="1" ht="25.05" customHeight="1" x14ac:dyDescent="0.3">
      <c r="A296" s="126" t="s">
        <v>938</v>
      </c>
      <c r="B296" s="125" t="s">
        <v>939</v>
      </c>
      <c r="C296" s="139">
        <v>2017</v>
      </c>
      <c r="D296" s="139" t="s">
        <v>254</v>
      </c>
      <c r="E296" s="139" t="s">
        <v>78</v>
      </c>
      <c r="F296" s="139" t="s">
        <v>555</v>
      </c>
      <c r="G296" s="139" t="s">
        <v>522</v>
      </c>
      <c r="H296" s="139" t="s">
        <v>580</v>
      </c>
      <c r="I296" s="126" t="s">
        <v>115</v>
      </c>
      <c r="J296" s="126" t="s">
        <v>676</v>
      </c>
      <c r="K296" s="126" t="s">
        <v>81</v>
      </c>
      <c r="L296" s="140" t="s">
        <v>74</v>
      </c>
      <c r="M296" s="140">
        <v>60000000</v>
      </c>
      <c r="N296" s="126">
        <v>60000000</v>
      </c>
      <c r="O296" s="126">
        <v>80659800</v>
      </c>
      <c r="P296" s="126">
        <v>60000000</v>
      </c>
      <c r="Q296" s="126">
        <v>60000000</v>
      </c>
      <c r="R296" s="126">
        <v>80659800</v>
      </c>
      <c r="S296" s="126">
        <v>60000000</v>
      </c>
      <c r="T296" s="126">
        <v>60000000</v>
      </c>
      <c r="U296" s="127">
        <v>80659800</v>
      </c>
      <c r="V296" s="140" t="s">
        <v>75</v>
      </c>
      <c r="W296" s="126" t="s">
        <v>940</v>
      </c>
      <c r="X296" s="126" t="s">
        <v>81</v>
      </c>
      <c r="Y296" s="126" t="s">
        <v>78</v>
      </c>
      <c r="Z296" s="126" t="s">
        <v>81</v>
      </c>
      <c r="AA296" s="126">
        <v>0</v>
      </c>
      <c r="AB296" s="141" t="s">
        <v>78</v>
      </c>
      <c r="AC296" s="126">
        <v>0</v>
      </c>
      <c r="AD296" s="139" t="s">
        <v>78</v>
      </c>
      <c r="AE296" s="126">
        <v>0</v>
      </c>
      <c r="AF296" s="126" t="s">
        <v>78</v>
      </c>
      <c r="AG296" s="126">
        <v>0</v>
      </c>
      <c r="AH296" s="142" t="s">
        <v>81</v>
      </c>
      <c r="AI296" s="142" t="s">
        <v>78</v>
      </c>
      <c r="AJ296" s="142" t="s">
        <v>75</v>
      </c>
      <c r="AK296" s="142" t="s">
        <v>466</v>
      </c>
      <c r="AL296" s="142" t="s">
        <v>941</v>
      </c>
      <c r="AM296" s="142" t="s">
        <v>81</v>
      </c>
      <c r="AN296" s="142" t="s">
        <v>81</v>
      </c>
      <c r="AO296" s="142" t="s">
        <v>78</v>
      </c>
      <c r="AP296" s="142" t="s">
        <v>81</v>
      </c>
      <c r="AQ296" s="142">
        <v>1</v>
      </c>
      <c r="AR296" s="142" t="s">
        <v>74</v>
      </c>
    </row>
    <row r="297" spans="1:44" s="143" customFormat="1" ht="25.05" customHeight="1" x14ac:dyDescent="0.3">
      <c r="A297" s="126" t="s">
        <v>375</v>
      </c>
      <c r="B297" s="126" t="s">
        <v>376</v>
      </c>
      <c r="C297" s="139">
        <v>2021</v>
      </c>
      <c r="D297" s="139" t="s">
        <v>377</v>
      </c>
      <c r="E297" s="139">
        <v>0</v>
      </c>
      <c r="F297" s="139" t="s">
        <v>544</v>
      </c>
      <c r="G297" s="139" t="s">
        <v>520</v>
      </c>
      <c r="H297" s="139" t="s">
        <v>227</v>
      </c>
      <c r="I297" s="126" t="s">
        <v>228</v>
      </c>
      <c r="J297" s="126" t="s">
        <v>73</v>
      </c>
      <c r="K297" s="126" t="s">
        <v>81</v>
      </c>
      <c r="L297" s="126" t="s">
        <v>126</v>
      </c>
      <c r="M297" s="126">
        <v>9080000</v>
      </c>
      <c r="N297" s="126">
        <v>6304373.4855270199</v>
      </c>
      <c r="O297" s="126">
        <v>9080000</v>
      </c>
      <c r="P297" s="126" t="s">
        <v>659</v>
      </c>
      <c r="Q297" s="126" t="s">
        <v>659</v>
      </c>
      <c r="R297" s="126" t="s">
        <v>659</v>
      </c>
      <c r="S297" s="126">
        <v>430000</v>
      </c>
      <c r="T297" s="126">
        <v>298555.13202385663</v>
      </c>
      <c r="U297" s="127">
        <v>429999.99999999994</v>
      </c>
      <c r="V297" s="126" t="s">
        <v>75</v>
      </c>
      <c r="W297" s="126" t="s">
        <v>378</v>
      </c>
      <c r="X297" s="126" t="s">
        <v>75</v>
      </c>
      <c r="Y297" s="126" t="s">
        <v>379</v>
      </c>
      <c r="Z297" s="126" t="s">
        <v>75</v>
      </c>
      <c r="AA297" s="126">
        <v>1</v>
      </c>
      <c r="AB297" s="141" t="s">
        <v>380</v>
      </c>
      <c r="AC297" s="126">
        <v>0</v>
      </c>
      <c r="AD297" s="139">
        <v>0</v>
      </c>
      <c r="AE297" s="126">
        <v>3</v>
      </c>
      <c r="AF297" s="126" t="s">
        <v>381</v>
      </c>
      <c r="AG297" s="126">
        <v>4</v>
      </c>
      <c r="AH297" s="142" t="s">
        <v>75</v>
      </c>
      <c r="AI297" s="142" t="s">
        <v>382</v>
      </c>
      <c r="AJ297" s="142" t="s">
        <v>75</v>
      </c>
      <c r="AK297" s="142" t="s">
        <v>383</v>
      </c>
      <c r="AL297" s="142" t="s">
        <v>132</v>
      </c>
      <c r="AM297" s="142" t="s">
        <v>75</v>
      </c>
      <c r="AN297" s="142" t="s">
        <v>75</v>
      </c>
      <c r="AO297" s="142" t="s">
        <v>110</v>
      </c>
      <c r="AP297" s="142" t="s">
        <v>75</v>
      </c>
      <c r="AQ297" s="142">
        <v>1</v>
      </c>
      <c r="AR297" s="142" t="s">
        <v>126</v>
      </c>
    </row>
    <row r="298" spans="1:44" s="143" customFormat="1" ht="25.05" customHeight="1" x14ac:dyDescent="0.3">
      <c r="A298" s="126" t="s">
        <v>301</v>
      </c>
      <c r="B298" s="126" t="s">
        <v>302</v>
      </c>
      <c r="C298" s="139">
        <v>2020</v>
      </c>
      <c r="D298" s="139" t="s">
        <v>151</v>
      </c>
      <c r="E298" s="139">
        <v>0</v>
      </c>
      <c r="F298" s="139" t="s">
        <v>546</v>
      </c>
      <c r="G298" s="139" t="s">
        <v>518</v>
      </c>
      <c r="H298" s="139" t="s">
        <v>114</v>
      </c>
      <c r="I298" s="126" t="s">
        <v>115</v>
      </c>
      <c r="J298" s="126" t="s">
        <v>137</v>
      </c>
      <c r="K298" s="126" t="s">
        <v>81</v>
      </c>
      <c r="L298" s="126" t="s">
        <v>126</v>
      </c>
      <c r="M298" s="126">
        <v>2144570000</v>
      </c>
      <c r="N298" s="126">
        <v>1550855853.5756383</v>
      </c>
      <c r="O298" s="126">
        <v>2144570000</v>
      </c>
      <c r="P298" s="126" t="s">
        <v>659</v>
      </c>
      <c r="Q298" s="126" t="s">
        <v>659</v>
      </c>
      <c r="R298" s="126" t="s">
        <v>659</v>
      </c>
      <c r="S298" s="126">
        <v>204000000</v>
      </c>
      <c r="T298" s="126">
        <v>147523556.76402739</v>
      </c>
      <c r="U298" s="127">
        <v>204000000</v>
      </c>
      <c r="V298" s="126" t="s">
        <v>81</v>
      </c>
      <c r="W298" s="126">
        <v>0</v>
      </c>
      <c r="X298" s="126" t="s">
        <v>81</v>
      </c>
      <c r="Y298" s="126">
        <v>0</v>
      </c>
      <c r="Z298" s="126" t="s">
        <v>81</v>
      </c>
      <c r="AA298" s="126">
        <v>0</v>
      </c>
      <c r="AB298" s="141">
        <v>0</v>
      </c>
      <c r="AC298" s="126">
        <v>0</v>
      </c>
      <c r="AD298" s="139">
        <v>0</v>
      </c>
      <c r="AE298" s="126">
        <v>0</v>
      </c>
      <c r="AF298" s="126">
        <v>0</v>
      </c>
      <c r="AG298" s="126">
        <v>0</v>
      </c>
      <c r="AH298" s="142" t="s">
        <v>81</v>
      </c>
      <c r="AI298" s="142">
        <v>0</v>
      </c>
      <c r="AJ298" s="142" t="s">
        <v>81</v>
      </c>
      <c r="AK298" s="142">
        <v>0</v>
      </c>
      <c r="AL298" s="142" t="s">
        <v>121</v>
      </c>
      <c r="AM298" s="142" t="s">
        <v>75</v>
      </c>
      <c r="AN298" s="142" t="s">
        <v>75</v>
      </c>
      <c r="AO298" s="142" t="s">
        <v>84</v>
      </c>
      <c r="AP298" s="142" t="s">
        <v>81</v>
      </c>
      <c r="AQ298" s="142">
        <v>1</v>
      </c>
      <c r="AR298" s="142" t="s">
        <v>126</v>
      </c>
    </row>
    <row r="299" spans="1:44" s="143" customFormat="1" ht="25.05" customHeight="1" x14ac:dyDescent="0.3">
      <c r="A299" s="126" t="s">
        <v>1705</v>
      </c>
      <c r="B299" s="126" t="s">
        <v>1706</v>
      </c>
      <c r="C299" s="139">
        <v>2019</v>
      </c>
      <c r="D299" s="139" t="s">
        <v>151</v>
      </c>
      <c r="E299" s="139" t="s">
        <v>78</v>
      </c>
      <c r="F299" s="139" t="s">
        <v>546</v>
      </c>
      <c r="G299" s="139" t="s">
        <v>518</v>
      </c>
      <c r="H299" s="139" t="s">
        <v>115</v>
      </c>
      <c r="I299" s="126" t="s">
        <v>115</v>
      </c>
      <c r="J299" s="126" t="s">
        <v>689</v>
      </c>
      <c r="K299" s="126" t="s">
        <v>81</v>
      </c>
      <c r="L299" s="126" t="s">
        <v>126</v>
      </c>
      <c r="M299" s="126">
        <v>134650000</v>
      </c>
      <c r="N299" s="126">
        <v>96815478.972382605</v>
      </c>
      <c r="O299" s="126">
        <v>134650000</v>
      </c>
      <c r="P299" s="126">
        <v>145739269.59999999</v>
      </c>
      <c r="Q299" s="126">
        <v>145739269.59999999</v>
      </c>
      <c r="R299" s="126">
        <v>202692718.76698399</v>
      </c>
      <c r="S299" s="126">
        <v>145739269.59999999</v>
      </c>
      <c r="T299" s="126">
        <v>145739269.59999999</v>
      </c>
      <c r="U299" s="127">
        <v>202692718.76698399</v>
      </c>
      <c r="V299" s="126" t="s">
        <v>75</v>
      </c>
      <c r="W299" s="126" t="s">
        <v>1707</v>
      </c>
      <c r="X299" s="126" t="s">
        <v>75</v>
      </c>
      <c r="Y299" s="126" t="s">
        <v>1708</v>
      </c>
      <c r="Z299" s="126" t="s">
        <v>75</v>
      </c>
      <c r="AA299" s="126">
        <v>0</v>
      </c>
      <c r="AB299" s="141" t="s">
        <v>78</v>
      </c>
      <c r="AC299" s="126">
        <v>999</v>
      </c>
      <c r="AD299" s="139" t="s">
        <v>1709</v>
      </c>
      <c r="AE299" s="126">
        <v>0</v>
      </c>
      <c r="AF299" s="126" t="s">
        <v>78</v>
      </c>
      <c r="AG299" s="126">
        <v>1</v>
      </c>
      <c r="AH299" s="142" t="s">
        <v>75</v>
      </c>
      <c r="AI299" s="142" t="s">
        <v>1710</v>
      </c>
      <c r="AJ299" s="142" t="s">
        <v>75</v>
      </c>
      <c r="AK299" s="142" t="s">
        <v>1711</v>
      </c>
      <c r="AL299" s="142" t="s">
        <v>121</v>
      </c>
      <c r="AM299" s="142" t="s">
        <v>81</v>
      </c>
      <c r="AN299" s="142" t="s">
        <v>81</v>
      </c>
      <c r="AO299" s="142" t="s">
        <v>78</v>
      </c>
      <c r="AP299" s="142" t="s">
        <v>75</v>
      </c>
      <c r="AQ299" s="142">
        <v>1</v>
      </c>
      <c r="AR299" s="142" t="s">
        <v>126</v>
      </c>
    </row>
    <row r="300" spans="1:44" s="143" customFormat="1" ht="25.05" customHeight="1" x14ac:dyDescent="0.3">
      <c r="A300" s="126" t="s">
        <v>1245</v>
      </c>
      <c r="B300" s="125" t="s">
        <v>1246</v>
      </c>
      <c r="C300" s="139">
        <v>2016</v>
      </c>
      <c r="D300" s="139" t="s">
        <v>509</v>
      </c>
      <c r="E300" s="139" t="s">
        <v>78</v>
      </c>
      <c r="F300" s="139" t="s">
        <v>560</v>
      </c>
      <c r="G300" s="139" t="s">
        <v>522</v>
      </c>
      <c r="H300" s="139" t="s">
        <v>579</v>
      </c>
      <c r="I300" s="126" t="s">
        <v>115</v>
      </c>
      <c r="J300" s="126" t="s">
        <v>676</v>
      </c>
      <c r="K300" s="126" t="s">
        <v>81</v>
      </c>
      <c r="L300" s="140" t="s">
        <v>74</v>
      </c>
      <c r="M300" s="140">
        <v>3300000</v>
      </c>
      <c r="N300" s="126">
        <v>3300000</v>
      </c>
      <c r="O300" s="126">
        <v>4572909</v>
      </c>
      <c r="P300" s="126">
        <v>3000000</v>
      </c>
      <c r="Q300" s="126">
        <v>3000000</v>
      </c>
      <c r="R300" s="126">
        <v>4157189.9999999995</v>
      </c>
      <c r="S300" s="126">
        <v>3000000</v>
      </c>
      <c r="T300" s="126">
        <v>3000000</v>
      </c>
      <c r="U300" s="127">
        <v>4157189.9999999995</v>
      </c>
      <c r="V300" s="140" t="s">
        <v>81</v>
      </c>
      <c r="W300" s="126" t="s">
        <v>78</v>
      </c>
      <c r="X300" s="126" t="s">
        <v>81</v>
      </c>
      <c r="Y300" s="126" t="s">
        <v>78</v>
      </c>
      <c r="Z300" s="126" t="s">
        <v>81</v>
      </c>
      <c r="AA300" s="126">
        <v>0</v>
      </c>
      <c r="AB300" s="141" t="s">
        <v>78</v>
      </c>
      <c r="AC300" s="126">
        <v>0</v>
      </c>
      <c r="AD300" s="139" t="s">
        <v>78</v>
      </c>
      <c r="AE300" s="126">
        <v>0</v>
      </c>
      <c r="AF300" s="126" t="s">
        <v>78</v>
      </c>
      <c r="AG300" s="126">
        <v>0</v>
      </c>
      <c r="AH300" s="142" t="s">
        <v>81</v>
      </c>
      <c r="AI300" s="142" t="s">
        <v>78</v>
      </c>
      <c r="AJ300" s="142" t="s">
        <v>81</v>
      </c>
      <c r="AK300" s="142" t="s">
        <v>78</v>
      </c>
      <c r="AL300" s="142" t="s">
        <v>78</v>
      </c>
      <c r="AM300" s="142" t="s">
        <v>81</v>
      </c>
      <c r="AN300" s="142" t="s">
        <v>81</v>
      </c>
      <c r="AO300" s="142" t="s">
        <v>78</v>
      </c>
      <c r="AP300" s="142" t="s">
        <v>81</v>
      </c>
      <c r="AQ300" s="142">
        <v>1</v>
      </c>
      <c r="AR300" s="142" t="s">
        <v>74</v>
      </c>
    </row>
    <row r="301" spans="1:44" s="143" customFormat="1" ht="25.05" customHeight="1" x14ac:dyDescent="0.3">
      <c r="A301" s="126" t="s">
        <v>1158</v>
      </c>
      <c r="B301" s="125" t="s">
        <v>1159</v>
      </c>
      <c r="C301" s="139">
        <v>2016</v>
      </c>
      <c r="D301" s="139" t="s">
        <v>509</v>
      </c>
      <c r="E301" s="139" t="s">
        <v>78</v>
      </c>
      <c r="F301" s="139" t="s">
        <v>560</v>
      </c>
      <c r="G301" s="139" t="s">
        <v>522</v>
      </c>
      <c r="H301" s="139" t="s">
        <v>599</v>
      </c>
      <c r="I301" s="126" t="s">
        <v>101</v>
      </c>
      <c r="J301" s="126" t="s">
        <v>676</v>
      </c>
      <c r="K301" s="126" t="s">
        <v>81</v>
      </c>
      <c r="L301" s="140" t="s">
        <v>74</v>
      </c>
      <c r="M301" s="140">
        <v>1200000</v>
      </c>
      <c r="N301" s="126">
        <v>1200000</v>
      </c>
      <c r="O301" s="126">
        <v>1662876</v>
      </c>
      <c r="P301" s="126">
        <v>1200000</v>
      </c>
      <c r="Q301" s="126">
        <v>1200000</v>
      </c>
      <c r="R301" s="126">
        <v>1662876</v>
      </c>
      <c r="S301" s="126">
        <v>1200000</v>
      </c>
      <c r="T301" s="126">
        <v>1200000</v>
      </c>
      <c r="U301" s="127">
        <v>1662876</v>
      </c>
      <c r="V301" s="140" t="s">
        <v>81</v>
      </c>
      <c r="W301" s="126" t="s">
        <v>78</v>
      </c>
      <c r="X301" s="126" t="s">
        <v>81</v>
      </c>
      <c r="Y301" s="126" t="s">
        <v>78</v>
      </c>
      <c r="Z301" s="126" t="s">
        <v>81</v>
      </c>
      <c r="AA301" s="126">
        <v>0</v>
      </c>
      <c r="AB301" s="141" t="s">
        <v>78</v>
      </c>
      <c r="AC301" s="126">
        <v>0</v>
      </c>
      <c r="AD301" s="139" t="s">
        <v>78</v>
      </c>
      <c r="AE301" s="126">
        <v>0</v>
      </c>
      <c r="AF301" s="126" t="s">
        <v>78</v>
      </c>
      <c r="AG301" s="126">
        <v>0</v>
      </c>
      <c r="AH301" s="142" t="s">
        <v>81</v>
      </c>
      <c r="AI301" s="142" t="s">
        <v>78</v>
      </c>
      <c r="AJ301" s="142" t="s">
        <v>81</v>
      </c>
      <c r="AK301" s="142" t="s">
        <v>78</v>
      </c>
      <c r="AL301" s="142" t="s">
        <v>78</v>
      </c>
      <c r="AM301" s="142" t="s">
        <v>81</v>
      </c>
      <c r="AN301" s="142" t="s">
        <v>81</v>
      </c>
      <c r="AO301" s="142" t="s">
        <v>78</v>
      </c>
      <c r="AP301" s="142" t="s">
        <v>81</v>
      </c>
      <c r="AQ301" s="142">
        <v>1</v>
      </c>
      <c r="AR301" s="142" t="s">
        <v>74</v>
      </c>
    </row>
    <row r="302" spans="1:44" s="143" customFormat="1" ht="25.05" customHeight="1" x14ac:dyDescent="0.3">
      <c r="A302" s="126" t="s">
        <v>878</v>
      </c>
      <c r="B302" s="125" t="s">
        <v>879</v>
      </c>
      <c r="C302" s="139">
        <v>2018</v>
      </c>
      <c r="D302" s="139" t="s">
        <v>87</v>
      </c>
      <c r="E302" s="139" t="s">
        <v>880</v>
      </c>
      <c r="F302" s="139" t="s">
        <v>1848</v>
      </c>
      <c r="G302" s="139" t="s">
        <v>87</v>
      </c>
      <c r="H302" s="139" t="s">
        <v>589</v>
      </c>
      <c r="I302" s="126" t="s">
        <v>256</v>
      </c>
      <c r="J302" s="126" t="s">
        <v>676</v>
      </c>
      <c r="K302" s="126" t="s">
        <v>75</v>
      </c>
      <c r="L302" s="140" t="s">
        <v>126</v>
      </c>
      <c r="M302" s="140">
        <v>500000</v>
      </c>
      <c r="N302" s="126">
        <v>351091.54360908066</v>
      </c>
      <c r="O302" s="126">
        <v>500000</v>
      </c>
      <c r="P302" s="126">
        <v>361613.96</v>
      </c>
      <c r="Q302" s="126">
        <v>361613.96</v>
      </c>
      <c r="R302" s="126">
        <v>514985.28885479999</v>
      </c>
      <c r="S302" s="126">
        <v>0</v>
      </c>
      <c r="T302" s="126">
        <v>0</v>
      </c>
      <c r="U302" s="127">
        <v>0</v>
      </c>
      <c r="V302" s="140" t="s">
        <v>81</v>
      </c>
      <c r="W302" s="126" t="s">
        <v>78</v>
      </c>
      <c r="X302" s="126" t="s">
        <v>81</v>
      </c>
      <c r="Y302" s="126" t="s">
        <v>78</v>
      </c>
      <c r="Z302" s="126" t="s">
        <v>81</v>
      </c>
      <c r="AA302" s="126">
        <v>0</v>
      </c>
      <c r="AB302" s="141" t="s">
        <v>78</v>
      </c>
      <c r="AC302" s="126">
        <v>0</v>
      </c>
      <c r="AD302" s="139" t="s">
        <v>78</v>
      </c>
      <c r="AE302" s="126">
        <v>0</v>
      </c>
      <c r="AF302" s="126" t="s">
        <v>78</v>
      </c>
      <c r="AG302" s="126">
        <v>0</v>
      </c>
      <c r="AH302" s="142" t="s">
        <v>81</v>
      </c>
      <c r="AI302" s="142" t="s">
        <v>78</v>
      </c>
      <c r="AJ302" s="142" t="s">
        <v>81</v>
      </c>
      <c r="AK302" s="142" t="s">
        <v>78</v>
      </c>
      <c r="AL302" s="142" t="s">
        <v>78</v>
      </c>
      <c r="AM302" s="142" t="s">
        <v>81</v>
      </c>
      <c r="AN302" s="142" t="s">
        <v>81</v>
      </c>
      <c r="AO302" s="142" t="s">
        <v>78</v>
      </c>
      <c r="AP302" s="142" t="s">
        <v>81</v>
      </c>
      <c r="AQ302" s="142">
        <v>1</v>
      </c>
      <c r="AR302" s="142" t="s">
        <v>126</v>
      </c>
    </row>
    <row r="303" spans="1:44" s="143" customFormat="1" ht="25.05" customHeight="1" x14ac:dyDescent="0.3">
      <c r="A303" s="126" t="s">
        <v>1175</v>
      </c>
      <c r="B303" s="125" t="s">
        <v>1176</v>
      </c>
      <c r="C303" s="139">
        <v>2016</v>
      </c>
      <c r="D303" s="139" t="s">
        <v>510</v>
      </c>
      <c r="E303" s="139" t="s">
        <v>78</v>
      </c>
      <c r="F303" s="139" t="s">
        <v>568</v>
      </c>
      <c r="G303" s="139" t="s">
        <v>519</v>
      </c>
      <c r="H303" s="139" t="s">
        <v>597</v>
      </c>
      <c r="I303" s="126" t="s">
        <v>101</v>
      </c>
      <c r="J303" s="126" t="s">
        <v>689</v>
      </c>
      <c r="K303" s="126" t="s">
        <v>81</v>
      </c>
      <c r="L303" s="140" t="s">
        <v>74</v>
      </c>
      <c r="M303" s="140">
        <v>683527</v>
      </c>
      <c r="N303" s="126">
        <v>683527</v>
      </c>
      <c r="O303" s="126">
        <v>947183.86970999988</v>
      </c>
      <c r="P303" s="126">
        <v>683527</v>
      </c>
      <c r="Q303" s="126">
        <v>683527</v>
      </c>
      <c r="R303" s="126">
        <v>947183.86970999988</v>
      </c>
      <c r="S303" s="126">
        <v>683527</v>
      </c>
      <c r="T303" s="126">
        <v>683527</v>
      </c>
      <c r="U303" s="127">
        <v>947183.86970999988</v>
      </c>
      <c r="V303" s="140" t="s">
        <v>81</v>
      </c>
      <c r="W303" s="126" t="s">
        <v>78</v>
      </c>
      <c r="X303" s="126" t="s">
        <v>81</v>
      </c>
      <c r="Y303" s="126" t="s">
        <v>78</v>
      </c>
      <c r="Z303" s="126" t="s">
        <v>81</v>
      </c>
      <c r="AA303" s="126">
        <v>0</v>
      </c>
      <c r="AB303" s="141" t="s">
        <v>78</v>
      </c>
      <c r="AC303" s="126">
        <v>0</v>
      </c>
      <c r="AD303" s="139" t="s">
        <v>78</v>
      </c>
      <c r="AE303" s="126">
        <v>0</v>
      </c>
      <c r="AF303" s="126" t="s">
        <v>78</v>
      </c>
      <c r="AG303" s="126">
        <v>0</v>
      </c>
      <c r="AH303" s="142" t="s">
        <v>81</v>
      </c>
      <c r="AI303" s="142" t="s">
        <v>78</v>
      </c>
      <c r="AJ303" s="142" t="s">
        <v>81</v>
      </c>
      <c r="AK303" s="142" t="s">
        <v>78</v>
      </c>
      <c r="AL303" s="142" t="s">
        <v>78</v>
      </c>
      <c r="AM303" s="142" t="s">
        <v>81</v>
      </c>
      <c r="AN303" s="142" t="s">
        <v>81</v>
      </c>
      <c r="AO303" s="142" t="s">
        <v>78</v>
      </c>
      <c r="AP303" s="142" t="s">
        <v>81</v>
      </c>
      <c r="AQ303" s="142">
        <v>1</v>
      </c>
      <c r="AR303" s="142" t="s">
        <v>74</v>
      </c>
    </row>
    <row r="304" spans="1:44" s="143" customFormat="1" ht="25.05" customHeight="1" x14ac:dyDescent="0.3">
      <c r="A304" s="126" t="s">
        <v>1729</v>
      </c>
      <c r="B304" s="126" t="s">
        <v>1730</v>
      </c>
      <c r="C304" s="139">
        <v>2019</v>
      </c>
      <c r="D304" s="139" t="s">
        <v>155</v>
      </c>
      <c r="E304" s="139" t="s">
        <v>78</v>
      </c>
      <c r="F304" s="139" t="s">
        <v>559</v>
      </c>
      <c r="G304" s="139" t="s">
        <v>520</v>
      </c>
      <c r="H304" s="139" t="s">
        <v>584</v>
      </c>
      <c r="I304" s="126" t="s">
        <v>228</v>
      </c>
      <c r="J304" s="126" t="s">
        <v>679</v>
      </c>
      <c r="K304" s="126" t="s">
        <v>81</v>
      </c>
      <c r="L304" s="126" t="s">
        <v>104</v>
      </c>
      <c r="M304" s="126">
        <v>121980000</v>
      </c>
      <c r="N304" s="126">
        <v>100457899.59151404</v>
      </c>
      <c r="O304" s="126">
        <v>139715842.17288181</v>
      </c>
      <c r="P304" s="126">
        <v>34560000</v>
      </c>
      <c r="Q304" s="126">
        <v>34560000</v>
      </c>
      <c r="R304" s="126">
        <v>48065702.399999999</v>
      </c>
      <c r="S304" s="126">
        <v>34560000</v>
      </c>
      <c r="T304" s="126">
        <v>34560000</v>
      </c>
      <c r="U304" s="127">
        <v>48065702.399999999</v>
      </c>
      <c r="V304" s="126" t="s">
        <v>75</v>
      </c>
      <c r="W304" s="126" t="s">
        <v>1731</v>
      </c>
      <c r="X304" s="126" t="s">
        <v>75</v>
      </c>
      <c r="Y304" s="126" t="s">
        <v>1732</v>
      </c>
      <c r="Z304" s="126" t="s">
        <v>81</v>
      </c>
      <c r="AA304" s="126">
        <v>0</v>
      </c>
      <c r="AB304" s="141" t="s">
        <v>78</v>
      </c>
      <c r="AC304" s="126">
        <v>999</v>
      </c>
      <c r="AD304" s="139" t="s">
        <v>1733</v>
      </c>
      <c r="AE304" s="126">
        <v>999</v>
      </c>
      <c r="AF304" s="126" t="s">
        <v>1734</v>
      </c>
      <c r="AG304" s="126">
        <v>2</v>
      </c>
      <c r="AH304" s="142" t="s">
        <v>81</v>
      </c>
      <c r="AI304" s="142" t="s">
        <v>78</v>
      </c>
      <c r="AJ304" s="142" t="s">
        <v>75</v>
      </c>
      <c r="AK304" s="142" t="s">
        <v>1735</v>
      </c>
      <c r="AL304" s="142" t="s">
        <v>121</v>
      </c>
      <c r="AM304" s="142" t="s">
        <v>75</v>
      </c>
      <c r="AN304" s="142" t="s">
        <v>81</v>
      </c>
      <c r="AO304" s="142" t="s">
        <v>78</v>
      </c>
      <c r="AP304" s="142" t="s">
        <v>75</v>
      </c>
      <c r="AQ304" s="142">
        <v>1</v>
      </c>
      <c r="AR304" s="142" t="s">
        <v>104</v>
      </c>
    </row>
    <row r="305" spans="1:44" s="143" customFormat="1" ht="25.05" customHeight="1" x14ac:dyDescent="0.3">
      <c r="A305" s="126" t="s">
        <v>1592</v>
      </c>
      <c r="B305" s="126" t="s">
        <v>1593</v>
      </c>
      <c r="C305" s="139">
        <v>2019</v>
      </c>
      <c r="D305" s="139" t="s">
        <v>498</v>
      </c>
      <c r="E305" s="139" t="s">
        <v>78</v>
      </c>
      <c r="F305" s="139" t="s">
        <v>540</v>
      </c>
      <c r="G305" s="139" t="s">
        <v>520</v>
      </c>
      <c r="H305" s="139" t="s">
        <v>228</v>
      </c>
      <c r="I305" s="126" t="s">
        <v>228</v>
      </c>
      <c r="J305" s="126" t="s">
        <v>679</v>
      </c>
      <c r="K305" s="126" t="s">
        <v>81</v>
      </c>
      <c r="L305" s="126" t="s">
        <v>74</v>
      </c>
      <c r="M305" s="126">
        <v>12040000</v>
      </c>
      <c r="N305" s="126">
        <v>12040000</v>
      </c>
      <c r="O305" s="126">
        <v>16745111.6</v>
      </c>
      <c r="P305" s="126">
        <v>9620000</v>
      </c>
      <c r="Q305" s="126">
        <v>9620000</v>
      </c>
      <c r="R305" s="126">
        <v>13379399.799999999</v>
      </c>
      <c r="S305" s="126">
        <v>5930000</v>
      </c>
      <c r="T305" s="126">
        <v>5930000</v>
      </c>
      <c r="U305" s="127">
        <v>8247384.7000000002</v>
      </c>
      <c r="V305" s="126" t="s">
        <v>75</v>
      </c>
      <c r="W305" s="126" t="s">
        <v>1594</v>
      </c>
      <c r="X305" s="126" t="s">
        <v>75</v>
      </c>
      <c r="Y305" s="126" t="s">
        <v>1595</v>
      </c>
      <c r="Z305" s="126" t="s">
        <v>75</v>
      </c>
      <c r="AA305" s="126">
        <v>999</v>
      </c>
      <c r="AB305" s="141" t="s">
        <v>1596</v>
      </c>
      <c r="AC305" s="126">
        <v>0</v>
      </c>
      <c r="AD305" s="139" t="s">
        <v>78</v>
      </c>
      <c r="AE305" s="126">
        <v>999</v>
      </c>
      <c r="AF305" s="126" t="s">
        <v>1597</v>
      </c>
      <c r="AG305" s="126">
        <v>2</v>
      </c>
      <c r="AH305" s="142" t="s">
        <v>75</v>
      </c>
      <c r="AI305" s="142" t="s">
        <v>1598</v>
      </c>
      <c r="AJ305" s="142" t="s">
        <v>75</v>
      </c>
      <c r="AK305" s="142" t="s">
        <v>1599</v>
      </c>
      <c r="AL305" s="142" t="s">
        <v>121</v>
      </c>
      <c r="AM305" s="142" t="s">
        <v>75</v>
      </c>
      <c r="AN305" s="142" t="s">
        <v>75</v>
      </c>
      <c r="AO305" s="142" t="s">
        <v>78</v>
      </c>
      <c r="AP305" s="142" t="s">
        <v>75</v>
      </c>
      <c r="AQ305" s="142">
        <v>1</v>
      </c>
      <c r="AR305" s="142" t="s">
        <v>74</v>
      </c>
    </row>
    <row r="306" spans="1:44" s="143" customFormat="1" ht="25.05" customHeight="1" x14ac:dyDescent="0.3">
      <c r="A306" s="126" t="s">
        <v>413</v>
      </c>
      <c r="B306" s="126" t="s">
        <v>414</v>
      </c>
      <c r="C306" s="139">
        <v>2021</v>
      </c>
      <c r="D306" s="139" t="s">
        <v>87</v>
      </c>
      <c r="E306" s="139" t="s">
        <v>415</v>
      </c>
      <c r="F306" s="139" t="s">
        <v>1848</v>
      </c>
      <c r="G306" s="139" t="s">
        <v>87</v>
      </c>
      <c r="H306" s="139" t="s">
        <v>216</v>
      </c>
      <c r="I306" s="126" t="s">
        <v>101</v>
      </c>
      <c r="J306" s="126" t="s">
        <v>73</v>
      </c>
      <c r="K306" s="126" t="s">
        <v>81</v>
      </c>
      <c r="L306" s="126" t="s">
        <v>74</v>
      </c>
      <c r="M306" s="126">
        <v>19528197.940000001</v>
      </c>
      <c r="N306" s="126">
        <v>19528197.940000001</v>
      </c>
      <c r="O306" s="126">
        <v>28125877.647043802</v>
      </c>
      <c r="P306" s="126" t="s">
        <v>659</v>
      </c>
      <c r="Q306" s="126" t="s">
        <v>659</v>
      </c>
      <c r="R306" s="126" t="s">
        <v>659</v>
      </c>
      <c r="S306" s="126">
        <v>10000000</v>
      </c>
      <c r="T306" s="126">
        <v>10000000</v>
      </c>
      <c r="U306" s="127">
        <v>14402700</v>
      </c>
      <c r="V306" s="126" t="s">
        <v>81</v>
      </c>
      <c r="W306" s="126">
        <v>0</v>
      </c>
      <c r="X306" s="126" t="s">
        <v>81</v>
      </c>
      <c r="Y306" s="126">
        <v>0</v>
      </c>
      <c r="Z306" s="126" t="s">
        <v>75</v>
      </c>
      <c r="AA306" s="126">
        <v>0</v>
      </c>
      <c r="AB306" s="141" t="s">
        <v>78</v>
      </c>
      <c r="AC306" s="126">
        <v>0</v>
      </c>
      <c r="AD306" s="139" t="s">
        <v>78</v>
      </c>
      <c r="AE306" s="126">
        <v>1</v>
      </c>
      <c r="AF306" s="126" t="s">
        <v>416</v>
      </c>
      <c r="AG306" s="126">
        <v>1</v>
      </c>
      <c r="AH306" s="142" t="s">
        <v>81</v>
      </c>
      <c r="AI306" s="142">
        <v>0</v>
      </c>
      <c r="AJ306" s="142" t="s">
        <v>81</v>
      </c>
      <c r="AK306" s="142">
        <v>0</v>
      </c>
      <c r="AL306" s="142" t="s">
        <v>121</v>
      </c>
      <c r="AM306" s="142" t="s">
        <v>75</v>
      </c>
      <c r="AN306" s="142" t="s">
        <v>75</v>
      </c>
      <c r="AO306" s="142" t="s">
        <v>84</v>
      </c>
      <c r="AP306" s="142" t="s">
        <v>81</v>
      </c>
      <c r="AQ306" s="142">
        <v>1</v>
      </c>
      <c r="AR306" s="142" t="s">
        <v>74</v>
      </c>
    </row>
    <row r="307" spans="1:44" s="143" customFormat="1" ht="25.05" customHeight="1" x14ac:dyDescent="0.3">
      <c r="A307" s="126" t="s">
        <v>1492</v>
      </c>
      <c r="B307" s="126" t="s">
        <v>1493</v>
      </c>
      <c r="C307" s="139">
        <v>2019</v>
      </c>
      <c r="D307" s="139" t="s">
        <v>179</v>
      </c>
      <c r="E307" s="139" t="s">
        <v>78</v>
      </c>
      <c r="F307" s="139" t="s">
        <v>561</v>
      </c>
      <c r="G307" s="139" t="s">
        <v>522</v>
      </c>
      <c r="H307" s="139" t="s">
        <v>587</v>
      </c>
      <c r="I307" s="126" t="s">
        <v>256</v>
      </c>
      <c r="J307" s="126" t="s">
        <v>679</v>
      </c>
      <c r="K307" s="126" t="s">
        <v>81</v>
      </c>
      <c r="L307" s="126" t="s">
        <v>74</v>
      </c>
      <c r="M307" s="126">
        <v>19621111</v>
      </c>
      <c r="N307" s="126">
        <v>19621111</v>
      </c>
      <c r="O307" s="126">
        <v>27288844.967689998</v>
      </c>
      <c r="P307" s="126">
        <v>8000000</v>
      </c>
      <c r="Q307" s="126">
        <v>8000000</v>
      </c>
      <c r="R307" s="126">
        <v>11126320</v>
      </c>
      <c r="S307" s="126">
        <v>8000000</v>
      </c>
      <c r="T307" s="126">
        <v>8000000</v>
      </c>
      <c r="U307" s="127">
        <v>11126320</v>
      </c>
      <c r="V307" s="126" t="s">
        <v>75</v>
      </c>
      <c r="W307" s="126" t="s">
        <v>1494</v>
      </c>
      <c r="X307" s="126" t="s">
        <v>75</v>
      </c>
      <c r="Y307" s="126" t="s">
        <v>1495</v>
      </c>
      <c r="Z307" s="126" t="s">
        <v>75</v>
      </c>
      <c r="AA307" s="126">
        <v>999</v>
      </c>
      <c r="AB307" s="141" t="s">
        <v>1496</v>
      </c>
      <c r="AC307" s="126">
        <v>0</v>
      </c>
      <c r="AD307" s="139" t="s">
        <v>78</v>
      </c>
      <c r="AE307" s="126">
        <v>999</v>
      </c>
      <c r="AF307" s="126" t="s">
        <v>1497</v>
      </c>
      <c r="AG307" s="126">
        <v>3</v>
      </c>
      <c r="AH307" s="142" t="s">
        <v>75</v>
      </c>
      <c r="AI307" s="142" t="s">
        <v>1498</v>
      </c>
      <c r="AJ307" s="142" t="s">
        <v>75</v>
      </c>
      <c r="AK307" s="142" t="s">
        <v>1499</v>
      </c>
      <c r="AL307" s="142" t="s">
        <v>121</v>
      </c>
      <c r="AM307" s="142" t="s">
        <v>75</v>
      </c>
      <c r="AN307" s="142" t="s">
        <v>75</v>
      </c>
      <c r="AO307" s="142" t="s">
        <v>78</v>
      </c>
      <c r="AP307" s="142" t="s">
        <v>75</v>
      </c>
      <c r="AQ307" s="142">
        <v>1</v>
      </c>
      <c r="AR307" s="142" t="s">
        <v>74</v>
      </c>
    </row>
    <row r="308" spans="1:44" s="143" customFormat="1" ht="25.05" customHeight="1" x14ac:dyDescent="0.3">
      <c r="A308" s="126" t="s">
        <v>1117</v>
      </c>
      <c r="B308" s="125" t="s">
        <v>1118</v>
      </c>
      <c r="C308" s="139">
        <v>2016</v>
      </c>
      <c r="D308" s="139" t="s">
        <v>509</v>
      </c>
      <c r="E308" s="139" t="s">
        <v>78</v>
      </c>
      <c r="F308" s="139" t="s">
        <v>560</v>
      </c>
      <c r="G308" s="139" t="s">
        <v>522</v>
      </c>
      <c r="H308" s="139" t="s">
        <v>580</v>
      </c>
      <c r="I308" s="126" t="s">
        <v>115</v>
      </c>
      <c r="J308" s="126" t="s">
        <v>676</v>
      </c>
      <c r="K308" s="126" t="s">
        <v>81</v>
      </c>
      <c r="L308" s="140" t="s">
        <v>74</v>
      </c>
      <c r="M308" s="140">
        <v>6000000</v>
      </c>
      <c r="N308" s="126">
        <v>6000000</v>
      </c>
      <c r="O308" s="126">
        <v>8314379.9999999991</v>
      </c>
      <c r="P308" s="126">
        <v>5500000</v>
      </c>
      <c r="Q308" s="126">
        <v>5500000</v>
      </c>
      <c r="R308" s="126">
        <v>7621514.9999999991</v>
      </c>
      <c r="S308" s="126">
        <v>5500000</v>
      </c>
      <c r="T308" s="126">
        <v>5500000</v>
      </c>
      <c r="U308" s="127">
        <v>7621514.9999999991</v>
      </c>
      <c r="V308" s="140" t="s">
        <v>81</v>
      </c>
      <c r="W308" s="126" t="s">
        <v>78</v>
      </c>
      <c r="X308" s="126" t="s">
        <v>81</v>
      </c>
      <c r="Y308" s="126" t="s">
        <v>78</v>
      </c>
      <c r="Z308" s="126" t="s">
        <v>81</v>
      </c>
      <c r="AA308" s="126">
        <v>0</v>
      </c>
      <c r="AB308" s="141" t="s">
        <v>78</v>
      </c>
      <c r="AC308" s="126">
        <v>0</v>
      </c>
      <c r="AD308" s="139" t="s">
        <v>78</v>
      </c>
      <c r="AE308" s="126">
        <v>0</v>
      </c>
      <c r="AF308" s="126" t="s">
        <v>78</v>
      </c>
      <c r="AG308" s="126">
        <v>0</v>
      </c>
      <c r="AH308" s="142" t="s">
        <v>81</v>
      </c>
      <c r="AI308" s="142" t="s">
        <v>78</v>
      </c>
      <c r="AJ308" s="142" t="s">
        <v>81</v>
      </c>
      <c r="AK308" s="142" t="s">
        <v>78</v>
      </c>
      <c r="AL308" s="142" t="s">
        <v>78</v>
      </c>
      <c r="AM308" s="142" t="s">
        <v>81</v>
      </c>
      <c r="AN308" s="142" t="s">
        <v>81</v>
      </c>
      <c r="AO308" s="142" t="s">
        <v>78</v>
      </c>
      <c r="AP308" s="142" t="s">
        <v>81</v>
      </c>
      <c r="AQ308" s="142">
        <v>1</v>
      </c>
      <c r="AR308" s="142" t="s">
        <v>74</v>
      </c>
    </row>
    <row r="309" spans="1:44" s="143" customFormat="1" ht="25.05" customHeight="1" x14ac:dyDescent="0.3">
      <c r="A309" s="126" t="s">
        <v>1341</v>
      </c>
      <c r="B309" s="125" t="s">
        <v>1342</v>
      </c>
      <c r="C309" s="139">
        <v>2015</v>
      </c>
      <c r="D309" s="145" t="s">
        <v>70</v>
      </c>
      <c r="E309" s="139" t="s">
        <v>78</v>
      </c>
      <c r="F309" s="139" t="s">
        <v>570</v>
      </c>
      <c r="G309" s="139" t="s">
        <v>519</v>
      </c>
      <c r="H309" s="139" t="s">
        <v>599</v>
      </c>
      <c r="I309" s="126" t="s">
        <v>101</v>
      </c>
      <c r="J309" s="126" t="s">
        <v>676</v>
      </c>
      <c r="K309" s="126" t="s">
        <v>81</v>
      </c>
      <c r="L309" s="140" t="s">
        <v>74</v>
      </c>
      <c r="M309" s="140">
        <v>2000000</v>
      </c>
      <c r="N309" s="126">
        <v>2000000</v>
      </c>
      <c r="O309" s="126">
        <v>2897620</v>
      </c>
      <c r="P309" s="126">
        <v>2000000</v>
      </c>
      <c r="Q309" s="126">
        <v>2000000</v>
      </c>
      <c r="R309" s="126">
        <v>2897620</v>
      </c>
      <c r="S309" s="126">
        <v>2000000</v>
      </c>
      <c r="T309" s="126">
        <v>2000000</v>
      </c>
      <c r="U309" s="127">
        <v>2897620</v>
      </c>
      <c r="V309" s="140" t="s">
        <v>81</v>
      </c>
      <c r="W309" s="126" t="s">
        <v>78</v>
      </c>
      <c r="X309" s="126" t="s">
        <v>81</v>
      </c>
      <c r="Y309" s="126" t="s">
        <v>78</v>
      </c>
      <c r="Z309" s="126" t="s">
        <v>81</v>
      </c>
      <c r="AA309" s="126">
        <v>0</v>
      </c>
      <c r="AB309" s="141" t="s">
        <v>78</v>
      </c>
      <c r="AC309" s="126">
        <v>0</v>
      </c>
      <c r="AD309" s="139" t="s">
        <v>78</v>
      </c>
      <c r="AE309" s="126">
        <v>0</v>
      </c>
      <c r="AF309" s="126" t="s">
        <v>78</v>
      </c>
      <c r="AG309" s="126">
        <v>0</v>
      </c>
      <c r="AH309" s="142" t="s">
        <v>81</v>
      </c>
      <c r="AI309" s="142" t="s">
        <v>78</v>
      </c>
      <c r="AJ309" s="142" t="s">
        <v>81</v>
      </c>
      <c r="AK309" s="142" t="s">
        <v>78</v>
      </c>
      <c r="AL309" s="142" t="s">
        <v>78</v>
      </c>
      <c r="AM309" s="142" t="s">
        <v>81</v>
      </c>
      <c r="AN309" s="142" t="s">
        <v>81</v>
      </c>
      <c r="AO309" s="142" t="s">
        <v>78</v>
      </c>
      <c r="AP309" s="142" t="s">
        <v>81</v>
      </c>
      <c r="AQ309" s="142">
        <v>1</v>
      </c>
      <c r="AR309" s="142" t="s">
        <v>74</v>
      </c>
    </row>
    <row r="310" spans="1:44" s="143" customFormat="1" ht="25.05" customHeight="1" x14ac:dyDescent="0.3">
      <c r="A310" s="126" t="s">
        <v>884</v>
      </c>
      <c r="B310" s="125" t="s">
        <v>885</v>
      </c>
      <c r="C310" s="139">
        <v>2018</v>
      </c>
      <c r="D310" s="139" t="s">
        <v>87</v>
      </c>
      <c r="E310" s="139" t="s">
        <v>886</v>
      </c>
      <c r="F310" s="139" t="s">
        <v>1848</v>
      </c>
      <c r="G310" s="139" t="s">
        <v>87</v>
      </c>
      <c r="H310" s="139" t="s">
        <v>599</v>
      </c>
      <c r="I310" s="126" t="s">
        <v>101</v>
      </c>
      <c r="J310" s="126" t="s">
        <v>676</v>
      </c>
      <c r="K310" s="126" t="s">
        <v>81</v>
      </c>
      <c r="L310" s="140" t="s">
        <v>74</v>
      </c>
      <c r="M310" s="140">
        <v>1000000</v>
      </c>
      <c r="N310" s="126">
        <v>1000000</v>
      </c>
      <c r="O310" s="126">
        <v>1424130</v>
      </c>
      <c r="P310" s="126">
        <v>1000000</v>
      </c>
      <c r="Q310" s="126">
        <v>1000000</v>
      </c>
      <c r="R310" s="126">
        <v>1424130</v>
      </c>
      <c r="S310" s="126">
        <v>1000000</v>
      </c>
      <c r="T310" s="126">
        <v>1000000</v>
      </c>
      <c r="U310" s="127">
        <v>1424130</v>
      </c>
      <c r="V310" s="140" t="s">
        <v>81</v>
      </c>
      <c r="W310" s="126" t="s">
        <v>78</v>
      </c>
      <c r="X310" s="126" t="s">
        <v>81</v>
      </c>
      <c r="Y310" s="126" t="s">
        <v>78</v>
      </c>
      <c r="Z310" s="126" t="s">
        <v>81</v>
      </c>
      <c r="AA310" s="126">
        <v>0</v>
      </c>
      <c r="AB310" s="141" t="s">
        <v>78</v>
      </c>
      <c r="AC310" s="126">
        <v>0</v>
      </c>
      <c r="AD310" s="139" t="s">
        <v>78</v>
      </c>
      <c r="AE310" s="126">
        <v>0</v>
      </c>
      <c r="AF310" s="126" t="s">
        <v>78</v>
      </c>
      <c r="AG310" s="126">
        <v>0</v>
      </c>
      <c r="AH310" s="142" t="s">
        <v>81</v>
      </c>
      <c r="AI310" s="142" t="s">
        <v>78</v>
      </c>
      <c r="AJ310" s="142" t="s">
        <v>81</v>
      </c>
      <c r="AK310" s="142" t="s">
        <v>78</v>
      </c>
      <c r="AL310" s="142" t="s">
        <v>78</v>
      </c>
      <c r="AM310" s="142" t="s">
        <v>81</v>
      </c>
      <c r="AN310" s="142" t="s">
        <v>81</v>
      </c>
      <c r="AO310" s="142" t="s">
        <v>78</v>
      </c>
      <c r="AP310" s="142" t="s">
        <v>81</v>
      </c>
      <c r="AQ310" s="142">
        <v>1</v>
      </c>
      <c r="AR310" s="142" t="s">
        <v>74</v>
      </c>
    </row>
    <row r="311" spans="1:44" s="143" customFormat="1" ht="25.05" customHeight="1" x14ac:dyDescent="0.3">
      <c r="A311" s="126" t="s">
        <v>1455</v>
      </c>
      <c r="B311" s="126" t="s">
        <v>1456</v>
      </c>
      <c r="C311" s="139">
        <v>2019</v>
      </c>
      <c r="D311" s="139" t="s">
        <v>87</v>
      </c>
      <c r="E311" s="139" t="s">
        <v>1457</v>
      </c>
      <c r="F311" s="139" t="s">
        <v>1848</v>
      </c>
      <c r="G311" s="139" t="s">
        <v>87</v>
      </c>
      <c r="H311" s="139" t="s">
        <v>589</v>
      </c>
      <c r="I311" s="126" t="s">
        <v>256</v>
      </c>
      <c r="J311" s="126" t="s">
        <v>679</v>
      </c>
      <c r="K311" s="126" t="s">
        <v>75</v>
      </c>
      <c r="L311" s="126" t="s">
        <v>126</v>
      </c>
      <c r="M311" s="126">
        <v>17423316</v>
      </c>
      <c r="N311" s="126">
        <v>12527639.686796714</v>
      </c>
      <c r="O311" s="126">
        <v>17423316</v>
      </c>
      <c r="P311" s="126">
        <v>4664259.4000000004</v>
      </c>
      <c r="Q311" s="126">
        <v>4664259.4000000004</v>
      </c>
      <c r="R311" s="126">
        <v>6487005.3309260001</v>
      </c>
      <c r="S311" s="126">
        <v>0</v>
      </c>
      <c r="T311" s="126">
        <v>0</v>
      </c>
      <c r="U311" s="127">
        <v>0</v>
      </c>
      <c r="V311" s="126" t="s">
        <v>75</v>
      </c>
      <c r="W311" s="126" t="s">
        <v>1458</v>
      </c>
      <c r="X311" s="126" t="s">
        <v>75</v>
      </c>
      <c r="Y311" s="126" t="s">
        <v>1459</v>
      </c>
      <c r="Z311" s="126" t="s">
        <v>81</v>
      </c>
      <c r="AA311" s="126">
        <v>0</v>
      </c>
      <c r="AB311" s="141" t="s">
        <v>78</v>
      </c>
      <c r="AC311" s="126">
        <v>0</v>
      </c>
      <c r="AD311" s="139" t="s">
        <v>78</v>
      </c>
      <c r="AE311" s="126">
        <v>0</v>
      </c>
      <c r="AF311" s="126" t="s">
        <v>78</v>
      </c>
      <c r="AG311" s="126">
        <v>0</v>
      </c>
      <c r="AH311" s="142" t="s">
        <v>81</v>
      </c>
      <c r="AI311" s="142" t="s">
        <v>78</v>
      </c>
      <c r="AJ311" s="142" t="s">
        <v>81</v>
      </c>
      <c r="AK311" s="142" t="s">
        <v>1423</v>
      </c>
      <c r="AL311" s="142" t="s">
        <v>121</v>
      </c>
      <c r="AM311" s="142" t="s">
        <v>81</v>
      </c>
      <c r="AN311" s="142" t="s">
        <v>81</v>
      </c>
      <c r="AO311" s="142" t="s">
        <v>78</v>
      </c>
      <c r="AP311" s="142" t="s">
        <v>81</v>
      </c>
      <c r="AQ311" s="142">
        <v>1</v>
      </c>
      <c r="AR311" s="142" t="s">
        <v>126</v>
      </c>
    </row>
    <row r="312" spans="1:44" s="143" customFormat="1" ht="25.05" customHeight="1" x14ac:dyDescent="0.3">
      <c r="A312" s="126" t="s">
        <v>1026</v>
      </c>
      <c r="B312" s="125" t="s">
        <v>1027</v>
      </c>
      <c r="C312" s="139">
        <v>2017</v>
      </c>
      <c r="D312" s="139" t="s">
        <v>184</v>
      </c>
      <c r="E312" s="139" t="s">
        <v>78</v>
      </c>
      <c r="F312" s="139" t="s">
        <v>554</v>
      </c>
      <c r="G312" s="139" t="s">
        <v>520</v>
      </c>
      <c r="H312" s="139" t="s">
        <v>599</v>
      </c>
      <c r="I312" s="126" t="s">
        <v>101</v>
      </c>
      <c r="J312" s="126" t="s">
        <v>689</v>
      </c>
      <c r="K312" s="126" t="s">
        <v>81</v>
      </c>
      <c r="L312" s="140" t="s">
        <v>74</v>
      </c>
      <c r="M312" s="140">
        <v>795789.48</v>
      </c>
      <c r="N312" s="126">
        <v>795789.48</v>
      </c>
      <c r="O312" s="126">
        <v>1069803.6716483999</v>
      </c>
      <c r="P312" s="126">
        <v>795789</v>
      </c>
      <c r="Q312" s="126">
        <v>795789</v>
      </c>
      <c r="R312" s="126">
        <v>1069803.0263700001</v>
      </c>
      <c r="S312" s="126">
        <v>795789</v>
      </c>
      <c r="T312" s="126">
        <v>795789</v>
      </c>
      <c r="U312" s="127">
        <v>1069803.0263700001</v>
      </c>
      <c r="V312" s="140" t="s">
        <v>81</v>
      </c>
      <c r="W312" s="126" t="s">
        <v>78</v>
      </c>
      <c r="X312" s="126" t="s">
        <v>81</v>
      </c>
      <c r="Y312" s="126" t="s">
        <v>78</v>
      </c>
      <c r="Z312" s="126" t="s">
        <v>81</v>
      </c>
      <c r="AA312" s="126">
        <v>0</v>
      </c>
      <c r="AB312" s="141" t="s">
        <v>78</v>
      </c>
      <c r="AC312" s="126">
        <v>0</v>
      </c>
      <c r="AD312" s="139" t="s">
        <v>78</v>
      </c>
      <c r="AE312" s="144">
        <v>0</v>
      </c>
      <c r="AF312" s="126" t="s">
        <v>78</v>
      </c>
      <c r="AG312" s="126">
        <v>0</v>
      </c>
      <c r="AH312" s="142" t="s">
        <v>81</v>
      </c>
      <c r="AI312" s="142" t="s">
        <v>78</v>
      </c>
      <c r="AJ312" s="142" t="s">
        <v>81</v>
      </c>
      <c r="AK312" s="142" t="s">
        <v>78</v>
      </c>
      <c r="AL312" s="142" t="s">
        <v>78</v>
      </c>
      <c r="AM312" s="142" t="s">
        <v>81</v>
      </c>
      <c r="AN312" s="142" t="s">
        <v>81</v>
      </c>
      <c r="AO312" s="142" t="s">
        <v>78</v>
      </c>
      <c r="AP312" s="142" t="s">
        <v>81</v>
      </c>
      <c r="AQ312" s="142">
        <v>1</v>
      </c>
      <c r="AR312" s="142" t="s">
        <v>74</v>
      </c>
    </row>
    <row r="313" spans="1:44" s="143" customFormat="1" ht="25.05" customHeight="1" x14ac:dyDescent="0.3">
      <c r="A313" s="126" t="s">
        <v>394</v>
      </c>
      <c r="B313" s="126" t="s">
        <v>395</v>
      </c>
      <c r="C313" s="139">
        <v>2021</v>
      </c>
      <c r="D313" s="139" t="s">
        <v>396</v>
      </c>
      <c r="E313" s="139">
        <v>0</v>
      </c>
      <c r="F313" s="139" t="s">
        <v>545</v>
      </c>
      <c r="G313" s="139" t="s">
        <v>519</v>
      </c>
      <c r="H313" s="139" t="s">
        <v>368</v>
      </c>
      <c r="I313" s="126" t="s">
        <v>101</v>
      </c>
      <c r="J313" s="126" t="s">
        <v>73</v>
      </c>
      <c r="K313" s="126" t="s">
        <v>81</v>
      </c>
      <c r="L313" s="126" t="s">
        <v>74</v>
      </c>
      <c r="M313" s="126">
        <v>3530000</v>
      </c>
      <c r="N313" s="126">
        <v>3530000</v>
      </c>
      <c r="O313" s="126">
        <v>5084153.0999999996</v>
      </c>
      <c r="P313" s="126" t="s">
        <v>659</v>
      </c>
      <c r="Q313" s="126" t="s">
        <v>659</v>
      </c>
      <c r="R313" s="126" t="s">
        <v>659</v>
      </c>
      <c r="S313" s="126">
        <v>3000000</v>
      </c>
      <c r="T313" s="126">
        <v>3000000</v>
      </c>
      <c r="U313" s="127">
        <v>4320810</v>
      </c>
      <c r="V313" s="126" t="s">
        <v>81</v>
      </c>
      <c r="W313" s="126">
        <v>0</v>
      </c>
      <c r="X313" s="126" t="s">
        <v>81</v>
      </c>
      <c r="Y313" s="126">
        <v>0</v>
      </c>
      <c r="Z313" s="126" t="s">
        <v>81</v>
      </c>
      <c r="AA313" s="126">
        <v>0</v>
      </c>
      <c r="AB313" s="141">
        <v>0</v>
      </c>
      <c r="AC313" s="126">
        <v>0</v>
      </c>
      <c r="AD313" s="139">
        <v>0</v>
      </c>
      <c r="AE313" s="126">
        <v>0</v>
      </c>
      <c r="AF313" s="126">
        <v>0</v>
      </c>
      <c r="AG313" s="126">
        <v>0</v>
      </c>
      <c r="AH313" s="142" t="s">
        <v>81</v>
      </c>
      <c r="AI313" s="142">
        <v>0</v>
      </c>
      <c r="AJ313" s="142" t="s">
        <v>81</v>
      </c>
      <c r="AK313" s="142">
        <v>0</v>
      </c>
      <c r="AL313" s="142" t="s">
        <v>397</v>
      </c>
      <c r="AM313" s="142" t="s">
        <v>75</v>
      </c>
      <c r="AN313" s="142" t="s">
        <v>81</v>
      </c>
      <c r="AO313" s="142" t="s">
        <v>84</v>
      </c>
      <c r="AP313" s="142" t="s">
        <v>81</v>
      </c>
      <c r="AQ313" s="142">
        <v>1</v>
      </c>
      <c r="AR313" s="142" t="s">
        <v>74</v>
      </c>
    </row>
    <row r="314" spans="1:44" s="143" customFormat="1" ht="25.05" customHeight="1" x14ac:dyDescent="0.3">
      <c r="A314" s="126" t="s">
        <v>1015</v>
      </c>
      <c r="B314" s="125" t="s">
        <v>1016</v>
      </c>
      <c r="C314" s="139">
        <v>2017</v>
      </c>
      <c r="D314" s="139" t="s">
        <v>513</v>
      </c>
      <c r="E314" s="139" t="s">
        <v>78</v>
      </c>
      <c r="F314" s="139" t="s">
        <v>539</v>
      </c>
      <c r="G314" s="139" t="s">
        <v>520</v>
      </c>
      <c r="H314" s="139" t="s">
        <v>587</v>
      </c>
      <c r="I314" s="126" t="s">
        <v>256</v>
      </c>
      <c r="J314" s="126" t="s">
        <v>679</v>
      </c>
      <c r="K314" s="126" t="s">
        <v>75</v>
      </c>
      <c r="L314" s="140" t="s">
        <v>74</v>
      </c>
      <c r="M314" s="140">
        <v>398276.26</v>
      </c>
      <c r="N314" s="126">
        <v>398276.26</v>
      </c>
      <c r="O314" s="126">
        <v>535414.7246058</v>
      </c>
      <c r="P314" s="126">
        <v>410104.99</v>
      </c>
      <c r="Q314" s="126">
        <v>410104.99</v>
      </c>
      <c r="R314" s="126">
        <v>551316.44120670005</v>
      </c>
      <c r="S314" s="126">
        <v>0</v>
      </c>
      <c r="T314" s="126">
        <v>0</v>
      </c>
      <c r="U314" s="127">
        <v>0</v>
      </c>
      <c r="V314" s="140" t="s">
        <v>75</v>
      </c>
      <c r="W314" s="126" t="s">
        <v>1017</v>
      </c>
      <c r="X314" s="126" t="s">
        <v>81</v>
      </c>
      <c r="Y314" s="126" t="s">
        <v>78</v>
      </c>
      <c r="Z314" s="126" t="s">
        <v>81</v>
      </c>
      <c r="AA314" s="126">
        <v>0</v>
      </c>
      <c r="AB314" s="141" t="s">
        <v>78</v>
      </c>
      <c r="AC314" s="126">
        <v>0</v>
      </c>
      <c r="AD314" s="139" t="s">
        <v>78</v>
      </c>
      <c r="AE314" s="126">
        <v>0</v>
      </c>
      <c r="AF314" s="126" t="s">
        <v>78</v>
      </c>
      <c r="AG314" s="126">
        <v>0</v>
      </c>
      <c r="AH314" s="142" t="s">
        <v>75</v>
      </c>
      <c r="AI314" s="142">
        <v>0</v>
      </c>
      <c r="AJ314" s="142" t="s">
        <v>75</v>
      </c>
      <c r="AK314" s="142" t="s">
        <v>466</v>
      </c>
      <c r="AL314" s="142" t="s">
        <v>78</v>
      </c>
      <c r="AM314" s="142" t="s">
        <v>81</v>
      </c>
      <c r="AN314" s="142" t="s">
        <v>81</v>
      </c>
      <c r="AO314" s="142" t="s">
        <v>78</v>
      </c>
      <c r="AP314" s="142" t="s">
        <v>81</v>
      </c>
      <c r="AQ314" s="142">
        <v>1</v>
      </c>
      <c r="AR314" s="142" t="s">
        <v>74</v>
      </c>
    </row>
    <row r="315" spans="1:44" s="143" customFormat="1" ht="25.05" customHeight="1" x14ac:dyDescent="0.3">
      <c r="A315" s="126" t="s">
        <v>917</v>
      </c>
      <c r="B315" s="125" t="s">
        <v>918</v>
      </c>
      <c r="C315" s="139">
        <v>2017</v>
      </c>
      <c r="D315" s="139" t="s">
        <v>514</v>
      </c>
      <c r="E315" s="139" t="s">
        <v>78</v>
      </c>
      <c r="F315" s="139" t="s">
        <v>567</v>
      </c>
      <c r="G315" s="139" t="s">
        <v>522</v>
      </c>
      <c r="H315" s="139" t="s">
        <v>587</v>
      </c>
      <c r="I315" s="126" t="s">
        <v>256</v>
      </c>
      <c r="J315" s="126" t="s">
        <v>676</v>
      </c>
      <c r="K315" s="126" t="s">
        <v>81</v>
      </c>
      <c r="L315" s="140" t="s">
        <v>74</v>
      </c>
      <c r="M315" s="140">
        <v>19000000</v>
      </c>
      <c r="N315" s="126">
        <v>19000000</v>
      </c>
      <c r="O315" s="126">
        <v>25542270</v>
      </c>
      <c r="P315" s="126">
        <v>19000000</v>
      </c>
      <c r="Q315" s="126">
        <v>19000000</v>
      </c>
      <c r="R315" s="126">
        <v>25542270</v>
      </c>
      <c r="S315" s="126">
        <v>19000000</v>
      </c>
      <c r="T315" s="126">
        <v>19000000</v>
      </c>
      <c r="U315" s="127">
        <v>25542270</v>
      </c>
      <c r="V315" s="140" t="s">
        <v>81</v>
      </c>
      <c r="W315" s="126" t="s">
        <v>78</v>
      </c>
      <c r="X315" s="126" t="s">
        <v>81</v>
      </c>
      <c r="Y315" s="126" t="s">
        <v>78</v>
      </c>
      <c r="Z315" s="126" t="s">
        <v>81</v>
      </c>
      <c r="AA315" s="126">
        <v>0</v>
      </c>
      <c r="AB315" s="141" t="s">
        <v>78</v>
      </c>
      <c r="AC315" s="126">
        <v>0</v>
      </c>
      <c r="AD315" s="139" t="s">
        <v>78</v>
      </c>
      <c r="AE315" s="126">
        <v>0</v>
      </c>
      <c r="AF315" s="126" t="s">
        <v>78</v>
      </c>
      <c r="AG315" s="126">
        <v>0</v>
      </c>
      <c r="AH315" s="142" t="s">
        <v>81</v>
      </c>
      <c r="AI315" s="142" t="s">
        <v>78</v>
      </c>
      <c r="AJ315" s="142" t="s">
        <v>81</v>
      </c>
      <c r="AK315" s="142" t="s">
        <v>78</v>
      </c>
      <c r="AL315" s="142" t="s">
        <v>78</v>
      </c>
      <c r="AM315" s="142" t="s">
        <v>81</v>
      </c>
      <c r="AN315" s="142" t="s">
        <v>81</v>
      </c>
      <c r="AO315" s="142" t="s">
        <v>78</v>
      </c>
      <c r="AP315" s="142" t="s">
        <v>81</v>
      </c>
      <c r="AQ315" s="142">
        <v>1</v>
      </c>
      <c r="AR315" s="142" t="s">
        <v>74</v>
      </c>
    </row>
    <row r="316" spans="1:44" s="143" customFormat="1" ht="25.05" customHeight="1" x14ac:dyDescent="0.3">
      <c r="A316" s="126" t="s">
        <v>1291</v>
      </c>
      <c r="B316" s="125" t="s">
        <v>1292</v>
      </c>
      <c r="C316" s="139">
        <v>2016</v>
      </c>
      <c r="D316" s="139" t="s">
        <v>226</v>
      </c>
      <c r="E316" s="139" t="s">
        <v>78</v>
      </c>
      <c r="F316" s="139" t="s">
        <v>534</v>
      </c>
      <c r="G316" s="139" t="s">
        <v>518</v>
      </c>
      <c r="H316" s="139" t="s">
        <v>115</v>
      </c>
      <c r="I316" s="126" t="s">
        <v>115</v>
      </c>
      <c r="J316" s="126" t="s">
        <v>689</v>
      </c>
      <c r="K316" s="126" t="s">
        <v>81</v>
      </c>
      <c r="L316" s="140" t="s">
        <v>74</v>
      </c>
      <c r="M316" s="140">
        <v>396000</v>
      </c>
      <c r="N316" s="126">
        <v>396000</v>
      </c>
      <c r="O316" s="126">
        <v>548749.07999999996</v>
      </c>
      <c r="P316" s="126">
        <v>396000</v>
      </c>
      <c r="Q316" s="126">
        <v>396000</v>
      </c>
      <c r="R316" s="126">
        <v>548749.07999999996</v>
      </c>
      <c r="S316" s="126">
        <v>396000</v>
      </c>
      <c r="T316" s="126">
        <v>396000</v>
      </c>
      <c r="U316" s="127">
        <v>548749.07999999996</v>
      </c>
      <c r="V316" s="140" t="s">
        <v>81</v>
      </c>
      <c r="W316" s="126" t="s">
        <v>78</v>
      </c>
      <c r="X316" s="126" t="s">
        <v>81</v>
      </c>
      <c r="Y316" s="126" t="s">
        <v>78</v>
      </c>
      <c r="Z316" s="126" t="s">
        <v>81</v>
      </c>
      <c r="AA316" s="126">
        <v>0</v>
      </c>
      <c r="AB316" s="141" t="s">
        <v>78</v>
      </c>
      <c r="AC316" s="126">
        <v>0</v>
      </c>
      <c r="AD316" s="139" t="s">
        <v>78</v>
      </c>
      <c r="AE316" s="126">
        <v>0</v>
      </c>
      <c r="AF316" s="126" t="s">
        <v>78</v>
      </c>
      <c r="AG316" s="126">
        <v>0</v>
      </c>
      <c r="AH316" s="142" t="s">
        <v>81</v>
      </c>
      <c r="AI316" s="142" t="s">
        <v>78</v>
      </c>
      <c r="AJ316" s="142" t="s">
        <v>81</v>
      </c>
      <c r="AK316" s="142" t="s">
        <v>78</v>
      </c>
      <c r="AL316" s="142" t="s">
        <v>78</v>
      </c>
      <c r="AM316" s="142" t="s">
        <v>81</v>
      </c>
      <c r="AN316" s="142" t="s">
        <v>81</v>
      </c>
      <c r="AO316" s="142" t="s">
        <v>78</v>
      </c>
      <c r="AP316" s="142" t="s">
        <v>81</v>
      </c>
      <c r="AQ316" s="142">
        <v>1</v>
      </c>
      <c r="AR316" s="142" t="s">
        <v>74</v>
      </c>
    </row>
    <row r="317" spans="1:44" s="143" customFormat="1" ht="25.05" customHeight="1" x14ac:dyDescent="0.3">
      <c r="A317" s="126" t="s">
        <v>1500</v>
      </c>
      <c r="B317" s="126" t="s">
        <v>1501</v>
      </c>
      <c r="C317" s="139">
        <v>2019</v>
      </c>
      <c r="D317" s="139" t="s">
        <v>495</v>
      </c>
      <c r="E317" s="139" t="s">
        <v>78</v>
      </c>
      <c r="F317" s="139" t="s">
        <v>541</v>
      </c>
      <c r="G317" s="139" t="s">
        <v>521</v>
      </c>
      <c r="H317" s="139" t="s">
        <v>583</v>
      </c>
      <c r="I317" s="126" t="s">
        <v>228</v>
      </c>
      <c r="J317" s="126" t="s">
        <v>679</v>
      </c>
      <c r="K317" s="126" t="s">
        <v>81</v>
      </c>
      <c r="L317" s="126" t="s">
        <v>74</v>
      </c>
      <c r="M317" s="126">
        <v>56625000</v>
      </c>
      <c r="N317" s="126">
        <v>56625000</v>
      </c>
      <c r="O317" s="126">
        <v>78753483.75</v>
      </c>
      <c r="P317" s="126">
        <v>45445839</v>
      </c>
      <c r="Q317" s="126">
        <v>45445839</v>
      </c>
      <c r="R317" s="126">
        <v>63205618.422809996</v>
      </c>
      <c r="S317" s="126">
        <v>45445839</v>
      </c>
      <c r="T317" s="126">
        <v>45445839</v>
      </c>
      <c r="U317" s="127">
        <v>63205618.422809996</v>
      </c>
      <c r="V317" s="126" t="s">
        <v>75</v>
      </c>
      <c r="W317" s="126" t="s">
        <v>1502</v>
      </c>
      <c r="X317" s="126" t="s">
        <v>75</v>
      </c>
      <c r="Y317" s="126" t="s">
        <v>1503</v>
      </c>
      <c r="Z317" s="126" t="s">
        <v>75</v>
      </c>
      <c r="AA317" s="126">
        <v>999</v>
      </c>
      <c r="AB317" s="141" t="s">
        <v>1504</v>
      </c>
      <c r="AC317" s="126">
        <v>999</v>
      </c>
      <c r="AD317" s="139" t="s">
        <v>1505</v>
      </c>
      <c r="AE317" s="126">
        <v>999</v>
      </c>
      <c r="AF317" s="126" t="s">
        <v>1506</v>
      </c>
      <c r="AG317" s="126">
        <v>5</v>
      </c>
      <c r="AH317" s="142" t="s">
        <v>75</v>
      </c>
      <c r="AI317" s="142" t="s">
        <v>1084</v>
      </c>
      <c r="AJ317" s="142" t="s">
        <v>75</v>
      </c>
      <c r="AK317" s="142" t="s">
        <v>1507</v>
      </c>
      <c r="AL317" s="142" t="s">
        <v>121</v>
      </c>
      <c r="AM317" s="142" t="s">
        <v>75</v>
      </c>
      <c r="AN317" s="142" t="s">
        <v>75</v>
      </c>
      <c r="AO317" s="142" t="s">
        <v>78</v>
      </c>
      <c r="AP317" s="142" t="s">
        <v>75</v>
      </c>
      <c r="AQ317" s="142">
        <v>1</v>
      </c>
      <c r="AR317" s="142" t="s">
        <v>74</v>
      </c>
    </row>
    <row r="318" spans="1:44" s="143" customFormat="1" ht="25.05" customHeight="1" x14ac:dyDescent="0.3">
      <c r="A318" s="126" t="s">
        <v>111</v>
      </c>
      <c r="B318" s="126" t="s">
        <v>112</v>
      </c>
      <c r="C318" s="139">
        <v>2020</v>
      </c>
      <c r="D318" s="139" t="s">
        <v>113</v>
      </c>
      <c r="E318" s="139">
        <v>0</v>
      </c>
      <c r="F318" s="139" t="s">
        <v>565</v>
      </c>
      <c r="G318" s="139" t="s">
        <v>518</v>
      </c>
      <c r="H318" s="139" t="s">
        <v>114</v>
      </c>
      <c r="I318" s="126" t="s">
        <v>115</v>
      </c>
      <c r="J318" s="126" t="s">
        <v>116</v>
      </c>
      <c r="K318" s="126" t="s">
        <v>81</v>
      </c>
      <c r="L318" s="126" t="s">
        <v>104</v>
      </c>
      <c r="M318" s="126">
        <v>180000000</v>
      </c>
      <c r="N318" s="126">
        <v>145645208.27264783</v>
      </c>
      <c r="O318" s="126">
        <v>201402563.35566559</v>
      </c>
      <c r="P318" s="126" t="s">
        <v>659</v>
      </c>
      <c r="Q318" s="126" t="s">
        <v>659</v>
      </c>
      <c r="R318" s="126" t="s">
        <v>659</v>
      </c>
      <c r="S318" s="126">
        <v>180000000</v>
      </c>
      <c r="T318" s="126">
        <v>145645208.27264783</v>
      </c>
      <c r="U318" s="127">
        <v>201402563.35566559</v>
      </c>
      <c r="V318" s="126" t="s">
        <v>75</v>
      </c>
      <c r="W318" s="126" t="s">
        <v>117</v>
      </c>
      <c r="X318" s="126" t="s">
        <v>75</v>
      </c>
      <c r="Y318" s="126" t="s">
        <v>118</v>
      </c>
      <c r="Z318" s="126" t="s">
        <v>75</v>
      </c>
      <c r="AA318" s="126">
        <v>0</v>
      </c>
      <c r="AB318" s="141" t="s">
        <v>78</v>
      </c>
      <c r="AC318" s="126">
        <v>0</v>
      </c>
      <c r="AD318" s="139" t="s">
        <v>78</v>
      </c>
      <c r="AE318" s="126">
        <v>1</v>
      </c>
      <c r="AF318" s="126" t="s">
        <v>119</v>
      </c>
      <c r="AG318" s="126">
        <v>1</v>
      </c>
      <c r="AH318" s="142" t="s">
        <v>81</v>
      </c>
      <c r="AI318" s="142">
        <v>0</v>
      </c>
      <c r="AJ318" s="142" t="s">
        <v>75</v>
      </c>
      <c r="AK318" s="142" t="s">
        <v>120</v>
      </c>
      <c r="AL318" s="142" t="s">
        <v>121</v>
      </c>
      <c r="AM318" s="142" t="s">
        <v>75</v>
      </c>
      <c r="AN318" s="142" t="s">
        <v>75</v>
      </c>
      <c r="AO318" s="142" t="s">
        <v>84</v>
      </c>
      <c r="AP318" s="142" t="s">
        <v>81</v>
      </c>
      <c r="AQ318" s="142">
        <v>1</v>
      </c>
      <c r="AR318" s="142" t="s">
        <v>104</v>
      </c>
    </row>
    <row r="319" spans="1:44" s="143" customFormat="1" ht="25.05" customHeight="1" x14ac:dyDescent="0.3">
      <c r="A319" s="126" t="s">
        <v>287</v>
      </c>
      <c r="B319" s="126" t="s">
        <v>288</v>
      </c>
      <c r="C319" s="139">
        <v>2020</v>
      </c>
      <c r="D319" s="139" t="s">
        <v>289</v>
      </c>
      <c r="E319" s="139">
        <v>0</v>
      </c>
      <c r="F319" s="139" t="s">
        <v>492</v>
      </c>
      <c r="G319" s="139" t="s">
        <v>521</v>
      </c>
      <c r="H319" s="139" t="s">
        <v>216</v>
      </c>
      <c r="I319" s="126" t="s">
        <v>101</v>
      </c>
      <c r="J319" s="126" t="s">
        <v>290</v>
      </c>
      <c r="K319" s="126" t="s">
        <v>81</v>
      </c>
      <c r="L319" s="126" t="s">
        <v>104</v>
      </c>
      <c r="M319" s="126">
        <v>570210000</v>
      </c>
      <c r="N319" s="126">
        <v>461379745.6063695</v>
      </c>
      <c r="O319" s="126">
        <v>638009753.61685598</v>
      </c>
      <c r="P319" s="126" t="s">
        <v>659</v>
      </c>
      <c r="Q319" s="126" t="s">
        <v>659</v>
      </c>
      <c r="R319" s="126" t="s">
        <v>659</v>
      </c>
      <c r="S319" s="126">
        <v>100000000</v>
      </c>
      <c r="T319" s="126">
        <v>80914004.595915452</v>
      </c>
      <c r="U319" s="127">
        <v>111890312.97536977</v>
      </c>
      <c r="V319" s="126" t="s">
        <v>75</v>
      </c>
      <c r="W319" s="126" t="s">
        <v>291</v>
      </c>
      <c r="X319" s="126" t="s">
        <v>81</v>
      </c>
      <c r="Y319" s="126">
        <v>0</v>
      </c>
      <c r="Z319" s="126" t="s">
        <v>75</v>
      </c>
      <c r="AA319" s="126">
        <v>0</v>
      </c>
      <c r="AB319" s="141" t="s">
        <v>78</v>
      </c>
      <c r="AC319" s="126">
        <v>1</v>
      </c>
      <c r="AD319" s="139" t="s">
        <v>292</v>
      </c>
      <c r="AE319" s="126">
        <v>2</v>
      </c>
      <c r="AF319" s="126" t="s">
        <v>293</v>
      </c>
      <c r="AG319" s="126">
        <v>3</v>
      </c>
      <c r="AH319" s="142" t="s">
        <v>81</v>
      </c>
      <c r="AI319" s="142">
        <v>0</v>
      </c>
      <c r="AJ319" s="142" t="s">
        <v>75</v>
      </c>
      <c r="AK319" s="142" t="s">
        <v>294</v>
      </c>
      <c r="AL319" s="142" t="s">
        <v>132</v>
      </c>
      <c r="AM319" s="142" t="s">
        <v>75</v>
      </c>
      <c r="AN319" s="142" t="s">
        <v>81</v>
      </c>
      <c r="AO319" s="142" t="s">
        <v>84</v>
      </c>
      <c r="AP319" s="142" t="s">
        <v>81</v>
      </c>
      <c r="AQ319" s="142">
        <v>1</v>
      </c>
      <c r="AR319" s="142" t="s">
        <v>104</v>
      </c>
    </row>
    <row r="320" spans="1:44" s="143" customFormat="1" ht="25.05" customHeight="1" x14ac:dyDescent="0.3">
      <c r="A320" s="126" t="s">
        <v>1439</v>
      </c>
      <c r="B320" s="126" t="s">
        <v>1440</v>
      </c>
      <c r="C320" s="139">
        <v>2019</v>
      </c>
      <c r="D320" s="139" t="s">
        <v>289</v>
      </c>
      <c r="E320" s="139" t="s">
        <v>78</v>
      </c>
      <c r="F320" s="139" t="s">
        <v>492</v>
      </c>
      <c r="G320" s="139" t="s">
        <v>521</v>
      </c>
      <c r="H320" s="139" t="s">
        <v>115</v>
      </c>
      <c r="I320" s="126" t="s">
        <v>115</v>
      </c>
      <c r="J320" s="126" t="s">
        <v>679</v>
      </c>
      <c r="K320" s="126" t="s">
        <v>81</v>
      </c>
      <c r="L320" s="126" t="s">
        <v>126</v>
      </c>
      <c r="M320" s="126">
        <v>115360000</v>
      </c>
      <c r="N320" s="126">
        <v>82945663.975150809</v>
      </c>
      <c r="O320" s="126">
        <v>115359999.99999999</v>
      </c>
      <c r="P320" s="126">
        <v>60000000</v>
      </c>
      <c r="Q320" s="126">
        <v>60000000</v>
      </c>
      <c r="R320" s="126">
        <v>83447400</v>
      </c>
      <c r="S320" s="126">
        <v>60000000</v>
      </c>
      <c r="T320" s="126">
        <v>60000000</v>
      </c>
      <c r="U320" s="127">
        <v>83447400</v>
      </c>
      <c r="V320" s="126" t="s">
        <v>75</v>
      </c>
      <c r="W320" s="126" t="s">
        <v>1441</v>
      </c>
      <c r="X320" s="126" t="s">
        <v>75</v>
      </c>
      <c r="Y320" s="126" t="s">
        <v>1442</v>
      </c>
      <c r="Z320" s="126" t="s">
        <v>75</v>
      </c>
      <c r="AA320" s="126">
        <v>999</v>
      </c>
      <c r="AB320" s="141" t="s">
        <v>1443</v>
      </c>
      <c r="AC320" s="126">
        <v>999</v>
      </c>
      <c r="AD320" s="139" t="s">
        <v>1444</v>
      </c>
      <c r="AE320" s="126">
        <v>0</v>
      </c>
      <c r="AF320" s="126" t="s">
        <v>78</v>
      </c>
      <c r="AG320" s="126">
        <v>3</v>
      </c>
      <c r="AH320" s="142" t="s">
        <v>81</v>
      </c>
      <c r="AI320" s="142" t="s">
        <v>78</v>
      </c>
      <c r="AJ320" s="142" t="s">
        <v>75</v>
      </c>
      <c r="AK320" s="142" t="s">
        <v>1445</v>
      </c>
      <c r="AL320" s="142" t="s">
        <v>1446</v>
      </c>
      <c r="AM320" s="142" t="s">
        <v>75</v>
      </c>
      <c r="AN320" s="142" t="s">
        <v>75</v>
      </c>
      <c r="AO320" s="142" t="s">
        <v>78</v>
      </c>
      <c r="AP320" s="142" t="s">
        <v>75</v>
      </c>
      <c r="AQ320" s="142">
        <v>1</v>
      </c>
      <c r="AR320" s="142" t="s">
        <v>126</v>
      </c>
    </row>
    <row r="321" spans="1:44" s="143" customFormat="1" ht="25.05" customHeight="1" x14ac:dyDescent="0.3">
      <c r="A321" s="126" t="s">
        <v>1580</v>
      </c>
      <c r="B321" s="126" t="s">
        <v>1581</v>
      </c>
      <c r="C321" s="139">
        <v>2019</v>
      </c>
      <c r="D321" s="139" t="s">
        <v>482</v>
      </c>
      <c r="E321" s="139" t="s">
        <v>78</v>
      </c>
      <c r="F321" s="139" t="s">
        <v>527</v>
      </c>
      <c r="G321" s="139" t="s">
        <v>520</v>
      </c>
      <c r="H321" s="139" t="s">
        <v>592</v>
      </c>
      <c r="I321" s="126" t="s">
        <v>256</v>
      </c>
      <c r="J321" s="126" t="s">
        <v>679</v>
      </c>
      <c r="K321" s="126" t="s">
        <v>81</v>
      </c>
      <c r="L321" s="126" t="s">
        <v>104</v>
      </c>
      <c r="M321" s="126">
        <v>50000000</v>
      </c>
      <c r="N321" s="126">
        <v>41178020.819607325</v>
      </c>
      <c r="O321" s="126">
        <v>57269979.575701669</v>
      </c>
      <c r="P321" s="126">
        <v>49109191.469999999</v>
      </c>
      <c r="Q321" s="126">
        <v>49109191.469999999</v>
      </c>
      <c r="R321" s="126">
        <v>68300572.404561296</v>
      </c>
      <c r="S321" s="126">
        <v>49109191.469999999</v>
      </c>
      <c r="T321" s="126">
        <v>49109191.469999999</v>
      </c>
      <c r="U321" s="127">
        <v>68300572.404561296</v>
      </c>
      <c r="V321" s="126" t="s">
        <v>75</v>
      </c>
      <c r="W321" s="126" t="s">
        <v>1582</v>
      </c>
      <c r="X321" s="126" t="s">
        <v>75</v>
      </c>
      <c r="Y321" s="126" t="s">
        <v>1583</v>
      </c>
      <c r="Z321" s="126" t="s">
        <v>75</v>
      </c>
      <c r="AA321" s="126">
        <v>0</v>
      </c>
      <c r="AB321" s="141" t="s">
        <v>78</v>
      </c>
      <c r="AC321" s="126">
        <v>0</v>
      </c>
      <c r="AD321" s="139" t="s">
        <v>78</v>
      </c>
      <c r="AE321" s="126">
        <v>999</v>
      </c>
      <c r="AF321" s="126" t="s">
        <v>1584</v>
      </c>
      <c r="AG321" s="126">
        <v>1</v>
      </c>
      <c r="AH321" s="142" t="s">
        <v>81</v>
      </c>
      <c r="AI321" s="142" t="s">
        <v>78</v>
      </c>
      <c r="AJ321" s="142" t="s">
        <v>75</v>
      </c>
      <c r="AK321" s="142" t="s">
        <v>1585</v>
      </c>
      <c r="AL321" s="142" t="s">
        <v>121</v>
      </c>
      <c r="AM321" s="142" t="s">
        <v>75</v>
      </c>
      <c r="AN321" s="142" t="s">
        <v>75</v>
      </c>
      <c r="AO321" s="142" t="s">
        <v>78</v>
      </c>
      <c r="AP321" s="142" t="s">
        <v>81</v>
      </c>
      <c r="AQ321" s="142">
        <v>1</v>
      </c>
      <c r="AR321" s="142" t="s">
        <v>104</v>
      </c>
    </row>
    <row r="322" spans="1:44" s="143" customFormat="1" ht="25.05" customHeight="1" x14ac:dyDescent="0.3">
      <c r="A322" s="126" t="s">
        <v>85</v>
      </c>
      <c r="B322" s="126" t="s">
        <v>86</v>
      </c>
      <c r="C322" s="139">
        <v>2020</v>
      </c>
      <c r="D322" s="139" t="s">
        <v>87</v>
      </c>
      <c r="E322" s="139" t="s">
        <v>88</v>
      </c>
      <c r="F322" s="139" t="s">
        <v>1848</v>
      </c>
      <c r="G322" s="139" t="s">
        <v>87</v>
      </c>
      <c r="H322" s="139" t="s">
        <v>89</v>
      </c>
      <c r="I322" s="126" t="s">
        <v>72</v>
      </c>
      <c r="J322" s="126" t="s">
        <v>90</v>
      </c>
      <c r="K322" s="126" t="s">
        <v>81</v>
      </c>
      <c r="L322" s="126" t="s">
        <v>74</v>
      </c>
      <c r="M322" s="126">
        <v>16000000</v>
      </c>
      <c r="N322" s="126">
        <v>16000000</v>
      </c>
      <c r="O322" s="126">
        <v>22125280</v>
      </c>
      <c r="P322" s="126" t="s">
        <v>659</v>
      </c>
      <c r="Q322" s="126" t="s">
        <v>659</v>
      </c>
      <c r="R322" s="126" t="s">
        <v>659</v>
      </c>
      <c r="S322" s="126">
        <v>15000000</v>
      </c>
      <c r="T322" s="126">
        <v>15000000</v>
      </c>
      <c r="U322" s="127">
        <v>20742450</v>
      </c>
      <c r="V322" s="126" t="s">
        <v>75</v>
      </c>
      <c r="W322" s="126" t="s">
        <v>91</v>
      </c>
      <c r="X322" s="126" t="s">
        <v>75</v>
      </c>
      <c r="Y322" s="126" t="s">
        <v>92</v>
      </c>
      <c r="Z322" s="126" t="s">
        <v>75</v>
      </c>
      <c r="AA322" s="126">
        <v>0</v>
      </c>
      <c r="AB322" s="141" t="s">
        <v>78</v>
      </c>
      <c r="AC322" s="126">
        <v>1</v>
      </c>
      <c r="AD322" s="139" t="s">
        <v>93</v>
      </c>
      <c r="AE322" s="126">
        <v>4</v>
      </c>
      <c r="AF322" s="126" t="s">
        <v>94</v>
      </c>
      <c r="AG322" s="126">
        <v>5</v>
      </c>
      <c r="AH322" s="142" t="s">
        <v>75</v>
      </c>
      <c r="AI322" s="142" t="s">
        <v>95</v>
      </c>
      <c r="AJ322" s="142" t="s">
        <v>75</v>
      </c>
      <c r="AK322" s="142" t="s">
        <v>96</v>
      </c>
      <c r="AL322" s="142" t="s">
        <v>83</v>
      </c>
      <c r="AM322" s="142" t="s">
        <v>75</v>
      </c>
      <c r="AN322" s="142" t="s">
        <v>81</v>
      </c>
      <c r="AO322" s="142" t="s">
        <v>84</v>
      </c>
      <c r="AP322" s="142" t="s">
        <v>75</v>
      </c>
      <c r="AQ322" s="142">
        <v>1</v>
      </c>
      <c r="AR322" s="142" t="s">
        <v>74</v>
      </c>
    </row>
    <row r="323" spans="1:44" s="143" customFormat="1" ht="25.05" customHeight="1" x14ac:dyDescent="0.3">
      <c r="A323" s="126" t="s">
        <v>1655</v>
      </c>
      <c r="B323" s="126" t="s">
        <v>1656</v>
      </c>
      <c r="C323" s="139">
        <v>2019</v>
      </c>
      <c r="D323" s="139" t="s">
        <v>135</v>
      </c>
      <c r="E323" s="139" t="s">
        <v>78</v>
      </c>
      <c r="F323" s="139" t="s">
        <v>530</v>
      </c>
      <c r="G323" s="139" t="s">
        <v>520</v>
      </c>
      <c r="H323" s="139" t="s">
        <v>228</v>
      </c>
      <c r="I323" s="126" t="s">
        <v>228</v>
      </c>
      <c r="J323" s="126" t="s">
        <v>676</v>
      </c>
      <c r="K323" s="126" t="s">
        <v>81</v>
      </c>
      <c r="L323" s="126" t="s">
        <v>74</v>
      </c>
      <c r="M323" s="126">
        <v>10400000</v>
      </c>
      <c r="N323" s="126">
        <v>10400000</v>
      </c>
      <c r="O323" s="126">
        <v>14464216</v>
      </c>
      <c r="P323" s="126">
        <v>9400000</v>
      </c>
      <c r="Q323" s="126">
        <v>9400000</v>
      </c>
      <c r="R323" s="126">
        <v>13073426</v>
      </c>
      <c r="S323" s="126">
        <v>9400000</v>
      </c>
      <c r="T323" s="126">
        <v>9400000</v>
      </c>
      <c r="U323" s="127">
        <v>13073426</v>
      </c>
      <c r="V323" s="126" t="s">
        <v>81</v>
      </c>
      <c r="W323" s="126" t="s">
        <v>78</v>
      </c>
      <c r="X323" s="126" t="s">
        <v>81</v>
      </c>
      <c r="Y323" s="126" t="s">
        <v>1657</v>
      </c>
      <c r="Z323" s="126" t="s">
        <v>81</v>
      </c>
      <c r="AA323" s="126">
        <v>0</v>
      </c>
      <c r="AB323" s="141" t="s">
        <v>78</v>
      </c>
      <c r="AC323" s="126">
        <v>0</v>
      </c>
      <c r="AD323" s="139" t="s">
        <v>78</v>
      </c>
      <c r="AE323" s="126">
        <v>0</v>
      </c>
      <c r="AF323" s="126" t="s">
        <v>78</v>
      </c>
      <c r="AG323" s="126">
        <v>0</v>
      </c>
      <c r="AH323" s="142" t="s">
        <v>81</v>
      </c>
      <c r="AI323" s="142" t="s">
        <v>78</v>
      </c>
      <c r="AJ323" s="142" t="s">
        <v>81</v>
      </c>
      <c r="AK323" s="142" t="s">
        <v>1423</v>
      </c>
      <c r="AL323" s="142" t="s">
        <v>1648</v>
      </c>
      <c r="AM323" s="142" t="s">
        <v>81</v>
      </c>
      <c r="AN323" s="142" t="s">
        <v>81</v>
      </c>
      <c r="AO323" s="142" t="s">
        <v>78</v>
      </c>
      <c r="AP323" s="142" t="s">
        <v>81</v>
      </c>
      <c r="AQ323" s="142">
        <v>1</v>
      </c>
      <c r="AR323" s="142" t="s">
        <v>74</v>
      </c>
    </row>
    <row r="324" spans="1:44" s="143" customFormat="1" ht="25.05" customHeight="1" x14ac:dyDescent="0.3">
      <c r="A324" s="126" t="s">
        <v>1153</v>
      </c>
      <c r="B324" s="125" t="s">
        <v>1154</v>
      </c>
      <c r="C324" s="139">
        <v>2016</v>
      </c>
      <c r="D324" s="139" t="s">
        <v>87</v>
      </c>
      <c r="E324" s="139" t="s">
        <v>1155</v>
      </c>
      <c r="F324" s="139" t="s">
        <v>1848</v>
      </c>
      <c r="G324" s="139" t="s">
        <v>87</v>
      </c>
      <c r="H324" s="139" t="s">
        <v>599</v>
      </c>
      <c r="I324" s="126" t="s">
        <v>101</v>
      </c>
      <c r="J324" s="126" t="s">
        <v>676</v>
      </c>
      <c r="K324" s="126" t="s">
        <v>81</v>
      </c>
      <c r="L324" s="140" t="s">
        <v>74</v>
      </c>
      <c r="M324" s="140">
        <v>7000000</v>
      </c>
      <c r="N324" s="126">
        <v>7000000</v>
      </c>
      <c r="O324" s="126">
        <v>9700110</v>
      </c>
      <c r="P324" s="126">
        <v>7000000</v>
      </c>
      <c r="Q324" s="126">
        <v>7000000</v>
      </c>
      <c r="R324" s="126">
        <v>9700110</v>
      </c>
      <c r="S324" s="126">
        <v>7000000</v>
      </c>
      <c r="T324" s="126">
        <v>7000000</v>
      </c>
      <c r="U324" s="127">
        <v>9700110</v>
      </c>
      <c r="V324" s="140" t="s">
        <v>81</v>
      </c>
      <c r="W324" s="126" t="s">
        <v>78</v>
      </c>
      <c r="X324" s="126" t="s">
        <v>81</v>
      </c>
      <c r="Y324" s="126" t="s">
        <v>78</v>
      </c>
      <c r="Z324" s="126" t="s">
        <v>81</v>
      </c>
      <c r="AA324" s="126">
        <v>0</v>
      </c>
      <c r="AB324" s="141" t="s">
        <v>78</v>
      </c>
      <c r="AC324" s="126">
        <v>0</v>
      </c>
      <c r="AD324" s="139" t="s">
        <v>78</v>
      </c>
      <c r="AE324" s="126">
        <v>0</v>
      </c>
      <c r="AF324" s="126" t="s">
        <v>78</v>
      </c>
      <c r="AG324" s="126">
        <v>0</v>
      </c>
      <c r="AH324" s="142" t="s">
        <v>81</v>
      </c>
      <c r="AI324" s="142" t="s">
        <v>78</v>
      </c>
      <c r="AJ324" s="142" t="s">
        <v>81</v>
      </c>
      <c r="AK324" s="142" t="s">
        <v>78</v>
      </c>
      <c r="AL324" s="142" t="s">
        <v>78</v>
      </c>
      <c r="AM324" s="142" t="s">
        <v>81</v>
      </c>
      <c r="AN324" s="142" t="s">
        <v>81</v>
      </c>
      <c r="AO324" s="142" t="s">
        <v>78</v>
      </c>
      <c r="AP324" s="142" t="s">
        <v>81</v>
      </c>
      <c r="AQ324" s="142">
        <v>1</v>
      </c>
      <c r="AR324" s="142" t="s">
        <v>74</v>
      </c>
    </row>
    <row r="325" spans="1:44" s="143" customFormat="1" ht="25.05" customHeight="1" x14ac:dyDescent="0.3">
      <c r="A325" s="126" t="s">
        <v>1325</v>
      </c>
      <c r="B325" s="125" t="s">
        <v>1326</v>
      </c>
      <c r="C325" s="139">
        <v>2015</v>
      </c>
      <c r="D325" s="145" t="s">
        <v>70</v>
      </c>
      <c r="E325" s="139" t="s">
        <v>78</v>
      </c>
      <c r="F325" s="139" t="s">
        <v>570</v>
      </c>
      <c r="G325" s="139" t="s">
        <v>519</v>
      </c>
      <c r="H325" s="139" t="s">
        <v>584</v>
      </c>
      <c r="I325" s="126" t="s">
        <v>228</v>
      </c>
      <c r="J325" s="126" t="s">
        <v>676</v>
      </c>
      <c r="K325" s="126" t="s">
        <v>81</v>
      </c>
      <c r="L325" s="140" t="s">
        <v>126</v>
      </c>
      <c r="M325" s="140">
        <v>1676177.15</v>
      </c>
      <c r="N325" s="126">
        <v>1156933.7249190714</v>
      </c>
      <c r="O325" s="126">
        <v>1676177.1499999997</v>
      </c>
      <c r="P325" s="126">
        <v>1442393.67</v>
      </c>
      <c r="Q325" s="126">
        <v>1442393.67</v>
      </c>
      <c r="R325" s="126">
        <v>2089754.3730326998</v>
      </c>
      <c r="S325" s="126">
        <v>719165.76</v>
      </c>
      <c r="T325" s="126">
        <v>719165.76</v>
      </c>
      <c r="U325" s="127">
        <v>1041934.5447456</v>
      </c>
      <c r="V325" s="140" t="s">
        <v>81</v>
      </c>
      <c r="W325" s="126" t="s">
        <v>78</v>
      </c>
      <c r="X325" s="126" t="s">
        <v>81</v>
      </c>
      <c r="Y325" s="126" t="s">
        <v>78</v>
      </c>
      <c r="Z325" s="126" t="s">
        <v>81</v>
      </c>
      <c r="AA325" s="126">
        <v>0</v>
      </c>
      <c r="AB325" s="141" t="s">
        <v>78</v>
      </c>
      <c r="AC325" s="126">
        <v>0</v>
      </c>
      <c r="AD325" s="139" t="s">
        <v>78</v>
      </c>
      <c r="AE325" s="126">
        <v>0</v>
      </c>
      <c r="AF325" s="126" t="s">
        <v>78</v>
      </c>
      <c r="AG325" s="126">
        <v>0</v>
      </c>
      <c r="AH325" s="142" t="s">
        <v>81</v>
      </c>
      <c r="AI325" s="142" t="s">
        <v>78</v>
      </c>
      <c r="AJ325" s="142" t="s">
        <v>81</v>
      </c>
      <c r="AK325" s="142" t="s">
        <v>78</v>
      </c>
      <c r="AL325" s="142" t="s">
        <v>78</v>
      </c>
      <c r="AM325" s="142" t="s">
        <v>81</v>
      </c>
      <c r="AN325" s="142" t="s">
        <v>81</v>
      </c>
      <c r="AO325" s="142" t="s">
        <v>78</v>
      </c>
      <c r="AP325" s="142" t="s">
        <v>81</v>
      </c>
      <c r="AQ325" s="142">
        <v>1</v>
      </c>
      <c r="AR325" s="142" t="s">
        <v>126</v>
      </c>
    </row>
    <row r="326" spans="1:44" s="143" customFormat="1" ht="25.05" customHeight="1" x14ac:dyDescent="0.3">
      <c r="A326" s="126" t="s">
        <v>237</v>
      </c>
      <c r="B326" s="126" t="s">
        <v>238</v>
      </c>
      <c r="C326" s="139">
        <v>2020</v>
      </c>
      <c r="D326" s="139" t="s">
        <v>87</v>
      </c>
      <c r="E326" s="139" t="s">
        <v>239</v>
      </c>
      <c r="F326" s="139" t="s">
        <v>1848</v>
      </c>
      <c r="G326" s="139" t="s">
        <v>87</v>
      </c>
      <c r="H326" s="139" t="s">
        <v>89</v>
      </c>
      <c r="I326" s="126" t="s">
        <v>72</v>
      </c>
      <c r="J326" s="126" t="s">
        <v>180</v>
      </c>
      <c r="K326" s="126" t="s">
        <v>81</v>
      </c>
      <c r="L326" s="126" t="s">
        <v>74</v>
      </c>
      <c r="M326" s="126">
        <v>7000000</v>
      </c>
      <c r="N326" s="126">
        <v>7000000</v>
      </c>
      <c r="O326" s="126">
        <v>9679810</v>
      </c>
      <c r="P326" s="126" t="s">
        <v>659</v>
      </c>
      <c r="Q326" s="126" t="s">
        <v>659</v>
      </c>
      <c r="R326" s="126" t="s">
        <v>659</v>
      </c>
      <c r="S326" s="126">
        <v>7000000</v>
      </c>
      <c r="T326" s="126">
        <v>7000000</v>
      </c>
      <c r="U326" s="127">
        <v>9679810</v>
      </c>
      <c r="V326" s="126" t="s">
        <v>81</v>
      </c>
      <c r="W326" s="126">
        <v>0</v>
      </c>
      <c r="X326" s="126" t="s">
        <v>75</v>
      </c>
      <c r="Y326" s="126" t="s">
        <v>240</v>
      </c>
      <c r="Z326" s="126" t="s">
        <v>81</v>
      </c>
      <c r="AA326" s="126">
        <v>0</v>
      </c>
      <c r="AB326" s="141">
        <v>0</v>
      </c>
      <c r="AC326" s="126">
        <v>0</v>
      </c>
      <c r="AD326" s="139">
        <v>0</v>
      </c>
      <c r="AE326" s="126">
        <v>0</v>
      </c>
      <c r="AF326" s="126">
        <v>0</v>
      </c>
      <c r="AG326" s="126">
        <v>0</v>
      </c>
      <c r="AH326" s="142" t="s">
        <v>81</v>
      </c>
      <c r="AI326" s="142">
        <v>0</v>
      </c>
      <c r="AJ326" s="142" t="s">
        <v>81</v>
      </c>
      <c r="AK326" s="142">
        <v>0</v>
      </c>
      <c r="AL326" s="142" t="s">
        <v>217</v>
      </c>
      <c r="AM326" s="142" t="s">
        <v>81</v>
      </c>
      <c r="AN326" s="142" t="s">
        <v>81</v>
      </c>
      <c r="AO326" s="142" t="s">
        <v>84</v>
      </c>
      <c r="AP326" s="142" t="s">
        <v>81</v>
      </c>
      <c r="AQ326" s="142">
        <v>1</v>
      </c>
      <c r="AR326" s="142" t="s">
        <v>74</v>
      </c>
    </row>
    <row r="327" spans="1:44" s="143" customFormat="1" ht="25.05" customHeight="1" x14ac:dyDescent="0.3">
      <c r="A327" s="126" t="s">
        <v>1608</v>
      </c>
      <c r="B327" s="126" t="s">
        <v>1609</v>
      </c>
      <c r="C327" s="139">
        <v>2019</v>
      </c>
      <c r="D327" s="139" t="s">
        <v>501</v>
      </c>
      <c r="E327" s="139" t="s">
        <v>78</v>
      </c>
      <c r="F327" s="139" t="s">
        <v>551</v>
      </c>
      <c r="G327" s="139" t="s">
        <v>519</v>
      </c>
      <c r="H327" s="139" t="s">
        <v>583</v>
      </c>
      <c r="I327" s="126" t="s">
        <v>228</v>
      </c>
      <c r="J327" s="126" t="s">
        <v>679</v>
      </c>
      <c r="K327" s="126" t="s">
        <v>81</v>
      </c>
      <c r="L327" s="126" t="s">
        <v>74</v>
      </c>
      <c r="M327" s="126">
        <v>10560000</v>
      </c>
      <c r="N327" s="126">
        <v>10560000</v>
      </c>
      <c r="O327" s="126">
        <v>14686742.4</v>
      </c>
      <c r="P327" s="126">
        <v>9560000</v>
      </c>
      <c r="Q327" s="126">
        <v>9560000</v>
      </c>
      <c r="R327" s="126">
        <v>13295952.4</v>
      </c>
      <c r="S327" s="126">
        <v>9560000</v>
      </c>
      <c r="T327" s="126">
        <v>9560000</v>
      </c>
      <c r="U327" s="127">
        <v>13295952.4</v>
      </c>
      <c r="V327" s="126" t="s">
        <v>75</v>
      </c>
      <c r="W327" s="126" t="s">
        <v>1610</v>
      </c>
      <c r="X327" s="126" t="s">
        <v>75</v>
      </c>
      <c r="Y327" s="126" t="s">
        <v>1611</v>
      </c>
      <c r="Z327" s="126" t="s">
        <v>75</v>
      </c>
      <c r="AA327" s="126">
        <v>999</v>
      </c>
      <c r="AB327" s="141" t="s">
        <v>1612</v>
      </c>
      <c r="AC327" s="126">
        <v>999</v>
      </c>
      <c r="AD327" s="139" t="s">
        <v>1613</v>
      </c>
      <c r="AE327" s="126">
        <v>0</v>
      </c>
      <c r="AF327" s="126" t="s">
        <v>78</v>
      </c>
      <c r="AG327" s="126">
        <v>4</v>
      </c>
      <c r="AH327" s="142" t="s">
        <v>75</v>
      </c>
      <c r="AI327" s="142" t="s">
        <v>1614</v>
      </c>
      <c r="AJ327" s="142" t="s">
        <v>75</v>
      </c>
      <c r="AK327" s="142" t="s">
        <v>1615</v>
      </c>
      <c r="AL327" s="142" t="s">
        <v>121</v>
      </c>
      <c r="AM327" s="142" t="s">
        <v>75</v>
      </c>
      <c r="AN327" s="142" t="s">
        <v>75</v>
      </c>
      <c r="AO327" s="142" t="s">
        <v>78</v>
      </c>
      <c r="AP327" s="142" t="s">
        <v>75</v>
      </c>
      <c r="AQ327" s="142">
        <v>1</v>
      </c>
      <c r="AR327" s="142" t="s">
        <v>74</v>
      </c>
    </row>
    <row r="328" spans="1:44" s="143" customFormat="1" ht="25.05" customHeight="1" x14ac:dyDescent="0.3">
      <c r="A328" s="126" t="s">
        <v>1631</v>
      </c>
      <c r="B328" s="126" t="s">
        <v>1632</v>
      </c>
      <c r="C328" s="139">
        <v>2019</v>
      </c>
      <c r="D328" s="139" t="s">
        <v>516</v>
      </c>
      <c r="E328" s="139" t="s">
        <v>78</v>
      </c>
      <c r="F328" s="139" t="s">
        <v>569</v>
      </c>
      <c r="G328" s="139" t="s">
        <v>519</v>
      </c>
      <c r="H328" s="139" t="s">
        <v>582</v>
      </c>
      <c r="I328" s="126" t="s">
        <v>228</v>
      </c>
      <c r="J328" s="126" t="s">
        <v>679</v>
      </c>
      <c r="K328" s="126" t="s">
        <v>81</v>
      </c>
      <c r="L328" s="126" t="s">
        <v>74</v>
      </c>
      <c r="M328" s="126">
        <v>9017700</v>
      </c>
      <c r="N328" s="126">
        <v>9017700</v>
      </c>
      <c r="O328" s="126">
        <v>12541726.982999999</v>
      </c>
      <c r="P328" s="126">
        <v>7500000</v>
      </c>
      <c r="Q328" s="126">
        <v>7500000</v>
      </c>
      <c r="R328" s="126">
        <v>10430925</v>
      </c>
      <c r="S328" s="126">
        <v>7500000</v>
      </c>
      <c r="T328" s="126">
        <v>7500000</v>
      </c>
      <c r="U328" s="127">
        <v>10430925</v>
      </c>
      <c r="V328" s="126" t="s">
        <v>75</v>
      </c>
      <c r="W328" s="126" t="s">
        <v>1633</v>
      </c>
      <c r="X328" s="126" t="s">
        <v>75</v>
      </c>
      <c r="Y328" s="126" t="s">
        <v>1634</v>
      </c>
      <c r="Z328" s="126" t="s">
        <v>75</v>
      </c>
      <c r="AA328" s="126">
        <v>0</v>
      </c>
      <c r="AB328" s="141" t="s">
        <v>78</v>
      </c>
      <c r="AC328" s="126">
        <v>2</v>
      </c>
      <c r="AD328" s="139" t="s">
        <v>1635</v>
      </c>
      <c r="AE328" s="126">
        <v>999</v>
      </c>
      <c r="AF328" s="126" t="s">
        <v>1636</v>
      </c>
      <c r="AG328" s="126">
        <v>2</v>
      </c>
      <c r="AH328" s="142" t="s">
        <v>75</v>
      </c>
      <c r="AI328" s="142" t="s">
        <v>1637</v>
      </c>
      <c r="AJ328" s="142" t="s">
        <v>75</v>
      </c>
      <c r="AK328" s="142" t="s">
        <v>1638</v>
      </c>
      <c r="AL328" s="142" t="s">
        <v>121</v>
      </c>
      <c r="AM328" s="142" t="s">
        <v>75</v>
      </c>
      <c r="AN328" s="142" t="s">
        <v>75</v>
      </c>
      <c r="AO328" s="142" t="s">
        <v>78</v>
      </c>
      <c r="AP328" s="142" t="s">
        <v>75</v>
      </c>
      <c r="AQ328" s="142">
        <v>1</v>
      </c>
      <c r="AR328" s="142" t="s">
        <v>74</v>
      </c>
    </row>
    <row r="329" spans="1:44" s="143" customFormat="1" ht="25.05" customHeight="1" x14ac:dyDescent="0.3">
      <c r="A329" s="126" t="s">
        <v>900</v>
      </c>
      <c r="B329" s="125" t="s">
        <v>901</v>
      </c>
      <c r="C329" s="139">
        <v>2017</v>
      </c>
      <c r="D329" s="139" t="s">
        <v>226</v>
      </c>
      <c r="E329" s="139" t="s">
        <v>78</v>
      </c>
      <c r="F329" s="139" t="s">
        <v>534</v>
      </c>
      <c r="G329" s="139" t="s">
        <v>518</v>
      </c>
      <c r="H329" s="139" t="s">
        <v>591</v>
      </c>
      <c r="I329" s="126" t="s">
        <v>256</v>
      </c>
      <c r="J329" s="126" t="s">
        <v>679</v>
      </c>
      <c r="K329" s="126" t="s">
        <v>81</v>
      </c>
      <c r="L329" s="140" t="s">
        <v>126</v>
      </c>
      <c r="M329" s="140">
        <v>387440000</v>
      </c>
      <c r="N329" s="126">
        <v>288203045.38320202</v>
      </c>
      <c r="O329" s="126">
        <v>387440000</v>
      </c>
      <c r="P329" s="126">
        <v>108484186.59999999</v>
      </c>
      <c r="Q329" s="126">
        <v>108484186.59999999</v>
      </c>
      <c r="R329" s="126">
        <v>145838546.571978</v>
      </c>
      <c r="S329" s="126">
        <v>72322791.079999998</v>
      </c>
      <c r="T329" s="126">
        <v>72322791.079999998</v>
      </c>
      <c r="U329" s="127">
        <v>97225697.7325764</v>
      </c>
      <c r="V329" s="140" t="s">
        <v>75</v>
      </c>
      <c r="W329" s="126" t="s">
        <v>902</v>
      </c>
      <c r="X329" s="126" t="s">
        <v>81</v>
      </c>
      <c r="Y329" s="126" t="s">
        <v>78</v>
      </c>
      <c r="Z329" s="126" t="s">
        <v>75</v>
      </c>
      <c r="AA329" s="126">
        <v>999</v>
      </c>
      <c r="AB329" s="141" t="s">
        <v>903</v>
      </c>
      <c r="AC329" s="126">
        <v>999</v>
      </c>
      <c r="AD329" s="139" t="s">
        <v>904</v>
      </c>
      <c r="AE329" s="126">
        <v>0</v>
      </c>
      <c r="AF329" s="126" t="s">
        <v>78</v>
      </c>
      <c r="AG329" s="126">
        <v>2</v>
      </c>
      <c r="AH329" s="142" t="s">
        <v>81</v>
      </c>
      <c r="AI329" s="142" t="s">
        <v>78</v>
      </c>
      <c r="AJ329" s="142" t="s">
        <v>75</v>
      </c>
      <c r="AK329" s="142" t="s">
        <v>256</v>
      </c>
      <c r="AL329" s="142" t="s">
        <v>78</v>
      </c>
      <c r="AM329" s="142" t="s">
        <v>81</v>
      </c>
      <c r="AN329" s="142" t="s">
        <v>81</v>
      </c>
      <c r="AO329" s="142" t="s">
        <v>78</v>
      </c>
      <c r="AP329" s="142" t="s">
        <v>81</v>
      </c>
      <c r="AQ329" s="142">
        <v>1</v>
      </c>
      <c r="AR329" s="142" t="s">
        <v>126</v>
      </c>
    </row>
    <row r="330" spans="1:44" s="143" customFormat="1" ht="25.05" customHeight="1" x14ac:dyDescent="0.3">
      <c r="A330" s="126" t="s">
        <v>1113</v>
      </c>
      <c r="B330" s="125" t="s">
        <v>1114</v>
      </c>
      <c r="C330" s="139">
        <v>2016</v>
      </c>
      <c r="D330" s="139" t="s">
        <v>297</v>
      </c>
      <c r="E330" s="139" t="s">
        <v>78</v>
      </c>
      <c r="F330" s="139" t="s">
        <v>566</v>
      </c>
      <c r="G330" s="139" t="s">
        <v>522</v>
      </c>
      <c r="H330" s="139" t="s">
        <v>228</v>
      </c>
      <c r="I330" s="126" t="s">
        <v>228</v>
      </c>
      <c r="J330" s="126" t="s">
        <v>676</v>
      </c>
      <c r="K330" s="126" t="s">
        <v>81</v>
      </c>
      <c r="L330" s="140" t="s">
        <v>74</v>
      </c>
      <c r="M330" s="140">
        <v>263290000</v>
      </c>
      <c r="N330" s="126">
        <v>263290000</v>
      </c>
      <c r="O330" s="126">
        <v>364848851.69999999</v>
      </c>
      <c r="P330" s="126">
        <v>67270000</v>
      </c>
      <c r="Q330" s="126">
        <v>67270000</v>
      </c>
      <c r="R330" s="126">
        <v>93218057.099999994</v>
      </c>
      <c r="S330" s="126">
        <v>67270000</v>
      </c>
      <c r="T330" s="126">
        <v>67270000</v>
      </c>
      <c r="U330" s="127">
        <v>93218057.099999994</v>
      </c>
      <c r="V330" s="140" t="s">
        <v>81</v>
      </c>
      <c r="W330" s="126" t="s">
        <v>78</v>
      </c>
      <c r="X330" s="126" t="s">
        <v>81</v>
      </c>
      <c r="Y330" s="126" t="s">
        <v>78</v>
      </c>
      <c r="Z330" s="126" t="s">
        <v>81</v>
      </c>
      <c r="AA330" s="126">
        <v>0</v>
      </c>
      <c r="AB330" s="141" t="s">
        <v>78</v>
      </c>
      <c r="AC330" s="126">
        <v>0</v>
      </c>
      <c r="AD330" s="139" t="s">
        <v>78</v>
      </c>
      <c r="AE330" s="126">
        <v>0</v>
      </c>
      <c r="AF330" s="126" t="s">
        <v>78</v>
      </c>
      <c r="AG330" s="126">
        <v>0</v>
      </c>
      <c r="AH330" s="142" t="s">
        <v>81</v>
      </c>
      <c r="AI330" s="142" t="s">
        <v>78</v>
      </c>
      <c r="AJ330" s="142" t="s">
        <v>81</v>
      </c>
      <c r="AK330" s="142" t="s">
        <v>78</v>
      </c>
      <c r="AL330" s="142" t="s">
        <v>78</v>
      </c>
      <c r="AM330" s="142" t="s">
        <v>81</v>
      </c>
      <c r="AN330" s="142" t="s">
        <v>81</v>
      </c>
      <c r="AO330" s="142" t="s">
        <v>78</v>
      </c>
      <c r="AP330" s="142" t="s">
        <v>81</v>
      </c>
      <c r="AQ330" s="142">
        <v>1</v>
      </c>
      <c r="AR330" s="142" t="s">
        <v>74</v>
      </c>
    </row>
    <row r="331" spans="1:44" s="143" customFormat="1" ht="25.05" customHeight="1" x14ac:dyDescent="0.3">
      <c r="A331" s="126" t="s">
        <v>805</v>
      </c>
      <c r="B331" s="125" t="s">
        <v>806</v>
      </c>
      <c r="C331" s="139">
        <v>2018</v>
      </c>
      <c r="D331" s="139" t="s">
        <v>297</v>
      </c>
      <c r="E331" s="139" t="s">
        <v>78</v>
      </c>
      <c r="F331" s="139" t="s">
        <v>566</v>
      </c>
      <c r="G331" s="139" t="s">
        <v>522</v>
      </c>
      <c r="H331" s="139" t="s">
        <v>228</v>
      </c>
      <c r="I331" s="126" t="s">
        <v>228</v>
      </c>
      <c r="J331" s="126" t="s">
        <v>676</v>
      </c>
      <c r="K331" s="126" t="s">
        <v>81</v>
      </c>
      <c r="L331" s="140" t="s">
        <v>74</v>
      </c>
      <c r="M331" s="140">
        <v>35000000</v>
      </c>
      <c r="N331" s="126">
        <v>35000000</v>
      </c>
      <c r="O331" s="126">
        <v>49844550</v>
      </c>
      <c r="P331" s="126">
        <v>23664558.219999999</v>
      </c>
      <c r="Q331" s="126">
        <v>23664558.219999999</v>
      </c>
      <c r="R331" s="126">
        <v>33701407.297848597</v>
      </c>
      <c r="S331" s="126">
        <v>9200000</v>
      </c>
      <c r="T331" s="126">
        <v>9200000</v>
      </c>
      <c r="U331" s="127">
        <v>13101995.999999998</v>
      </c>
      <c r="V331" s="140" t="s">
        <v>75</v>
      </c>
      <c r="W331" s="126" t="s">
        <v>807</v>
      </c>
      <c r="X331" s="126" t="s">
        <v>75</v>
      </c>
      <c r="Y331" s="126" t="s">
        <v>808</v>
      </c>
      <c r="Z331" s="126" t="s">
        <v>75</v>
      </c>
      <c r="AA331" s="126">
        <v>999</v>
      </c>
      <c r="AB331" s="141" t="s">
        <v>809</v>
      </c>
      <c r="AC331" s="126">
        <v>999</v>
      </c>
      <c r="AD331" s="139" t="s">
        <v>810</v>
      </c>
      <c r="AE331" s="126">
        <v>999</v>
      </c>
      <c r="AF331" s="126" t="s">
        <v>811</v>
      </c>
      <c r="AG331" s="126">
        <v>5</v>
      </c>
      <c r="AH331" s="142" t="s">
        <v>81</v>
      </c>
      <c r="AI331" s="142" t="s">
        <v>78</v>
      </c>
      <c r="AJ331" s="142" t="s">
        <v>81</v>
      </c>
      <c r="AK331" s="142" t="s">
        <v>78</v>
      </c>
      <c r="AL331" s="142" t="s">
        <v>78</v>
      </c>
      <c r="AM331" s="142" t="s">
        <v>81</v>
      </c>
      <c r="AN331" s="142" t="s">
        <v>81</v>
      </c>
      <c r="AO331" s="142" t="s">
        <v>78</v>
      </c>
      <c r="AP331" s="142" t="s">
        <v>75</v>
      </c>
      <c r="AQ331" s="142">
        <v>1</v>
      </c>
      <c r="AR331" s="142" t="s">
        <v>74</v>
      </c>
    </row>
    <row r="332" spans="1:44" s="143" customFormat="1" ht="25.05" customHeight="1" x14ac:dyDescent="0.3">
      <c r="A332" s="126" t="s">
        <v>833</v>
      </c>
      <c r="B332" s="125" t="s">
        <v>834</v>
      </c>
      <c r="C332" s="139">
        <v>2018</v>
      </c>
      <c r="D332" s="139" t="s">
        <v>377</v>
      </c>
      <c r="E332" s="139" t="s">
        <v>78</v>
      </c>
      <c r="F332" s="139" t="s">
        <v>544</v>
      </c>
      <c r="G332" s="139" t="s">
        <v>520</v>
      </c>
      <c r="H332" s="139" t="s">
        <v>596</v>
      </c>
      <c r="I332" s="126" t="s">
        <v>101</v>
      </c>
      <c r="J332" s="126" t="s">
        <v>676</v>
      </c>
      <c r="K332" s="126" t="s">
        <v>81</v>
      </c>
      <c r="L332" s="140" t="s">
        <v>74</v>
      </c>
      <c r="M332" s="140">
        <v>1000000</v>
      </c>
      <c r="N332" s="126">
        <v>1000000</v>
      </c>
      <c r="O332" s="126">
        <v>1424130</v>
      </c>
      <c r="P332" s="126">
        <v>1000000</v>
      </c>
      <c r="Q332" s="126">
        <v>1000000</v>
      </c>
      <c r="R332" s="126">
        <v>1424130</v>
      </c>
      <c r="S332" s="126">
        <v>1000000</v>
      </c>
      <c r="T332" s="126">
        <v>1000000</v>
      </c>
      <c r="U332" s="127">
        <v>1424130</v>
      </c>
      <c r="V332" s="140" t="s">
        <v>81</v>
      </c>
      <c r="W332" s="126" t="s">
        <v>78</v>
      </c>
      <c r="X332" s="126" t="s">
        <v>81</v>
      </c>
      <c r="Y332" s="126" t="s">
        <v>78</v>
      </c>
      <c r="Z332" s="126" t="s">
        <v>81</v>
      </c>
      <c r="AA332" s="126">
        <v>0</v>
      </c>
      <c r="AB332" s="141" t="s">
        <v>78</v>
      </c>
      <c r="AC332" s="126">
        <v>0</v>
      </c>
      <c r="AD332" s="139" t="s">
        <v>78</v>
      </c>
      <c r="AE332" s="126">
        <v>0</v>
      </c>
      <c r="AF332" s="126" t="s">
        <v>78</v>
      </c>
      <c r="AG332" s="126">
        <v>0</v>
      </c>
      <c r="AH332" s="142" t="s">
        <v>81</v>
      </c>
      <c r="AI332" s="142" t="s">
        <v>78</v>
      </c>
      <c r="AJ332" s="142" t="s">
        <v>81</v>
      </c>
      <c r="AK332" s="142" t="s">
        <v>78</v>
      </c>
      <c r="AL332" s="142" t="s">
        <v>78</v>
      </c>
      <c r="AM332" s="142" t="s">
        <v>81</v>
      </c>
      <c r="AN332" s="142" t="s">
        <v>81</v>
      </c>
      <c r="AO332" s="142" t="s">
        <v>78</v>
      </c>
      <c r="AP332" s="142" t="s">
        <v>81</v>
      </c>
      <c r="AQ332" s="142">
        <v>1</v>
      </c>
      <c r="AR332" s="142" t="s">
        <v>74</v>
      </c>
    </row>
    <row r="333" spans="1:44" s="143" customFormat="1" ht="25.05" customHeight="1" x14ac:dyDescent="0.3">
      <c r="A333" s="126" t="s">
        <v>1726</v>
      </c>
      <c r="B333" s="127" t="s">
        <v>1727</v>
      </c>
      <c r="C333" s="139">
        <v>2019</v>
      </c>
      <c r="D333" s="139" t="s">
        <v>145</v>
      </c>
      <c r="E333" s="139" t="s">
        <v>78</v>
      </c>
      <c r="F333" s="139" t="s">
        <v>543</v>
      </c>
      <c r="G333" s="139" t="s">
        <v>522</v>
      </c>
      <c r="H333" s="139" t="s">
        <v>572</v>
      </c>
      <c r="I333" s="126" t="s">
        <v>466</v>
      </c>
      <c r="J333" s="126" t="s">
        <v>676</v>
      </c>
      <c r="K333" s="126" t="s">
        <v>81</v>
      </c>
      <c r="L333" s="126" t="s">
        <v>74</v>
      </c>
      <c r="M333" s="126">
        <v>31080000</v>
      </c>
      <c r="N333" s="126">
        <v>31080000</v>
      </c>
      <c r="O333" s="126">
        <v>43225753.199999996</v>
      </c>
      <c r="P333" s="126">
        <v>26900000</v>
      </c>
      <c r="Q333" s="126">
        <v>26900000</v>
      </c>
      <c r="R333" s="126">
        <v>37412251</v>
      </c>
      <c r="S333" s="126">
        <v>26900000</v>
      </c>
      <c r="T333" s="126">
        <v>26900000</v>
      </c>
      <c r="U333" s="127">
        <v>37412251</v>
      </c>
      <c r="V333" s="126" t="s">
        <v>81</v>
      </c>
      <c r="W333" s="126" t="s">
        <v>78</v>
      </c>
      <c r="X333" s="126" t="s">
        <v>81</v>
      </c>
      <c r="Y333" s="126" t="s">
        <v>1728</v>
      </c>
      <c r="Z333" s="126" t="s">
        <v>81</v>
      </c>
      <c r="AA333" s="126">
        <v>0</v>
      </c>
      <c r="AB333" s="141" t="s">
        <v>78</v>
      </c>
      <c r="AC333" s="126">
        <v>0</v>
      </c>
      <c r="AD333" s="139" t="s">
        <v>78</v>
      </c>
      <c r="AE333" s="126">
        <v>0</v>
      </c>
      <c r="AF333" s="126" t="s">
        <v>78</v>
      </c>
      <c r="AG333" s="126">
        <v>0</v>
      </c>
      <c r="AH333" s="142" t="s">
        <v>81</v>
      </c>
      <c r="AI333" s="142" t="s">
        <v>78</v>
      </c>
      <c r="AJ333" s="142" t="s">
        <v>81</v>
      </c>
      <c r="AK333" s="142" t="s">
        <v>1423</v>
      </c>
      <c r="AL333" s="142" t="s">
        <v>1523</v>
      </c>
      <c r="AM333" s="142" t="s">
        <v>81</v>
      </c>
      <c r="AN333" s="142" t="s">
        <v>81</v>
      </c>
      <c r="AO333" s="142" t="s">
        <v>78</v>
      </c>
      <c r="AP333" s="142" t="s">
        <v>81</v>
      </c>
      <c r="AQ333" s="142">
        <v>1</v>
      </c>
      <c r="AR333" s="142" t="s">
        <v>74</v>
      </c>
    </row>
    <row r="334" spans="1:44" s="143" customFormat="1" ht="25.05" customHeight="1" x14ac:dyDescent="0.3">
      <c r="A334" s="126" t="s">
        <v>935</v>
      </c>
      <c r="B334" s="125" t="s">
        <v>936</v>
      </c>
      <c r="C334" s="139">
        <v>2017</v>
      </c>
      <c r="D334" s="139" t="s">
        <v>87</v>
      </c>
      <c r="E334" s="139" t="s">
        <v>937</v>
      </c>
      <c r="F334" s="139" t="s">
        <v>1848</v>
      </c>
      <c r="G334" s="139" t="s">
        <v>87</v>
      </c>
      <c r="H334" s="139" t="s">
        <v>228</v>
      </c>
      <c r="I334" s="126" t="s">
        <v>228</v>
      </c>
      <c r="J334" s="126" t="s">
        <v>676</v>
      </c>
      <c r="K334" s="126" t="s">
        <v>81</v>
      </c>
      <c r="L334" s="140" t="s">
        <v>74</v>
      </c>
      <c r="M334" s="140">
        <v>29000000</v>
      </c>
      <c r="N334" s="126">
        <v>29000000</v>
      </c>
      <c r="O334" s="126">
        <v>38985570</v>
      </c>
      <c r="P334" s="126">
        <v>29000000</v>
      </c>
      <c r="Q334" s="126">
        <v>29000000</v>
      </c>
      <c r="R334" s="126">
        <v>38985570</v>
      </c>
      <c r="S334" s="126">
        <v>29000000</v>
      </c>
      <c r="T334" s="126">
        <v>29000000</v>
      </c>
      <c r="U334" s="127">
        <v>38985570</v>
      </c>
      <c r="V334" s="140" t="s">
        <v>81</v>
      </c>
      <c r="W334" s="126" t="s">
        <v>78</v>
      </c>
      <c r="X334" s="126" t="s">
        <v>81</v>
      </c>
      <c r="Y334" s="126" t="s">
        <v>78</v>
      </c>
      <c r="Z334" s="126" t="s">
        <v>81</v>
      </c>
      <c r="AA334" s="126">
        <v>0</v>
      </c>
      <c r="AB334" s="141" t="s">
        <v>78</v>
      </c>
      <c r="AC334" s="126">
        <v>0</v>
      </c>
      <c r="AD334" s="139" t="s">
        <v>78</v>
      </c>
      <c r="AE334" s="126">
        <v>0</v>
      </c>
      <c r="AF334" s="126" t="s">
        <v>78</v>
      </c>
      <c r="AG334" s="126">
        <v>0</v>
      </c>
      <c r="AH334" s="142" t="s">
        <v>81</v>
      </c>
      <c r="AI334" s="142" t="s">
        <v>78</v>
      </c>
      <c r="AJ334" s="142" t="s">
        <v>81</v>
      </c>
      <c r="AK334" s="142" t="s">
        <v>78</v>
      </c>
      <c r="AL334" s="142" t="s">
        <v>78</v>
      </c>
      <c r="AM334" s="142" t="s">
        <v>81</v>
      </c>
      <c r="AN334" s="142" t="s">
        <v>81</v>
      </c>
      <c r="AO334" s="142" t="s">
        <v>78</v>
      </c>
      <c r="AP334" s="142" t="s">
        <v>81</v>
      </c>
      <c r="AQ334" s="142">
        <v>1</v>
      </c>
      <c r="AR334" s="142" t="s">
        <v>74</v>
      </c>
    </row>
    <row r="335" spans="1:44" s="143" customFormat="1" ht="25.05" customHeight="1" x14ac:dyDescent="0.3">
      <c r="A335" s="126" t="s">
        <v>997</v>
      </c>
      <c r="B335" s="125" t="s">
        <v>998</v>
      </c>
      <c r="C335" s="139">
        <v>2017</v>
      </c>
      <c r="D335" s="139" t="s">
        <v>508</v>
      </c>
      <c r="E335" s="139" t="s">
        <v>78</v>
      </c>
      <c r="F335" s="139" t="s">
        <v>558</v>
      </c>
      <c r="G335" s="139" t="s">
        <v>520</v>
      </c>
      <c r="H335" s="139" t="s">
        <v>587</v>
      </c>
      <c r="I335" s="126" t="s">
        <v>256</v>
      </c>
      <c r="J335" s="126" t="s">
        <v>676</v>
      </c>
      <c r="K335" s="126" t="s">
        <v>81</v>
      </c>
      <c r="L335" s="140" t="s">
        <v>74</v>
      </c>
      <c r="M335" s="140">
        <v>13890000</v>
      </c>
      <c r="N335" s="126">
        <v>13890000</v>
      </c>
      <c r="O335" s="126">
        <v>18672743.699999999</v>
      </c>
      <c r="P335" s="126">
        <v>10250447.029999999</v>
      </c>
      <c r="Q335" s="126">
        <v>10250447.029999999</v>
      </c>
      <c r="R335" s="126">
        <v>13779983.455839898</v>
      </c>
      <c r="S335" s="126">
        <v>740000</v>
      </c>
      <c r="T335" s="126">
        <v>740000</v>
      </c>
      <c r="U335" s="127">
        <v>994804.20000000007</v>
      </c>
      <c r="V335" s="140" t="s">
        <v>75</v>
      </c>
      <c r="W335" s="126" t="s">
        <v>999</v>
      </c>
      <c r="X335" s="126" t="s">
        <v>81</v>
      </c>
      <c r="Y335" s="126" t="s">
        <v>78</v>
      </c>
      <c r="Z335" s="126" t="s">
        <v>81</v>
      </c>
      <c r="AA335" s="126">
        <v>0</v>
      </c>
      <c r="AB335" s="141" t="s">
        <v>78</v>
      </c>
      <c r="AC335" s="126">
        <v>0</v>
      </c>
      <c r="AD335" s="139" t="s">
        <v>78</v>
      </c>
      <c r="AE335" s="126">
        <v>0</v>
      </c>
      <c r="AF335" s="126" t="s">
        <v>78</v>
      </c>
      <c r="AG335" s="126">
        <v>0</v>
      </c>
      <c r="AH335" s="142" t="s">
        <v>81</v>
      </c>
      <c r="AI335" s="142" t="s">
        <v>78</v>
      </c>
      <c r="AJ335" s="142" t="s">
        <v>75</v>
      </c>
      <c r="AK335" s="142" t="s">
        <v>466</v>
      </c>
      <c r="AL335" s="142" t="s">
        <v>704</v>
      </c>
      <c r="AM335" s="142" t="s">
        <v>81</v>
      </c>
      <c r="AN335" s="142" t="s">
        <v>81</v>
      </c>
      <c r="AO335" s="142" t="s">
        <v>78</v>
      </c>
      <c r="AP335" s="142" t="s">
        <v>81</v>
      </c>
      <c r="AQ335" s="142">
        <v>1</v>
      </c>
      <c r="AR335" s="142" t="s">
        <v>74</v>
      </c>
    </row>
    <row r="336" spans="1:44" s="143" customFormat="1" ht="25.05" customHeight="1" x14ac:dyDescent="0.3">
      <c r="A336" s="126" t="s">
        <v>177</v>
      </c>
      <c r="B336" s="126" t="s">
        <v>178</v>
      </c>
      <c r="C336" s="139">
        <v>2020</v>
      </c>
      <c r="D336" s="139" t="s">
        <v>179</v>
      </c>
      <c r="E336" s="139">
        <v>0</v>
      </c>
      <c r="F336" s="139" t="s">
        <v>561</v>
      </c>
      <c r="G336" s="139" t="s">
        <v>522</v>
      </c>
      <c r="H336" s="139" t="s">
        <v>114</v>
      </c>
      <c r="I336" s="126" t="s">
        <v>115</v>
      </c>
      <c r="J336" s="126" t="s">
        <v>180</v>
      </c>
      <c r="K336" s="126" t="s">
        <v>81</v>
      </c>
      <c r="L336" s="126" t="s">
        <v>74</v>
      </c>
      <c r="M336" s="126">
        <v>3000000</v>
      </c>
      <c r="N336" s="126">
        <v>3000000</v>
      </c>
      <c r="O336" s="126">
        <v>4148490</v>
      </c>
      <c r="P336" s="126" t="s">
        <v>659</v>
      </c>
      <c r="Q336" s="126" t="s">
        <v>659</v>
      </c>
      <c r="R336" s="126" t="s">
        <v>659</v>
      </c>
      <c r="S336" s="126">
        <v>3000000</v>
      </c>
      <c r="T336" s="126">
        <v>3000000</v>
      </c>
      <c r="U336" s="127">
        <v>4148490</v>
      </c>
      <c r="V336" s="126" t="s">
        <v>81</v>
      </c>
      <c r="W336" s="126">
        <v>0</v>
      </c>
      <c r="X336" s="126" t="s">
        <v>81</v>
      </c>
      <c r="Y336" s="126">
        <v>0</v>
      </c>
      <c r="Z336" s="126" t="s">
        <v>75</v>
      </c>
      <c r="AA336" s="126">
        <v>0</v>
      </c>
      <c r="AB336" s="141" t="s">
        <v>78</v>
      </c>
      <c r="AC336" s="126">
        <v>0</v>
      </c>
      <c r="AD336" s="139" t="s">
        <v>78</v>
      </c>
      <c r="AE336" s="126">
        <v>1</v>
      </c>
      <c r="AF336" s="126" t="s">
        <v>181</v>
      </c>
      <c r="AG336" s="126">
        <v>1</v>
      </c>
      <c r="AH336" s="142" t="s">
        <v>81</v>
      </c>
      <c r="AI336" s="142">
        <v>0</v>
      </c>
      <c r="AJ336" s="142" t="s">
        <v>81</v>
      </c>
      <c r="AK336" s="142">
        <v>0</v>
      </c>
      <c r="AL336" s="142" t="s">
        <v>121</v>
      </c>
      <c r="AM336" s="142" t="s">
        <v>75</v>
      </c>
      <c r="AN336" s="142" t="s">
        <v>81</v>
      </c>
      <c r="AO336" s="142" t="s">
        <v>84</v>
      </c>
      <c r="AP336" s="142" t="s">
        <v>81</v>
      </c>
      <c r="AQ336" s="142">
        <v>1</v>
      </c>
      <c r="AR336" s="142" t="s">
        <v>74</v>
      </c>
    </row>
    <row r="337" spans="1:44" s="143" customFormat="1" ht="25.05" customHeight="1" x14ac:dyDescent="0.3">
      <c r="A337" s="126" t="s">
        <v>1357</v>
      </c>
      <c r="B337" s="125" t="s">
        <v>1358</v>
      </c>
      <c r="C337" s="139">
        <v>2015</v>
      </c>
      <c r="D337" s="145" t="s">
        <v>184</v>
      </c>
      <c r="E337" s="139" t="s">
        <v>78</v>
      </c>
      <c r="F337" s="139" t="s">
        <v>554</v>
      </c>
      <c r="G337" s="139" t="s">
        <v>520</v>
      </c>
      <c r="H337" s="139" t="s">
        <v>228</v>
      </c>
      <c r="I337" s="126" t="s">
        <v>228</v>
      </c>
      <c r="J337" s="126" t="s">
        <v>689</v>
      </c>
      <c r="K337" s="126" t="s">
        <v>81</v>
      </c>
      <c r="L337" s="140" t="s">
        <v>74</v>
      </c>
      <c r="M337" s="140">
        <v>425000</v>
      </c>
      <c r="N337" s="126">
        <v>425000</v>
      </c>
      <c r="O337" s="126">
        <v>615744.25</v>
      </c>
      <c r="P337" s="126">
        <v>367700</v>
      </c>
      <c r="Q337" s="126">
        <v>367700</v>
      </c>
      <c r="R337" s="126">
        <v>532727.43699999992</v>
      </c>
      <c r="S337" s="126">
        <v>367700</v>
      </c>
      <c r="T337" s="126">
        <v>367700</v>
      </c>
      <c r="U337" s="127">
        <v>532727.43699999992</v>
      </c>
      <c r="V337" s="140" t="s">
        <v>81</v>
      </c>
      <c r="W337" s="126" t="s">
        <v>78</v>
      </c>
      <c r="X337" s="126" t="s">
        <v>81</v>
      </c>
      <c r="Y337" s="126" t="s">
        <v>78</v>
      </c>
      <c r="Z337" s="126" t="s">
        <v>81</v>
      </c>
      <c r="AA337" s="126">
        <v>0</v>
      </c>
      <c r="AB337" s="141" t="s">
        <v>78</v>
      </c>
      <c r="AC337" s="126">
        <v>0</v>
      </c>
      <c r="AD337" s="139" t="s">
        <v>78</v>
      </c>
      <c r="AE337" s="126">
        <v>0</v>
      </c>
      <c r="AF337" s="126" t="s">
        <v>78</v>
      </c>
      <c r="AG337" s="126">
        <v>0</v>
      </c>
      <c r="AH337" s="142" t="s">
        <v>81</v>
      </c>
      <c r="AI337" s="142" t="s">
        <v>78</v>
      </c>
      <c r="AJ337" s="142" t="s">
        <v>81</v>
      </c>
      <c r="AK337" s="142" t="s">
        <v>78</v>
      </c>
      <c r="AL337" s="142" t="s">
        <v>78</v>
      </c>
      <c r="AM337" s="142" t="s">
        <v>81</v>
      </c>
      <c r="AN337" s="142" t="s">
        <v>81</v>
      </c>
      <c r="AO337" s="142" t="s">
        <v>78</v>
      </c>
      <c r="AP337" s="142" t="s">
        <v>81</v>
      </c>
      <c r="AQ337" s="142">
        <v>1</v>
      </c>
      <c r="AR337" s="142" t="s">
        <v>74</v>
      </c>
    </row>
    <row r="338" spans="1:44" s="143" customFormat="1" ht="25.05" customHeight="1" x14ac:dyDescent="0.3">
      <c r="A338" s="126" t="s">
        <v>1345</v>
      </c>
      <c r="B338" s="125" t="s">
        <v>1346</v>
      </c>
      <c r="C338" s="139">
        <v>2015</v>
      </c>
      <c r="D338" s="145" t="s">
        <v>516</v>
      </c>
      <c r="E338" s="139" t="s">
        <v>78</v>
      </c>
      <c r="F338" s="139" t="s">
        <v>569</v>
      </c>
      <c r="G338" s="139" t="s">
        <v>519</v>
      </c>
      <c r="H338" s="139" t="s">
        <v>587</v>
      </c>
      <c r="I338" s="126" t="s">
        <v>256</v>
      </c>
      <c r="J338" s="126" t="s">
        <v>679</v>
      </c>
      <c r="K338" s="126" t="s">
        <v>81</v>
      </c>
      <c r="L338" s="140" t="s">
        <v>74</v>
      </c>
      <c r="M338" s="140">
        <v>24981509</v>
      </c>
      <c r="N338" s="126">
        <v>24981509</v>
      </c>
      <c r="O338" s="126">
        <v>36193460.054289997</v>
      </c>
      <c r="P338" s="126">
        <v>24205958.280000001</v>
      </c>
      <c r="Q338" s="126">
        <v>24205958.280000001</v>
      </c>
      <c r="R338" s="126">
        <v>35069834.415646799</v>
      </c>
      <c r="S338" s="126">
        <v>11210032.619999999</v>
      </c>
      <c r="T338" s="126">
        <v>11210032.619999999</v>
      </c>
      <c r="U338" s="127">
        <v>16241207.360182198</v>
      </c>
      <c r="V338" s="140" t="s">
        <v>75</v>
      </c>
      <c r="W338" s="126" t="s">
        <v>1347</v>
      </c>
      <c r="X338" s="126" t="s">
        <v>81</v>
      </c>
      <c r="Y338" s="126" t="s">
        <v>78</v>
      </c>
      <c r="Z338" s="126" t="s">
        <v>75</v>
      </c>
      <c r="AA338" s="126">
        <v>999</v>
      </c>
      <c r="AB338" s="141" t="s">
        <v>1013</v>
      </c>
      <c r="AC338" s="126">
        <v>0</v>
      </c>
      <c r="AD338" s="139" t="s">
        <v>78</v>
      </c>
      <c r="AE338" s="126">
        <v>0</v>
      </c>
      <c r="AF338" s="126" t="s">
        <v>78</v>
      </c>
      <c r="AG338" s="126">
        <v>1</v>
      </c>
      <c r="AH338" s="142" t="s">
        <v>81</v>
      </c>
      <c r="AI338" s="142" t="s">
        <v>78</v>
      </c>
      <c r="AJ338" s="142" t="s">
        <v>75</v>
      </c>
      <c r="AK338" s="142" t="s">
        <v>256</v>
      </c>
      <c r="AL338" s="142" t="s">
        <v>704</v>
      </c>
      <c r="AM338" s="142" t="s">
        <v>81</v>
      </c>
      <c r="AN338" s="142" t="s">
        <v>81</v>
      </c>
      <c r="AO338" s="142" t="s">
        <v>78</v>
      </c>
      <c r="AP338" s="142" t="s">
        <v>81</v>
      </c>
      <c r="AQ338" s="142">
        <v>1</v>
      </c>
      <c r="AR338" s="142" t="s">
        <v>74</v>
      </c>
    </row>
    <row r="339" spans="1:44" s="143" customFormat="1" ht="25.05" customHeight="1" x14ac:dyDescent="0.3">
      <c r="A339" s="126" t="s">
        <v>213</v>
      </c>
      <c r="B339" s="126" t="s">
        <v>214</v>
      </c>
      <c r="C339" s="139">
        <v>2020</v>
      </c>
      <c r="D339" s="139" t="s">
        <v>87</v>
      </c>
      <c r="E339" s="139" t="s">
        <v>215</v>
      </c>
      <c r="F339" s="139" t="s">
        <v>1848</v>
      </c>
      <c r="G339" s="139" t="s">
        <v>87</v>
      </c>
      <c r="H339" s="139" t="s">
        <v>216</v>
      </c>
      <c r="I339" s="126" t="s">
        <v>101</v>
      </c>
      <c r="J339" s="126" t="s">
        <v>180</v>
      </c>
      <c r="K339" s="126" t="s">
        <v>81</v>
      </c>
      <c r="L339" s="126" t="s">
        <v>74</v>
      </c>
      <c r="M339" s="126">
        <v>850000</v>
      </c>
      <c r="N339" s="126">
        <v>850000</v>
      </c>
      <c r="O339" s="126">
        <v>1175405.5</v>
      </c>
      <c r="P339" s="126" t="s">
        <v>659</v>
      </c>
      <c r="Q339" s="126" t="s">
        <v>659</v>
      </c>
      <c r="R339" s="126" t="s">
        <v>659</v>
      </c>
      <c r="S339" s="126">
        <v>850000</v>
      </c>
      <c r="T339" s="126">
        <v>850000</v>
      </c>
      <c r="U339" s="127">
        <v>1175405.5</v>
      </c>
      <c r="V339" s="126" t="s">
        <v>81</v>
      </c>
      <c r="W339" s="126">
        <v>0</v>
      </c>
      <c r="X339" s="126" t="s">
        <v>81</v>
      </c>
      <c r="Y339" s="126">
        <v>0</v>
      </c>
      <c r="Z339" s="126" t="s">
        <v>81</v>
      </c>
      <c r="AA339" s="126">
        <v>0</v>
      </c>
      <c r="AB339" s="141">
        <v>0</v>
      </c>
      <c r="AC339" s="126">
        <v>0</v>
      </c>
      <c r="AD339" s="139">
        <v>0</v>
      </c>
      <c r="AE339" s="126">
        <v>0</v>
      </c>
      <c r="AF339" s="126">
        <v>0</v>
      </c>
      <c r="AG339" s="126">
        <v>0</v>
      </c>
      <c r="AH339" s="142" t="s">
        <v>81</v>
      </c>
      <c r="AI339" s="142">
        <v>0</v>
      </c>
      <c r="AJ339" s="142" t="s">
        <v>81</v>
      </c>
      <c r="AK339" s="142">
        <v>0</v>
      </c>
      <c r="AL339" s="142" t="s">
        <v>217</v>
      </c>
      <c r="AM339" s="142" t="s">
        <v>75</v>
      </c>
      <c r="AN339" s="142" t="s">
        <v>81</v>
      </c>
      <c r="AO339" s="142" t="s">
        <v>110</v>
      </c>
      <c r="AP339" s="142" t="s">
        <v>81</v>
      </c>
      <c r="AQ339" s="142">
        <v>1</v>
      </c>
      <c r="AR339" s="142" t="s">
        <v>74</v>
      </c>
    </row>
    <row r="340" spans="1:44" s="143" customFormat="1" ht="25.05" customHeight="1" x14ac:dyDescent="0.3">
      <c r="A340" s="126" t="s">
        <v>780</v>
      </c>
      <c r="B340" s="125" t="s">
        <v>781</v>
      </c>
      <c r="C340" s="139">
        <v>2018</v>
      </c>
      <c r="D340" s="139" t="s">
        <v>113</v>
      </c>
      <c r="E340" s="139" t="s">
        <v>78</v>
      </c>
      <c r="F340" s="139" t="s">
        <v>565</v>
      </c>
      <c r="G340" s="139" t="s">
        <v>518</v>
      </c>
      <c r="H340" s="139" t="s">
        <v>466</v>
      </c>
      <c r="I340" s="126" t="s">
        <v>466</v>
      </c>
      <c r="J340" s="126" t="s">
        <v>689</v>
      </c>
      <c r="K340" s="126" t="s">
        <v>81</v>
      </c>
      <c r="L340" s="140" t="s">
        <v>104</v>
      </c>
      <c r="M340" s="140">
        <v>144000000</v>
      </c>
      <c r="N340" s="126">
        <v>121263157.89473684</v>
      </c>
      <c r="O340" s="126">
        <v>172694501.05263156</v>
      </c>
      <c r="P340" s="126">
        <v>59055118.109999999</v>
      </c>
      <c r="Q340" s="126">
        <v>59055118.109999999</v>
      </c>
      <c r="R340" s="126">
        <v>84102165.353994295</v>
      </c>
      <c r="S340" s="126">
        <v>59055118.109999999</v>
      </c>
      <c r="T340" s="126">
        <v>59055118.109999999</v>
      </c>
      <c r="U340" s="127">
        <v>84102165.353994295</v>
      </c>
      <c r="V340" s="140" t="s">
        <v>81</v>
      </c>
      <c r="W340" s="126" t="s">
        <v>78</v>
      </c>
      <c r="X340" s="126" t="s">
        <v>81</v>
      </c>
      <c r="Y340" s="126" t="s">
        <v>78</v>
      </c>
      <c r="Z340" s="126" t="s">
        <v>81</v>
      </c>
      <c r="AA340" s="126">
        <v>0</v>
      </c>
      <c r="AB340" s="141" t="s">
        <v>78</v>
      </c>
      <c r="AC340" s="126">
        <v>0</v>
      </c>
      <c r="AD340" s="139" t="s">
        <v>78</v>
      </c>
      <c r="AE340" s="126">
        <v>0</v>
      </c>
      <c r="AF340" s="126" t="s">
        <v>78</v>
      </c>
      <c r="AG340" s="126">
        <v>0</v>
      </c>
      <c r="AH340" s="142" t="s">
        <v>81</v>
      </c>
      <c r="AI340" s="142" t="s">
        <v>78</v>
      </c>
      <c r="AJ340" s="142" t="s">
        <v>81</v>
      </c>
      <c r="AK340" s="142" t="s">
        <v>78</v>
      </c>
      <c r="AL340" s="142" t="s">
        <v>78</v>
      </c>
      <c r="AM340" s="142" t="s">
        <v>81</v>
      </c>
      <c r="AN340" s="142" t="s">
        <v>81</v>
      </c>
      <c r="AO340" s="142" t="s">
        <v>78</v>
      </c>
      <c r="AP340" s="142" t="s">
        <v>81</v>
      </c>
      <c r="AQ340" s="142">
        <v>1</v>
      </c>
      <c r="AR340" s="142" t="s">
        <v>104</v>
      </c>
    </row>
    <row r="341" spans="1:44" s="143" customFormat="1" ht="25.05" customHeight="1" x14ac:dyDescent="0.3">
      <c r="A341" s="126" t="s">
        <v>814</v>
      </c>
      <c r="B341" s="125" t="s">
        <v>815</v>
      </c>
      <c r="C341" s="139">
        <v>2018</v>
      </c>
      <c r="D341" s="139" t="s">
        <v>514</v>
      </c>
      <c r="E341" s="139" t="s">
        <v>78</v>
      </c>
      <c r="F341" s="139" t="s">
        <v>567</v>
      </c>
      <c r="G341" s="139" t="s">
        <v>522</v>
      </c>
      <c r="H341" s="139" t="s">
        <v>587</v>
      </c>
      <c r="I341" s="126" t="s">
        <v>256</v>
      </c>
      <c r="J341" s="126" t="s">
        <v>676</v>
      </c>
      <c r="K341" s="126" t="s">
        <v>81</v>
      </c>
      <c r="L341" s="140" t="s">
        <v>74</v>
      </c>
      <c r="M341" s="140">
        <v>48900000</v>
      </c>
      <c r="N341" s="126">
        <v>48900000</v>
      </c>
      <c r="O341" s="126">
        <v>69639957</v>
      </c>
      <c r="P341" s="126">
        <v>44000000</v>
      </c>
      <c r="Q341" s="126">
        <v>44000000</v>
      </c>
      <c r="R341" s="126">
        <v>62661719.999999993</v>
      </c>
      <c r="S341" s="126">
        <v>44000000</v>
      </c>
      <c r="T341" s="126">
        <v>44000000</v>
      </c>
      <c r="U341" s="127">
        <v>62661719.999999993</v>
      </c>
      <c r="V341" s="140" t="s">
        <v>75</v>
      </c>
      <c r="W341" s="126" t="s">
        <v>816</v>
      </c>
      <c r="X341" s="126" t="s">
        <v>81</v>
      </c>
      <c r="Y341" s="126" t="s">
        <v>78</v>
      </c>
      <c r="Z341" s="126" t="s">
        <v>75</v>
      </c>
      <c r="AA341" s="126">
        <v>999</v>
      </c>
      <c r="AB341" s="141" t="s">
        <v>817</v>
      </c>
      <c r="AC341" s="126">
        <v>999</v>
      </c>
      <c r="AD341" s="139" t="s">
        <v>818</v>
      </c>
      <c r="AE341" s="126">
        <v>0</v>
      </c>
      <c r="AF341" s="126" t="s">
        <v>78</v>
      </c>
      <c r="AG341" s="126">
        <v>3</v>
      </c>
      <c r="AH341" s="142" t="s">
        <v>81</v>
      </c>
      <c r="AI341" s="142" t="s">
        <v>78</v>
      </c>
      <c r="AJ341" s="142" t="s">
        <v>75</v>
      </c>
      <c r="AK341" s="142" t="s">
        <v>256</v>
      </c>
      <c r="AL341" s="142" t="s">
        <v>796</v>
      </c>
      <c r="AM341" s="142" t="s">
        <v>81</v>
      </c>
      <c r="AN341" s="142" t="s">
        <v>81</v>
      </c>
      <c r="AO341" s="142" t="s">
        <v>78</v>
      </c>
      <c r="AP341" s="142" t="s">
        <v>81</v>
      </c>
      <c r="AQ341" s="142">
        <v>1</v>
      </c>
      <c r="AR341" s="142" t="s">
        <v>74</v>
      </c>
    </row>
    <row r="342" spans="1:44" s="143" customFormat="1" ht="25.05" customHeight="1" x14ac:dyDescent="0.3">
      <c r="A342" s="126" t="s">
        <v>1355</v>
      </c>
      <c r="B342" s="125" t="s">
        <v>1356</v>
      </c>
      <c r="C342" s="139">
        <v>2015</v>
      </c>
      <c r="D342" s="145" t="s">
        <v>514</v>
      </c>
      <c r="E342" s="139" t="s">
        <v>78</v>
      </c>
      <c r="F342" s="139" t="s">
        <v>567</v>
      </c>
      <c r="G342" s="139" t="s">
        <v>522</v>
      </c>
      <c r="H342" s="139" t="s">
        <v>583</v>
      </c>
      <c r="I342" s="126" t="s">
        <v>228</v>
      </c>
      <c r="J342" s="126" t="s">
        <v>676</v>
      </c>
      <c r="K342" s="126" t="s">
        <v>81</v>
      </c>
      <c r="L342" s="140" t="s">
        <v>74</v>
      </c>
      <c r="M342" s="140">
        <v>5000000</v>
      </c>
      <c r="N342" s="126">
        <v>5000000</v>
      </c>
      <c r="O342" s="126">
        <v>7244050</v>
      </c>
      <c r="P342" s="126">
        <v>5000000</v>
      </c>
      <c r="Q342" s="126">
        <v>5000000</v>
      </c>
      <c r="R342" s="126">
        <v>7244050</v>
      </c>
      <c r="S342" s="126">
        <v>5000000</v>
      </c>
      <c r="T342" s="126">
        <v>5000000</v>
      </c>
      <c r="U342" s="127">
        <v>7244050</v>
      </c>
      <c r="V342" s="140" t="s">
        <v>81</v>
      </c>
      <c r="W342" s="126" t="s">
        <v>78</v>
      </c>
      <c r="X342" s="126" t="s">
        <v>81</v>
      </c>
      <c r="Y342" s="126" t="s">
        <v>78</v>
      </c>
      <c r="Z342" s="126" t="s">
        <v>81</v>
      </c>
      <c r="AA342" s="126">
        <v>0</v>
      </c>
      <c r="AB342" s="141" t="s">
        <v>78</v>
      </c>
      <c r="AC342" s="126">
        <v>0</v>
      </c>
      <c r="AD342" s="139" t="s">
        <v>78</v>
      </c>
      <c r="AE342" s="126">
        <v>0</v>
      </c>
      <c r="AF342" s="126" t="s">
        <v>78</v>
      </c>
      <c r="AG342" s="126">
        <v>0</v>
      </c>
      <c r="AH342" s="142" t="s">
        <v>81</v>
      </c>
      <c r="AI342" s="142" t="s">
        <v>78</v>
      </c>
      <c r="AJ342" s="142" t="s">
        <v>81</v>
      </c>
      <c r="AK342" s="142" t="s">
        <v>78</v>
      </c>
      <c r="AL342" s="142" t="s">
        <v>78</v>
      </c>
      <c r="AM342" s="142" t="s">
        <v>81</v>
      </c>
      <c r="AN342" s="142" t="s">
        <v>81</v>
      </c>
      <c r="AO342" s="142" t="s">
        <v>78</v>
      </c>
      <c r="AP342" s="142" t="s">
        <v>81</v>
      </c>
      <c r="AQ342" s="142">
        <v>1</v>
      </c>
      <c r="AR342" s="142" t="s">
        <v>74</v>
      </c>
    </row>
    <row r="343" spans="1:44" s="143" customFormat="1" ht="25.05" customHeight="1" x14ac:dyDescent="0.3">
      <c r="A343" s="126" t="s">
        <v>1181</v>
      </c>
      <c r="B343" s="125" t="s">
        <v>1182</v>
      </c>
      <c r="C343" s="139">
        <v>2016</v>
      </c>
      <c r="D343" s="139" t="s">
        <v>445</v>
      </c>
      <c r="E343" s="139" t="s">
        <v>78</v>
      </c>
      <c r="F343" s="139" t="s">
        <v>552</v>
      </c>
      <c r="G343" s="139" t="s">
        <v>519</v>
      </c>
      <c r="H343" s="139" t="s">
        <v>589</v>
      </c>
      <c r="I343" s="126" t="s">
        <v>256</v>
      </c>
      <c r="J343" s="126" t="s">
        <v>679</v>
      </c>
      <c r="K343" s="126" t="s">
        <v>75</v>
      </c>
      <c r="L343" s="140" t="s">
        <v>104</v>
      </c>
      <c r="M343" s="140">
        <v>1600000</v>
      </c>
      <c r="N343" s="126">
        <v>1257041.3959444703</v>
      </c>
      <c r="O343" s="126">
        <v>1741919.9736021308</v>
      </c>
      <c r="P343" s="126">
        <v>1312335.96</v>
      </c>
      <c r="Q343" s="126">
        <v>1312335.96</v>
      </c>
      <c r="R343" s="126">
        <v>1818543.3098507999</v>
      </c>
      <c r="S343" s="126">
        <v>0</v>
      </c>
      <c r="T343" s="126">
        <v>0</v>
      </c>
      <c r="U343" s="127">
        <v>0</v>
      </c>
      <c r="V343" s="140" t="s">
        <v>81</v>
      </c>
      <c r="W343" s="126" t="s">
        <v>78</v>
      </c>
      <c r="X343" s="126" t="s">
        <v>81</v>
      </c>
      <c r="Y343" s="126" t="s">
        <v>78</v>
      </c>
      <c r="Z343" s="126" t="s">
        <v>81</v>
      </c>
      <c r="AA343" s="126">
        <v>0</v>
      </c>
      <c r="AB343" s="141" t="s">
        <v>78</v>
      </c>
      <c r="AC343" s="126">
        <v>0</v>
      </c>
      <c r="AD343" s="139" t="s">
        <v>78</v>
      </c>
      <c r="AE343" s="126">
        <v>0</v>
      </c>
      <c r="AF343" s="126" t="s">
        <v>78</v>
      </c>
      <c r="AG343" s="126">
        <v>0</v>
      </c>
      <c r="AH343" s="142" t="s">
        <v>81</v>
      </c>
      <c r="AI343" s="142" t="s">
        <v>78</v>
      </c>
      <c r="AJ343" s="142" t="s">
        <v>81</v>
      </c>
      <c r="AK343" s="142" t="s">
        <v>78</v>
      </c>
      <c r="AL343" s="142" t="s">
        <v>78</v>
      </c>
      <c r="AM343" s="142" t="s">
        <v>81</v>
      </c>
      <c r="AN343" s="142" t="s">
        <v>81</v>
      </c>
      <c r="AO343" s="142" t="s">
        <v>78</v>
      </c>
      <c r="AP343" s="142" t="s">
        <v>81</v>
      </c>
      <c r="AQ343" s="142">
        <v>1</v>
      </c>
      <c r="AR343" s="142" t="s">
        <v>104</v>
      </c>
    </row>
    <row r="344" spans="1:44" s="143" customFormat="1" ht="25.05" customHeight="1" x14ac:dyDescent="0.3">
      <c r="A344" s="126" t="s">
        <v>1411</v>
      </c>
      <c r="B344" s="126" t="s">
        <v>1412</v>
      </c>
      <c r="C344" s="139">
        <v>2019</v>
      </c>
      <c r="D344" s="139" t="s">
        <v>70</v>
      </c>
      <c r="E344" s="139" t="s">
        <v>78</v>
      </c>
      <c r="F344" s="139" t="s">
        <v>570</v>
      </c>
      <c r="G344" s="139" t="s">
        <v>519</v>
      </c>
      <c r="H344" s="139" t="s">
        <v>587</v>
      </c>
      <c r="I344" s="126" t="s">
        <v>256</v>
      </c>
      <c r="J344" s="126" t="s">
        <v>1413</v>
      </c>
      <c r="K344" s="126" t="s">
        <v>75</v>
      </c>
      <c r="L344" s="126" t="s">
        <v>126</v>
      </c>
      <c r="M344" s="126">
        <v>1750000</v>
      </c>
      <c r="N344" s="126">
        <v>1258277.669525953</v>
      </c>
      <c r="O344" s="126">
        <v>1750000.0000000002</v>
      </c>
      <c r="P344" s="126">
        <v>1276841.02</v>
      </c>
      <c r="Q344" s="126">
        <v>1276841.02</v>
      </c>
      <c r="R344" s="126">
        <v>1775817.7222058</v>
      </c>
      <c r="S344" s="126">
        <v>0</v>
      </c>
      <c r="T344" s="126">
        <v>0</v>
      </c>
      <c r="U344" s="127">
        <v>0</v>
      </c>
      <c r="V344" s="126" t="s">
        <v>75</v>
      </c>
      <c r="W344" s="126" t="s">
        <v>1414</v>
      </c>
      <c r="X344" s="126" t="s">
        <v>75</v>
      </c>
      <c r="Y344" s="126" t="s">
        <v>1415</v>
      </c>
      <c r="Z344" s="126" t="s">
        <v>75</v>
      </c>
      <c r="AA344" s="126">
        <v>999</v>
      </c>
      <c r="AB344" s="141" t="s">
        <v>1416</v>
      </c>
      <c r="AC344" s="126">
        <v>999</v>
      </c>
      <c r="AD344" s="139" t="s">
        <v>1417</v>
      </c>
      <c r="AE344" s="126">
        <v>0</v>
      </c>
      <c r="AF344" s="126" t="s">
        <v>78</v>
      </c>
      <c r="AG344" s="126">
        <v>2</v>
      </c>
      <c r="AH344" s="142" t="s">
        <v>81</v>
      </c>
      <c r="AI344" s="142" t="s">
        <v>78</v>
      </c>
      <c r="AJ344" s="142" t="s">
        <v>75</v>
      </c>
      <c r="AK344" s="142" t="s">
        <v>1418</v>
      </c>
      <c r="AL344" s="142" t="s">
        <v>121</v>
      </c>
      <c r="AM344" s="142" t="s">
        <v>81</v>
      </c>
      <c r="AN344" s="142" t="s">
        <v>75</v>
      </c>
      <c r="AO344" s="142" t="s">
        <v>78</v>
      </c>
      <c r="AP344" s="142" t="s">
        <v>75</v>
      </c>
      <c r="AQ344" s="142">
        <v>1</v>
      </c>
      <c r="AR344" s="142" t="s">
        <v>126</v>
      </c>
    </row>
    <row r="345" spans="1:44" s="143" customFormat="1" ht="25.05" customHeight="1" x14ac:dyDescent="0.3">
      <c r="A345" s="126" t="s">
        <v>1567</v>
      </c>
      <c r="B345" s="126" t="s">
        <v>1568</v>
      </c>
      <c r="C345" s="139">
        <v>2019</v>
      </c>
      <c r="D345" s="139" t="s">
        <v>371</v>
      </c>
      <c r="E345" s="139" t="s">
        <v>78</v>
      </c>
      <c r="F345" s="139" t="s">
        <v>542</v>
      </c>
      <c r="G345" s="139" t="s">
        <v>520</v>
      </c>
      <c r="H345" s="139" t="s">
        <v>228</v>
      </c>
      <c r="I345" s="126" t="s">
        <v>228</v>
      </c>
      <c r="J345" s="126" t="s">
        <v>679</v>
      </c>
      <c r="K345" s="126" t="s">
        <v>81</v>
      </c>
      <c r="L345" s="126" t="s">
        <v>74</v>
      </c>
      <c r="M345" s="126">
        <v>10620000</v>
      </c>
      <c r="N345" s="126">
        <v>10620000</v>
      </c>
      <c r="O345" s="126">
        <v>14770189.799999999</v>
      </c>
      <c r="P345" s="126">
        <v>9560000</v>
      </c>
      <c r="Q345" s="126">
        <v>9560000</v>
      </c>
      <c r="R345" s="126">
        <v>13295952.4</v>
      </c>
      <c r="S345" s="126">
        <v>1060000</v>
      </c>
      <c r="T345" s="126">
        <v>1060000</v>
      </c>
      <c r="U345" s="127">
        <v>1474237.4</v>
      </c>
      <c r="V345" s="126" t="s">
        <v>75</v>
      </c>
      <c r="W345" s="126" t="s">
        <v>1569</v>
      </c>
      <c r="X345" s="126" t="s">
        <v>75</v>
      </c>
      <c r="Y345" s="126" t="s">
        <v>1570</v>
      </c>
      <c r="Z345" s="126" t="s">
        <v>81</v>
      </c>
      <c r="AA345" s="126">
        <v>0</v>
      </c>
      <c r="AB345" s="141" t="s">
        <v>78</v>
      </c>
      <c r="AC345" s="126">
        <v>0</v>
      </c>
      <c r="AD345" s="139" t="s">
        <v>78</v>
      </c>
      <c r="AE345" s="126">
        <v>0</v>
      </c>
      <c r="AF345" s="126" t="s">
        <v>78</v>
      </c>
      <c r="AG345" s="126">
        <v>0</v>
      </c>
      <c r="AH345" s="142" t="s">
        <v>81</v>
      </c>
      <c r="AI345" s="142" t="s">
        <v>78</v>
      </c>
      <c r="AJ345" s="142" t="s">
        <v>81</v>
      </c>
      <c r="AK345" s="142" t="s">
        <v>1423</v>
      </c>
      <c r="AL345" s="142" t="s">
        <v>121</v>
      </c>
      <c r="AM345" s="142" t="s">
        <v>81</v>
      </c>
      <c r="AN345" s="142" t="s">
        <v>81</v>
      </c>
      <c r="AO345" s="142" t="s">
        <v>78</v>
      </c>
      <c r="AP345" s="142" t="s">
        <v>81</v>
      </c>
      <c r="AQ345" s="142">
        <v>1</v>
      </c>
      <c r="AR345" s="142" t="s">
        <v>74</v>
      </c>
    </row>
    <row r="346" spans="1:44" s="143" customFormat="1" ht="25.05" customHeight="1" x14ac:dyDescent="0.3">
      <c r="A346" s="126" t="s">
        <v>332</v>
      </c>
      <c r="B346" s="126" t="s">
        <v>333</v>
      </c>
      <c r="C346" s="139">
        <v>2020</v>
      </c>
      <c r="D346" s="139" t="s">
        <v>282</v>
      </c>
      <c r="E346" s="139">
        <v>0</v>
      </c>
      <c r="F346" s="139" t="s">
        <v>553</v>
      </c>
      <c r="G346" s="139" t="s">
        <v>520</v>
      </c>
      <c r="H346" s="139" t="s">
        <v>114</v>
      </c>
      <c r="I346" s="126" t="s">
        <v>115</v>
      </c>
      <c r="J346" s="126" t="s">
        <v>180</v>
      </c>
      <c r="K346" s="126" t="s">
        <v>81</v>
      </c>
      <c r="L346" s="126" t="s">
        <v>74</v>
      </c>
      <c r="M346" s="126">
        <v>4640000</v>
      </c>
      <c r="N346" s="126">
        <v>4640000</v>
      </c>
      <c r="O346" s="126">
        <v>6416331.2000000002</v>
      </c>
      <c r="P346" s="126" t="s">
        <v>659</v>
      </c>
      <c r="Q346" s="126" t="s">
        <v>659</v>
      </c>
      <c r="R346" s="126" t="s">
        <v>659</v>
      </c>
      <c r="S346" s="126">
        <v>4640000</v>
      </c>
      <c r="T346" s="126">
        <v>4640000</v>
      </c>
      <c r="U346" s="127">
        <v>6416331.2000000002</v>
      </c>
      <c r="V346" s="126" t="s">
        <v>75</v>
      </c>
      <c r="W346" s="126" t="s">
        <v>334</v>
      </c>
      <c r="X346" s="126" t="s">
        <v>81</v>
      </c>
      <c r="Y346" s="126">
        <v>0</v>
      </c>
      <c r="Z346" s="126" t="s">
        <v>75</v>
      </c>
      <c r="AA346" s="126">
        <v>0</v>
      </c>
      <c r="AB346" s="141" t="s">
        <v>78</v>
      </c>
      <c r="AC346" s="126">
        <v>1</v>
      </c>
      <c r="AD346" s="139" t="s">
        <v>335</v>
      </c>
      <c r="AE346" s="126">
        <v>0</v>
      </c>
      <c r="AF346" s="126" t="s">
        <v>78</v>
      </c>
      <c r="AG346" s="126">
        <v>1</v>
      </c>
      <c r="AH346" s="142" t="s">
        <v>75</v>
      </c>
      <c r="AI346" s="142" t="s">
        <v>336</v>
      </c>
      <c r="AJ346" s="142" t="s">
        <v>75</v>
      </c>
      <c r="AK346" s="142" t="s">
        <v>337</v>
      </c>
      <c r="AL346" s="142" t="s">
        <v>121</v>
      </c>
      <c r="AM346" s="142" t="s">
        <v>75</v>
      </c>
      <c r="AN346" s="142" t="s">
        <v>75</v>
      </c>
      <c r="AO346" s="142" t="s">
        <v>84</v>
      </c>
      <c r="AP346" s="142" t="s">
        <v>81</v>
      </c>
      <c r="AQ346" s="142">
        <v>1</v>
      </c>
      <c r="AR346" s="142" t="s">
        <v>74</v>
      </c>
    </row>
    <row r="347" spans="1:44" s="143" customFormat="1" ht="25.05" customHeight="1" x14ac:dyDescent="0.3">
      <c r="A347" s="126" t="s">
        <v>384</v>
      </c>
      <c r="B347" s="126" t="s">
        <v>385</v>
      </c>
      <c r="C347" s="139">
        <v>2021</v>
      </c>
      <c r="D347" s="139" t="s">
        <v>273</v>
      </c>
      <c r="E347" s="139">
        <v>0</v>
      </c>
      <c r="F347" s="139" t="s">
        <v>549</v>
      </c>
      <c r="G347" s="139" t="s">
        <v>518</v>
      </c>
      <c r="H347" s="139" t="s">
        <v>114</v>
      </c>
      <c r="I347" s="126" t="s">
        <v>115</v>
      </c>
      <c r="J347" s="126" t="s">
        <v>73</v>
      </c>
      <c r="K347" s="126" t="s">
        <v>81</v>
      </c>
      <c r="L347" s="126" t="s">
        <v>74</v>
      </c>
      <c r="M347" s="126">
        <v>3302092</v>
      </c>
      <c r="N347" s="126">
        <v>3302092</v>
      </c>
      <c r="O347" s="126">
        <v>4755904.0448399996</v>
      </c>
      <c r="P347" s="126" t="s">
        <v>659</v>
      </c>
      <c r="Q347" s="126" t="s">
        <v>659</v>
      </c>
      <c r="R347" s="126" t="s">
        <v>659</v>
      </c>
      <c r="S347" s="126">
        <v>3000000</v>
      </c>
      <c r="T347" s="126">
        <v>3000000</v>
      </c>
      <c r="U347" s="127">
        <v>4320810</v>
      </c>
      <c r="V347" s="126" t="s">
        <v>81</v>
      </c>
      <c r="W347" s="126">
        <v>0</v>
      </c>
      <c r="X347" s="126" t="s">
        <v>81</v>
      </c>
      <c r="Y347" s="126">
        <v>0</v>
      </c>
      <c r="Z347" s="126" t="s">
        <v>81</v>
      </c>
      <c r="AA347" s="126">
        <v>0</v>
      </c>
      <c r="AB347" s="141">
        <v>0</v>
      </c>
      <c r="AC347" s="126">
        <v>0</v>
      </c>
      <c r="AD347" s="139">
        <v>0</v>
      </c>
      <c r="AE347" s="126">
        <v>0</v>
      </c>
      <c r="AF347" s="126">
        <v>0</v>
      </c>
      <c r="AG347" s="126">
        <v>0</v>
      </c>
      <c r="AH347" s="142" t="s">
        <v>81</v>
      </c>
      <c r="AI347" s="142">
        <v>0</v>
      </c>
      <c r="AJ347" s="142" t="s">
        <v>81</v>
      </c>
      <c r="AK347" s="142">
        <v>0</v>
      </c>
      <c r="AL347" s="142" t="s">
        <v>121</v>
      </c>
      <c r="AM347" s="142" t="s">
        <v>75</v>
      </c>
      <c r="AN347" s="142" t="s">
        <v>75</v>
      </c>
      <c r="AO347" s="142" t="s">
        <v>84</v>
      </c>
      <c r="AP347" s="142" t="s">
        <v>81</v>
      </c>
      <c r="AQ347" s="142">
        <v>1</v>
      </c>
      <c r="AR347" s="142" t="s">
        <v>74</v>
      </c>
    </row>
    <row r="348" spans="1:44" s="143" customFormat="1" ht="25.05" customHeight="1" x14ac:dyDescent="0.3">
      <c r="A348" s="126" t="s">
        <v>1196</v>
      </c>
      <c r="B348" s="125" t="s">
        <v>1197</v>
      </c>
      <c r="C348" s="139">
        <v>2016</v>
      </c>
      <c r="D348" s="139" t="s">
        <v>509</v>
      </c>
      <c r="E348" s="139" t="s">
        <v>78</v>
      </c>
      <c r="F348" s="139" t="s">
        <v>560</v>
      </c>
      <c r="G348" s="139" t="s">
        <v>522</v>
      </c>
      <c r="H348" s="139" t="s">
        <v>587</v>
      </c>
      <c r="I348" s="126" t="s">
        <v>256</v>
      </c>
      <c r="J348" s="126" t="s">
        <v>679</v>
      </c>
      <c r="K348" s="126" t="s">
        <v>81</v>
      </c>
      <c r="L348" s="140" t="s">
        <v>74</v>
      </c>
      <c r="M348" s="140">
        <v>5513994.5700000003</v>
      </c>
      <c r="N348" s="126">
        <v>5513994.5700000003</v>
      </c>
      <c r="O348" s="126">
        <v>7640907.6954860995</v>
      </c>
      <c r="P348" s="126">
        <v>5460629.9199999999</v>
      </c>
      <c r="Q348" s="126">
        <v>5460629.9199999999</v>
      </c>
      <c r="R348" s="126">
        <v>7566958.6990415994</v>
      </c>
      <c r="S348" s="126">
        <v>3000000</v>
      </c>
      <c r="T348" s="126">
        <v>3000000</v>
      </c>
      <c r="U348" s="127">
        <v>4157189.9999999995</v>
      </c>
      <c r="V348" s="140" t="s">
        <v>81</v>
      </c>
      <c r="W348" s="126" t="s">
        <v>78</v>
      </c>
      <c r="X348" s="126" t="s">
        <v>81</v>
      </c>
      <c r="Y348" s="126" t="s">
        <v>78</v>
      </c>
      <c r="Z348" s="126" t="s">
        <v>81</v>
      </c>
      <c r="AA348" s="126">
        <v>0</v>
      </c>
      <c r="AB348" s="141" t="s">
        <v>78</v>
      </c>
      <c r="AC348" s="126">
        <v>0</v>
      </c>
      <c r="AD348" s="139" t="s">
        <v>78</v>
      </c>
      <c r="AE348" s="126">
        <v>0</v>
      </c>
      <c r="AF348" s="126" t="s">
        <v>78</v>
      </c>
      <c r="AG348" s="126">
        <v>0</v>
      </c>
      <c r="AH348" s="142" t="s">
        <v>81</v>
      </c>
      <c r="AI348" s="142" t="s">
        <v>78</v>
      </c>
      <c r="AJ348" s="142" t="s">
        <v>81</v>
      </c>
      <c r="AK348" s="142" t="s">
        <v>78</v>
      </c>
      <c r="AL348" s="142" t="s">
        <v>78</v>
      </c>
      <c r="AM348" s="142" t="s">
        <v>81</v>
      </c>
      <c r="AN348" s="142" t="s">
        <v>81</v>
      </c>
      <c r="AO348" s="142" t="s">
        <v>78</v>
      </c>
      <c r="AP348" s="142" t="s">
        <v>81</v>
      </c>
      <c r="AQ348" s="142">
        <v>1</v>
      </c>
      <c r="AR348" s="142" t="s">
        <v>74</v>
      </c>
    </row>
    <row r="349" spans="1:44" s="143" customFormat="1" ht="25.05" customHeight="1" x14ac:dyDescent="0.3">
      <c r="A349" s="126" t="s">
        <v>1339</v>
      </c>
      <c r="B349" s="125" t="s">
        <v>1340</v>
      </c>
      <c r="C349" s="139">
        <v>2015</v>
      </c>
      <c r="D349" s="145" t="s">
        <v>314</v>
      </c>
      <c r="E349" s="139" t="s">
        <v>78</v>
      </c>
      <c r="F349" s="139" t="s">
        <v>557</v>
      </c>
      <c r="G349" s="139" t="s">
        <v>522</v>
      </c>
      <c r="H349" s="139" t="s">
        <v>587</v>
      </c>
      <c r="I349" s="126" t="s">
        <v>256</v>
      </c>
      <c r="J349" s="126" t="s">
        <v>676</v>
      </c>
      <c r="K349" s="126" t="s">
        <v>81</v>
      </c>
      <c r="L349" s="140" t="s">
        <v>74</v>
      </c>
      <c r="M349" s="140">
        <v>15638000</v>
      </c>
      <c r="N349" s="126">
        <v>15638000</v>
      </c>
      <c r="O349" s="126">
        <v>22656490.779999997</v>
      </c>
      <c r="P349" s="126">
        <v>15656167.98</v>
      </c>
      <c r="Q349" s="126">
        <v>15656167.98</v>
      </c>
      <c r="R349" s="126">
        <v>22682812.7311038</v>
      </c>
      <c r="S349" s="126">
        <v>15000000</v>
      </c>
      <c r="T349" s="126">
        <v>15000000</v>
      </c>
      <c r="U349" s="127">
        <v>21732150</v>
      </c>
      <c r="V349" s="140" t="s">
        <v>81</v>
      </c>
      <c r="W349" s="126" t="s">
        <v>78</v>
      </c>
      <c r="X349" s="126" t="s">
        <v>81</v>
      </c>
      <c r="Y349" s="126" t="s">
        <v>78</v>
      </c>
      <c r="Z349" s="126" t="s">
        <v>81</v>
      </c>
      <c r="AA349" s="126">
        <v>0</v>
      </c>
      <c r="AB349" s="141" t="s">
        <v>78</v>
      </c>
      <c r="AC349" s="126">
        <v>0</v>
      </c>
      <c r="AD349" s="139" t="s">
        <v>78</v>
      </c>
      <c r="AE349" s="126">
        <v>0</v>
      </c>
      <c r="AF349" s="126" t="s">
        <v>78</v>
      </c>
      <c r="AG349" s="126">
        <v>0</v>
      </c>
      <c r="AH349" s="142" t="s">
        <v>81</v>
      </c>
      <c r="AI349" s="142" t="s">
        <v>78</v>
      </c>
      <c r="AJ349" s="142" t="s">
        <v>81</v>
      </c>
      <c r="AK349" s="142" t="s">
        <v>78</v>
      </c>
      <c r="AL349" s="142" t="s">
        <v>78</v>
      </c>
      <c r="AM349" s="142" t="s">
        <v>81</v>
      </c>
      <c r="AN349" s="142" t="s">
        <v>81</v>
      </c>
      <c r="AO349" s="142" t="s">
        <v>78</v>
      </c>
      <c r="AP349" s="142" t="s">
        <v>81</v>
      </c>
      <c r="AQ349" s="142">
        <v>1</v>
      </c>
      <c r="AR349" s="142" t="s">
        <v>74</v>
      </c>
    </row>
    <row r="350" spans="1:44" s="143" customFormat="1" ht="25.05" customHeight="1" x14ac:dyDescent="0.3">
      <c r="A350" s="126" t="s">
        <v>1235</v>
      </c>
      <c r="B350" s="125" t="s">
        <v>1236</v>
      </c>
      <c r="C350" s="139">
        <v>2016</v>
      </c>
      <c r="D350" s="139" t="s">
        <v>514</v>
      </c>
      <c r="E350" s="139" t="s">
        <v>78</v>
      </c>
      <c r="F350" s="139" t="s">
        <v>567</v>
      </c>
      <c r="G350" s="139" t="s">
        <v>522</v>
      </c>
      <c r="H350" s="139" t="s">
        <v>587</v>
      </c>
      <c r="I350" s="126" t="s">
        <v>256</v>
      </c>
      <c r="J350" s="126" t="s">
        <v>676</v>
      </c>
      <c r="K350" s="126" t="s">
        <v>81</v>
      </c>
      <c r="L350" s="140" t="s">
        <v>74</v>
      </c>
      <c r="M350" s="140">
        <v>73110000</v>
      </c>
      <c r="N350" s="126">
        <v>73110000</v>
      </c>
      <c r="O350" s="126">
        <v>101310720.3</v>
      </c>
      <c r="P350" s="126">
        <v>65800000</v>
      </c>
      <c r="Q350" s="126">
        <v>65800000</v>
      </c>
      <c r="R350" s="126">
        <v>91181034</v>
      </c>
      <c r="S350" s="126">
        <v>65800000</v>
      </c>
      <c r="T350" s="126">
        <v>65800000</v>
      </c>
      <c r="U350" s="127">
        <v>91181034</v>
      </c>
      <c r="V350" s="140" t="s">
        <v>75</v>
      </c>
      <c r="W350" s="126" t="s">
        <v>1237</v>
      </c>
      <c r="X350" s="126" t="s">
        <v>81</v>
      </c>
      <c r="Y350" s="126" t="s">
        <v>78</v>
      </c>
      <c r="Z350" s="126" t="s">
        <v>75</v>
      </c>
      <c r="AA350" s="126">
        <v>999</v>
      </c>
      <c r="AB350" s="141" t="s">
        <v>1238</v>
      </c>
      <c r="AC350" s="126">
        <v>0</v>
      </c>
      <c r="AD350" s="139" t="s">
        <v>78</v>
      </c>
      <c r="AE350" s="126">
        <v>0</v>
      </c>
      <c r="AF350" s="126" t="s">
        <v>78</v>
      </c>
      <c r="AG350" s="126">
        <v>1</v>
      </c>
      <c r="AH350" s="142" t="s">
        <v>75</v>
      </c>
      <c r="AI350" s="142" t="s">
        <v>1239</v>
      </c>
      <c r="AJ350" s="142" t="s">
        <v>75</v>
      </c>
      <c r="AK350" s="142" t="s">
        <v>466</v>
      </c>
      <c r="AL350" s="142" t="s">
        <v>704</v>
      </c>
      <c r="AM350" s="142" t="s">
        <v>81</v>
      </c>
      <c r="AN350" s="142" t="s">
        <v>81</v>
      </c>
      <c r="AO350" s="142" t="s">
        <v>78</v>
      </c>
      <c r="AP350" s="142" t="s">
        <v>81</v>
      </c>
      <c r="AQ350" s="142">
        <v>1</v>
      </c>
      <c r="AR350" s="142" t="s">
        <v>74</v>
      </c>
    </row>
    <row r="351" spans="1:44" s="143" customFormat="1" ht="25.05" customHeight="1" x14ac:dyDescent="0.3">
      <c r="A351" s="126" t="s">
        <v>1517</v>
      </c>
      <c r="B351" s="126" t="s">
        <v>1518</v>
      </c>
      <c r="C351" s="139">
        <v>2019</v>
      </c>
      <c r="D351" s="139" t="s">
        <v>155</v>
      </c>
      <c r="E351" s="139" t="s">
        <v>78</v>
      </c>
      <c r="F351" s="139" t="s">
        <v>559</v>
      </c>
      <c r="G351" s="139" t="s">
        <v>520</v>
      </c>
      <c r="H351" s="139" t="s">
        <v>228</v>
      </c>
      <c r="I351" s="126" t="s">
        <v>228</v>
      </c>
      <c r="J351" s="126" t="s">
        <v>679</v>
      </c>
      <c r="K351" s="126" t="s">
        <v>81</v>
      </c>
      <c r="L351" s="126" t="s">
        <v>104</v>
      </c>
      <c r="M351" s="126">
        <v>121980000</v>
      </c>
      <c r="N351" s="126">
        <v>100457899.59151404</v>
      </c>
      <c r="O351" s="126">
        <v>139715842.17288181</v>
      </c>
      <c r="P351" s="126">
        <v>71691102</v>
      </c>
      <c r="Q351" s="126">
        <v>71691102</v>
      </c>
      <c r="R351" s="126">
        <v>99707267.750579998</v>
      </c>
      <c r="S351" s="126">
        <v>49794128</v>
      </c>
      <c r="T351" s="126">
        <v>49794128</v>
      </c>
      <c r="U351" s="127">
        <v>69253175.281120002</v>
      </c>
      <c r="V351" s="126" t="s">
        <v>81</v>
      </c>
      <c r="W351" s="126" t="s">
        <v>78</v>
      </c>
      <c r="X351" s="126" t="s">
        <v>81</v>
      </c>
      <c r="Y351" s="126" t="s">
        <v>1519</v>
      </c>
      <c r="Z351" s="126" t="s">
        <v>81</v>
      </c>
      <c r="AA351" s="126">
        <v>0</v>
      </c>
      <c r="AB351" s="141" t="s">
        <v>78</v>
      </c>
      <c r="AC351" s="126">
        <v>0</v>
      </c>
      <c r="AD351" s="139" t="s">
        <v>78</v>
      </c>
      <c r="AE351" s="126">
        <v>0</v>
      </c>
      <c r="AF351" s="126" t="s">
        <v>78</v>
      </c>
      <c r="AG351" s="126">
        <v>0</v>
      </c>
      <c r="AH351" s="142" t="s">
        <v>81</v>
      </c>
      <c r="AI351" s="142" t="s">
        <v>78</v>
      </c>
      <c r="AJ351" s="142" t="s">
        <v>81</v>
      </c>
      <c r="AK351" s="142" t="s">
        <v>1423</v>
      </c>
      <c r="AL351" s="142" t="s">
        <v>132</v>
      </c>
      <c r="AM351" s="142" t="s">
        <v>81</v>
      </c>
      <c r="AN351" s="142" t="s">
        <v>81</v>
      </c>
      <c r="AO351" s="142" t="s">
        <v>78</v>
      </c>
      <c r="AP351" s="142" t="s">
        <v>81</v>
      </c>
      <c r="AQ351" s="142">
        <v>1</v>
      </c>
      <c r="AR351" s="142" t="s">
        <v>104</v>
      </c>
    </row>
    <row r="352" spans="1:44" s="143" customFormat="1" ht="25.05" customHeight="1" x14ac:dyDescent="0.3">
      <c r="A352" s="126" t="s">
        <v>677</v>
      </c>
      <c r="B352" s="125" t="s">
        <v>678</v>
      </c>
      <c r="C352" s="139">
        <v>2018</v>
      </c>
      <c r="D352" s="139" t="s">
        <v>353</v>
      </c>
      <c r="E352" s="139" t="s">
        <v>78</v>
      </c>
      <c r="F352" s="139" t="s">
        <v>78</v>
      </c>
      <c r="G352" s="139" t="s">
        <v>519</v>
      </c>
      <c r="H352" s="139" t="s">
        <v>587</v>
      </c>
      <c r="I352" s="126" t="s">
        <v>256</v>
      </c>
      <c r="J352" s="126" t="s">
        <v>679</v>
      </c>
      <c r="K352" s="126" t="s">
        <v>75</v>
      </c>
      <c r="L352" s="140" t="s">
        <v>104</v>
      </c>
      <c r="M352" s="140">
        <v>1500000</v>
      </c>
      <c r="N352" s="126">
        <v>1263157.894736842</v>
      </c>
      <c r="O352" s="126">
        <v>1798901.0526315786</v>
      </c>
      <c r="P352" s="126">
        <v>850885.83</v>
      </c>
      <c r="Q352" s="126">
        <v>850885.83</v>
      </c>
      <c r="R352" s="126">
        <v>1211772.0370778998</v>
      </c>
      <c r="S352" s="126">
        <v>0</v>
      </c>
      <c r="T352" s="126">
        <v>0</v>
      </c>
      <c r="U352" s="127">
        <v>0</v>
      </c>
      <c r="V352" s="140" t="s">
        <v>81</v>
      </c>
      <c r="W352" s="126" t="s">
        <v>78</v>
      </c>
      <c r="X352" s="126" t="s">
        <v>81</v>
      </c>
      <c r="Y352" s="126" t="s">
        <v>78</v>
      </c>
      <c r="Z352" s="126" t="s">
        <v>81</v>
      </c>
      <c r="AA352" s="126">
        <v>0</v>
      </c>
      <c r="AB352" s="141" t="s">
        <v>78</v>
      </c>
      <c r="AC352" s="126">
        <v>0</v>
      </c>
      <c r="AD352" s="139" t="s">
        <v>78</v>
      </c>
      <c r="AE352" s="126">
        <v>0</v>
      </c>
      <c r="AF352" s="126" t="s">
        <v>78</v>
      </c>
      <c r="AG352" s="126">
        <v>0</v>
      </c>
      <c r="AH352" s="142" t="s">
        <v>81</v>
      </c>
      <c r="AI352" s="142" t="s">
        <v>78</v>
      </c>
      <c r="AJ352" s="142" t="s">
        <v>81</v>
      </c>
      <c r="AK352" s="142" t="s">
        <v>78</v>
      </c>
      <c r="AL352" s="142" t="s">
        <v>78</v>
      </c>
      <c r="AM352" s="142" t="s">
        <v>81</v>
      </c>
      <c r="AN352" s="142" t="s">
        <v>81</v>
      </c>
      <c r="AO352" s="142" t="s">
        <v>78</v>
      </c>
      <c r="AP352" s="142" t="s">
        <v>81</v>
      </c>
      <c r="AQ352" s="142">
        <v>1</v>
      </c>
      <c r="AR352" s="142" t="s">
        <v>104</v>
      </c>
    </row>
    <row r="353" spans="1:44" s="143" customFormat="1" ht="25.05" customHeight="1" x14ac:dyDescent="0.3">
      <c r="A353" s="126" t="s">
        <v>1150</v>
      </c>
      <c r="B353" s="125" t="s">
        <v>1151</v>
      </c>
      <c r="C353" s="139">
        <v>2016</v>
      </c>
      <c r="D353" s="139" t="s">
        <v>70</v>
      </c>
      <c r="E353" s="139" t="s">
        <v>78</v>
      </c>
      <c r="F353" s="139" t="s">
        <v>570</v>
      </c>
      <c r="G353" s="139" t="s">
        <v>519</v>
      </c>
      <c r="H353" s="139" t="s">
        <v>579</v>
      </c>
      <c r="I353" s="126" t="s">
        <v>115</v>
      </c>
      <c r="J353" s="126" t="s">
        <v>676</v>
      </c>
      <c r="K353" s="126" t="s">
        <v>81</v>
      </c>
      <c r="L353" s="140" t="s">
        <v>74</v>
      </c>
      <c r="M353" s="140">
        <v>3800000</v>
      </c>
      <c r="N353" s="126">
        <v>3800000</v>
      </c>
      <c r="O353" s="126">
        <v>5265774</v>
      </c>
      <c r="P353" s="126">
        <v>3410000</v>
      </c>
      <c r="Q353" s="126">
        <v>3410000</v>
      </c>
      <c r="R353" s="126">
        <v>4725339.3</v>
      </c>
      <c r="S353" s="126">
        <v>3410000</v>
      </c>
      <c r="T353" s="126">
        <v>3410000</v>
      </c>
      <c r="U353" s="127">
        <v>4725339.3</v>
      </c>
      <c r="V353" s="140" t="s">
        <v>75</v>
      </c>
      <c r="W353" s="126" t="s">
        <v>1152</v>
      </c>
      <c r="X353" s="126" t="s">
        <v>81</v>
      </c>
      <c r="Y353" s="126" t="s">
        <v>78</v>
      </c>
      <c r="Z353" s="126" t="s">
        <v>81</v>
      </c>
      <c r="AA353" s="126">
        <v>0</v>
      </c>
      <c r="AB353" s="141" t="s">
        <v>78</v>
      </c>
      <c r="AC353" s="126">
        <v>0</v>
      </c>
      <c r="AD353" s="139" t="s">
        <v>78</v>
      </c>
      <c r="AE353" s="126">
        <v>0</v>
      </c>
      <c r="AF353" s="126" t="s">
        <v>78</v>
      </c>
      <c r="AG353" s="126">
        <v>0</v>
      </c>
      <c r="AH353" s="142" t="s">
        <v>81</v>
      </c>
      <c r="AI353" s="142" t="s">
        <v>78</v>
      </c>
      <c r="AJ353" s="142" t="s">
        <v>75</v>
      </c>
      <c r="AK353" s="142" t="s">
        <v>228</v>
      </c>
      <c r="AL353" s="142" t="s">
        <v>934</v>
      </c>
      <c r="AM353" s="142" t="s">
        <v>75</v>
      </c>
      <c r="AN353" s="142" t="s">
        <v>81</v>
      </c>
      <c r="AO353" s="142" t="s">
        <v>78</v>
      </c>
      <c r="AP353" s="142" t="s">
        <v>81</v>
      </c>
      <c r="AQ353" s="142">
        <v>1</v>
      </c>
      <c r="AR353" s="142" t="s">
        <v>74</v>
      </c>
    </row>
    <row r="354" spans="1:44" s="143" customFormat="1" ht="25.05" customHeight="1" x14ac:dyDescent="0.3">
      <c r="A354" s="126" t="s">
        <v>1520</v>
      </c>
      <c r="B354" s="126" t="s">
        <v>1513</v>
      </c>
      <c r="C354" s="139">
        <v>2019</v>
      </c>
      <c r="D354" s="139" t="s">
        <v>87</v>
      </c>
      <c r="E354" s="139" t="s">
        <v>78</v>
      </c>
      <c r="F354" s="139" t="s">
        <v>1848</v>
      </c>
      <c r="G354" s="139" t="s">
        <v>87</v>
      </c>
      <c r="H354" s="139">
        <v>0</v>
      </c>
      <c r="I354" s="126" t="s">
        <v>115</v>
      </c>
      <c r="J354" s="126" t="s">
        <v>1521</v>
      </c>
      <c r="K354" s="126" t="s">
        <v>75</v>
      </c>
      <c r="L354" s="126" t="s">
        <v>126</v>
      </c>
      <c r="M354" s="126">
        <v>15042283</v>
      </c>
      <c r="N354" s="126">
        <v>10815639.312908491</v>
      </c>
      <c r="O354" s="126">
        <v>15042283</v>
      </c>
      <c r="P354" s="126">
        <v>0</v>
      </c>
      <c r="Q354" s="126">
        <v>0</v>
      </c>
      <c r="R354" s="126">
        <v>0</v>
      </c>
      <c r="S354" s="126">
        <v>0</v>
      </c>
      <c r="T354" s="126">
        <v>0</v>
      </c>
      <c r="U354" s="127">
        <v>0</v>
      </c>
      <c r="V354" s="126" t="s">
        <v>81</v>
      </c>
      <c r="W354" s="126" t="s">
        <v>78</v>
      </c>
      <c r="X354" s="126" t="s">
        <v>81</v>
      </c>
      <c r="Y354" s="126" t="s">
        <v>1522</v>
      </c>
      <c r="Z354" s="126" t="s">
        <v>81</v>
      </c>
      <c r="AA354" s="126">
        <v>0</v>
      </c>
      <c r="AB354" s="141" t="s">
        <v>78</v>
      </c>
      <c r="AC354" s="126">
        <v>0</v>
      </c>
      <c r="AD354" s="139" t="s">
        <v>78</v>
      </c>
      <c r="AE354" s="126">
        <v>0</v>
      </c>
      <c r="AF354" s="126" t="s">
        <v>78</v>
      </c>
      <c r="AG354" s="126">
        <v>0</v>
      </c>
      <c r="AH354" s="142" t="s">
        <v>81</v>
      </c>
      <c r="AI354" s="142" t="s">
        <v>78</v>
      </c>
      <c r="AJ354" s="142" t="s">
        <v>81</v>
      </c>
      <c r="AK354" s="142" t="s">
        <v>1423</v>
      </c>
      <c r="AL354" s="142" t="s">
        <v>1523</v>
      </c>
      <c r="AM354" s="142" t="s">
        <v>81</v>
      </c>
      <c r="AN354" s="142" t="s">
        <v>81</v>
      </c>
      <c r="AO354" s="142" t="s">
        <v>78</v>
      </c>
      <c r="AP354" s="142" t="s">
        <v>81</v>
      </c>
      <c r="AQ354" s="142">
        <v>1</v>
      </c>
      <c r="AR354" s="142" t="s">
        <v>126</v>
      </c>
    </row>
    <row r="355" spans="1:44" s="143" customFormat="1" ht="25.05" customHeight="1" x14ac:dyDescent="0.3">
      <c r="A355" s="126" t="s">
        <v>1671</v>
      </c>
      <c r="B355" s="126" t="s">
        <v>1672</v>
      </c>
      <c r="C355" s="139">
        <v>2019</v>
      </c>
      <c r="D355" s="139" t="s">
        <v>87</v>
      </c>
      <c r="E355" s="139" t="s">
        <v>1673</v>
      </c>
      <c r="F355" s="139" t="s">
        <v>1848</v>
      </c>
      <c r="G355" s="139" t="s">
        <v>87</v>
      </c>
      <c r="H355" s="139" t="s">
        <v>115</v>
      </c>
      <c r="I355" s="126" t="s">
        <v>115</v>
      </c>
      <c r="J355" s="126" t="s">
        <v>679</v>
      </c>
      <c r="K355" s="126" t="s">
        <v>75</v>
      </c>
      <c r="L355" s="126" t="s">
        <v>126</v>
      </c>
      <c r="M355" s="126">
        <v>15042283</v>
      </c>
      <c r="N355" s="126">
        <v>10815639.312908491</v>
      </c>
      <c r="O355" s="126">
        <v>15042283</v>
      </c>
      <c r="P355" s="126">
        <v>0</v>
      </c>
      <c r="Q355" s="126">
        <v>0</v>
      </c>
      <c r="R355" s="126">
        <v>0</v>
      </c>
      <c r="S355" s="126">
        <v>0</v>
      </c>
      <c r="T355" s="126">
        <v>0</v>
      </c>
      <c r="U355" s="127">
        <v>0</v>
      </c>
      <c r="V355" s="126" t="s">
        <v>81</v>
      </c>
      <c r="W355" s="126" t="s">
        <v>78</v>
      </c>
      <c r="X355" s="126" t="s">
        <v>81</v>
      </c>
      <c r="Y355" s="126" t="s">
        <v>1674</v>
      </c>
      <c r="Z355" s="126" t="s">
        <v>81</v>
      </c>
      <c r="AA355" s="126">
        <v>0</v>
      </c>
      <c r="AB355" s="141" t="s">
        <v>78</v>
      </c>
      <c r="AC355" s="126">
        <v>0</v>
      </c>
      <c r="AD355" s="139" t="s">
        <v>78</v>
      </c>
      <c r="AE355" s="126">
        <v>0</v>
      </c>
      <c r="AF355" s="126" t="s">
        <v>78</v>
      </c>
      <c r="AG355" s="126">
        <v>0</v>
      </c>
      <c r="AH355" s="142" t="s">
        <v>81</v>
      </c>
      <c r="AI355" s="142" t="s">
        <v>78</v>
      </c>
      <c r="AJ355" s="142" t="s">
        <v>81</v>
      </c>
      <c r="AK355" s="142" t="s">
        <v>1423</v>
      </c>
      <c r="AL355" s="142" t="s">
        <v>1523</v>
      </c>
      <c r="AM355" s="142" t="s">
        <v>81</v>
      </c>
      <c r="AN355" s="142" t="s">
        <v>81</v>
      </c>
      <c r="AO355" s="142" t="s">
        <v>78</v>
      </c>
      <c r="AP355" s="142" t="s">
        <v>81</v>
      </c>
      <c r="AQ355" s="142">
        <v>1</v>
      </c>
      <c r="AR355" s="142" t="s">
        <v>126</v>
      </c>
    </row>
    <row r="356" spans="1:44" s="143" customFormat="1" ht="25.05" customHeight="1" x14ac:dyDescent="0.3">
      <c r="A356" s="126" t="s">
        <v>68</v>
      </c>
      <c r="B356" s="126" t="s">
        <v>69</v>
      </c>
      <c r="C356" s="139">
        <v>2020</v>
      </c>
      <c r="D356" s="139" t="s">
        <v>70</v>
      </c>
      <c r="E356" s="139">
        <v>0</v>
      </c>
      <c r="F356" s="139" t="s">
        <v>570</v>
      </c>
      <c r="G356" s="139" t="s">
        <v>519</v>
      </c>
      <c r="H356" s="139" t="s">
        <v>71</v>
      </c>
      <c r="I356" s="126" t="s">
        <v>72</v>
      </c>
      <c r="J356" s="126" t="s">
        <v>73</v>
      </c>
      <c r="K356" s="126" t="s">
        <v>81</v>
      </c>
      <c r="L356" s="126" t="s">
        <v>74</v>
      </c>
      <c r="M356" s="126">
        <v>11110000</v>
      </c>
      <c r="N356" s="126">
        <v>11110000</v>
      </c>
      <c r="O356" s="126">
        <v>15363241.300000001</v>
      </c>
      <c r="P356" s="126" t="s">
        <v>659</v>
      </c>
      <c r="Q356" s="126" t="s">
        <v>659</v>
      </c>
      <c r="R356" s="126" t="s">
        <v>659</v>
      </c>
      <c r="S356" s="126">
        <v>10000000</v>
      </c>
      <c r="T356" s="126">
        <v>10000000</v>
      </c>
      <c r="U356" s="127">
        <v>13828300</v>
      </c>
      <c r="V356" s="126" t="s">
        <v>75</v>
      </c>
      <c r="W356" s="126" t="s">
        <v>76</v>
      </c>
      <c r="X356" s="126" t="s">
        <v>75</v>
      </c>
      <c r="Y356" s="126" t="s">
        <v>77</v>
      </c>
      <c r="Z356" s="126" t="s">
        <v>75</v>
      </c>
      <c r="AA356" s="126">
        <v>0</v>
      </c>
      <c r="AB356" s="141" t="s">
        <v>78</v>
      </c>
      <c r="AC356" s="126">
        <v>1</v>
      </c>
      <c r="AD356" s="139" t="s">
        <v>79</v>
      </c>
      <c r="AE356" s="126">
        <v>1</v>
      </c>
      <c r="AF356" s="126" t="s">
        <v>80</v>
      </c>
      <c r="AG356" s="126">
        <v>2</v>
      </c>
      <c r="AH356" s="142" t="s">
        <v>81</v>
      </c>
      <c r="AI356" s="142">
        <v>0</v>
      </c>
      <c r="AJ356" s="142" t="s">
        <v>75</v>
      </c>
      <c r="AK356" s="142" t="s">
        <v>82</v>
      </c>
      <c r="AL356" s="142" t="s">
        <v>83</v>
      </c>
      <c r="AM356" s="142" t="s">
        <v>75</v>
      </c>
      <c r="AN356" s="142" t="s">
        <v>81</v>
      </c>
      <c r="AO356" s="142" t="s">
        <v>84</v>
      </c>
      <c r="AP356" s="142" t="s">
        <v>75</v>
      </c>
      <c r="AQ356" s="142">
        <v>1</v>
      </c>
      <c r="AR356" s="142" t="s">
        <v>74</v>
      </c>
    </row>
    <row r="357" spans="1:44" s="143" customFormat="1" ht="25.05" customHeight="1" x14ac:dyDescent="0.3">
      <c r="A357" s="126" t="s">
        <v>1317</v>
      </c>
      <c r="B357" s="125" t="s">
        <v>1318</v>
      </c>
      <c r="C357" s="139">
        <v>2015</v>
      </c>
      <c r="D357" s="145" t="s">
        <v>70</v>
      </c>
      <c r="E357" s="139" t="s">
        <v>78</v>
      </c>
      <c r="F357" s="139" t="s">
        <v>570</v>
      </c>
      <c r="G357" s="139" t="s">
        <v>519</v>
      </c>
      <c r="H357" s="139" t="s">
        <v>589</v>
      </c>
      <c r="I357" s="126" t="s">
        <v>256</v>
      </c>
      <c r="J357" s="126" t="s">
        <v>679</v>
      </c>
      <c r="K357" s="126" t="s">
        <v>75</v>
      </c>
      <c r="L357" s="140" t="s">
        <v>104</v>
      </c>
      <c r="M357" s="140">
        <v>2340500</v>
      </c>
      <c r="N357" s="126">
        <v>1961334.7635169108</v>
      </c>
      <c r="O357" s="126">
        <v>2841601.4187309355</v>
      </c>
      <c r="P357" s="126">
        <v>1638041.34</v>
      </c>
      <c r="Q357" s="126">
        <v>1638041.34</v>
      </c>
      <c r="R357" s="126">
        <v>2373210.6738053998</v>
      </c>
      <c r="S357" s="126">
        <v>0</v>
      </c>
      <c r="T357" s="126">
        <v>0</v>
      </c>
      <c r="U357" s="127">
        <v>0</v>
      </c>
      <c r="V357" s="140" t="s">
        <v>81</v>
      </c>
      <c r="W357" s="126" t="s">
        <v>78</v>
      </c>
      <c r="X357" s="126" t="s">
        <v>81</v>
      </c>
      <c r="Y357" s="126" t="s">
        <v>78</v>
      </c>
      <c r="Z357" s="126" t="s">
        <v>81</v>
      </c>
      <c r="AA357" s="126">
        <v>0</v>
      </c>
      <c r="AB357" s="141" t="s">
        <v>78</v>
      </c>
      <c r="AC357" s="126">
        <v>0</v>
      </c>
      <c r="AD357" s="139" t="s">
        <v>78</v>
      </c>
      <c r="AE357" s="126">
        <v>0</v>
      </c>
      <c r="AF357" s="126" t="s">
        <v>78</v>
      </c>
      <c r="AG357" s="126">
        <v>0</v>
      </c>
      <c r="AH357" s="142" t="s">
        <v>81</v>
      </c>
      <c r="AI357" s="142" t="s">
        <v>78</v>
      </c>
      <c r="AJ357" s="142" t="s">
        <v>81</v>
      </c>
      <c r="AK357" s="142" t="s">
        <v>78</v>
      </c>
      <c r="AL357" s="142" t="s">
        <v>78</v>
      </c>
      <c r="AM357" s="142" t="s">
        <v>81</v>
      </c>
      <c r="AN357" s="142" t="s">
        <v>81</v>
      </c>
      <c r="AO357" s="142" t="s">
        <v>78</v>
      </c>
      <c r="AP357" s="142" t="s">
        <v>81</v>
      </c>
      <c r="AQ357" s="142">
        <v>1</v>
      </c>
      <c r="AR357" s="142" t="s">
        <v>104</v>
      </c>
    </row>
    <row r="358" spans="1:44" x14ac:dyDescent="0.3">
      <c r="M358" s="101" t="s">
        <v>659</v>
      </c>
      <c r="N358" s="101" t="s">
        <v>659</v>
      </c>
      <c r="O358" s="101" t="s">
        <v>659</v>
      </c>
      <c r="P358" s="101" t="s">
        <v>659</v>
      </c>
      <c r="Q358" s="101" t="s">
        <v>659</v>
      </c>
      <c r="R358" s="101" t="s">
        <v>659</v>
      </c>
      <c r="S358" s="101" t="s">
        <v>659</v>
      </c>
      <c r="T358" s="101" t="s">
        <v>659</v>
      </c>
      <c r="U358" s="101" t="s">
        <v>659</v>
      </c>
    </row>
    <row r="359" spans="1:44" x14ac:dyDescent="0.3">
      <c r="M359" s="101" t="s">
        <v>659</v>
      </c>
      <c r="N359" s="101" t="s">
        <v>659</v>
      </c>
      <c r="O359" s="101" t="s">
        <v>659</v>
      </c>
      <c r="P359" s="101" t="s">
        <v>659</v>
      </c>
      <c r="Q359" s="101" t="s">
        <v>659</v>
      </c>
      <c r="R359" s="101" t="s">
        <v>659</v>
      </c>
      <c r="S359" s="101" t="s">
        <v>659</v>
      </c>
      <c r="T359" s="101" t="s">
        <v>659</v>
      </c>
      <c r="U359" s="101" t="s">
        <v>659</v>
      </c>
    </row>
    <row r="360" spans="1:44" x14ac:dyDescent="0.3">
      <c r="M360" s="101" t="s">
        <v>659</v>
      </c>
      <c r="N360" s="101" t="s">
        <v>659</v>
      </c>
      <c r="O360" s="101" t="s">
        <v>659</v>
      </c>
      <c r="P360" s="101" t="s">
        <v>659</v>
      </c>
      <c r="Q360" s="101" t="s">
        <v>659</v>
      </c>
      <c r="R360" s="101" t="s">
        <v>659</v>
      </c>
      <c r="S360" s="101" t="s">
        <v>659</v>
      </c>
      <c r="T360" s="101" t="s">
        <v>659</v>
      </c>
      <c r="U360" s="101" t="s">
        <v>659</v>
      </c>
    </row>
    <row r="361" spans="1:44" x14ac:dyDescent="0.3">
      <c r="M361" s="101" t="s">
        <v>659</v>
      </c>
      <c r="N361" s="101" t="s">
        <v>659</v>
      </c>
      <c r="O361" s="101" t="s">
        <v>659</v>
      </c>
      <c r="P361" s="101" t="s">
        <v>659</v>
      </c>
      <c r="Q361" s="101" t="s">
        <v>659</v>
      </c>
      <c r="R361" s="101" t="s">
        <v>659</v>
      </c>
      <c r="S361" s="101" t="s">
        <v>659</v>
      </c>
      <c r="T361" s="101" t="s">
        <v>659</v>
      </c>
      <c r="U361" s="101" t="s">
        <v>659</v>
      </c>
    </row>
    <row r="362" spans="1:44" x14ac:dyDescent="0.3">
      <c r="M362" s="101" t="s">
        <v>659</v>
      </c>
      <c r="N362" s="101" t="s">
        <v>659</v>
      </c>
      <c r="O362" s="101" t="s">
        <v>659</v>
      </c>
      <c r="P362" s="101" t="s">
        <v>659</v>
      </c>
      <c r="Q362" s="101" t="s">
        <v>659</v>
      </c>
      <c r="R362" s="101" t="s">
        <v>659</v>
      </c>
      <c r="S362" s="101" t="s">
        <v>659</v>
      </c>
      <c r="T362" s="101" t="s">
        <v>659</v>
      </c>
      <c r="U362" s="101" t="s">
        <v>659</v>
      </c>
    </row>
    <row r="363" spans="1:44" x14ac:dyDescent="0.3">
      <c r="M363" s="101" t="s">
        <v>659</v>
      </c>
      <c r="N363" s="101" t="s">
        <v>659</v>
      </c>
      <c r="O363" s="101" t="s">
        <v>659</v>
      </c>
      <c r="P363" s="101" t="s">
        <v>659</v>
      </c>
      <c r="Q363" s="101" t="s">
        <v>659</v>
      </c>
      <c r="R363" s="101" t="s">
        <v>659</v>
      </c>
      <c r="S363" s="101" t="s">
        <v>659</v>
      </c>
      <c r="T363" s="101" t="s">
        <v>659</v>
      </c>
      <c r="U363" s="101" t="s">
        <v>659</v>
      </c>
    </row>
  </sheetData>
  <sortState xmlns:xlrd2="http://schemas.microsoft.com/office/spreadsheetml/2017/richdata2" ref="A2:AR363">
    <sortCondition ref="A1:A363"/>
  </sortState>
  <conditionalFormatting sqref="A2:E357 G2:G357">
    <cfRule type="expression" dxfId="29" priority="8">
      <formula>B$1="Counter"</formula>
    </cfRule>
  </conditionalFormatting>
  <conditionalFormatting sqref="A2:AG357">
    <cfRule type="expression" dxfId="28" priority="11">
      <formula>#REF!=TRUE</formula>
    </cfRule>
    <cfRule type="expression" dxfId="27" priority="12">
      <formula>#REF!=TRUE</formula>
    </cfRule>
  </conditionalFormatting>
  <conditionalFormatting sqref="B1:B1048576">
    <cfRule type="duplicateValues" dxfId="26" priority="1"/>
  </conditionalFormatting>
  <conditionalFormatting sqref="D1:D357 E2:F357 C1 H1:H357">
    <cfRule type="expression" dxfId="25" priority="9">
      <formula>LEFT(C1,5)="ERROR"</formula>
    </cfRule>
  </conditionalFormatting>
  <conditionalFormatting sqref="E1:F1">
    <cfRule type="expression" dxfId="24" priority="6">
      <formula>E$1="Counter"</formula>
    </cfRule>
  </conditionalFormatting>
  <conditionalFormatting sqref="F2:F357">
    <cfRule type="expression" dxfId="23" priority="13">
      <formula>#REF!="Counter"</formula>
    </cfRule>
  </conditionalFormatting>
  <conditionalFormatting sqref="H1 A1:D357 E2:AG357">
    <cfRule type="expression" dxfId="22" priority="10">
      <formula>A$1="Counter"</formula>
    </cfRule>
  </conditionalFormatting>
  <conditionalFormatting sqref="I1:AR1">
    <cfRule type="expression" dxfId="21" priority="2">
      <formula>I$1="Counter"</formula>
    </cfRule>
  </conditionalFormatting>
  <conditionalFormatting sqref="AD2:AD357">
    <cfRule type="expression" dxfId="20" priority="7">
      <formula>#REF!="Counter"</formula>
    </cfRule>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E8BF7-1E4C-4B2C-932D-833D64B50A21}">
  <sheetPr>
    <outlinePr summaryBelow="0" summaryRight="0"/>
  </sheetPr>
  <dimension ref="A1:Z1000"/>
  <sheetViews>
    <sheetView zoomScale="130" zoomScaleNormal="130" workbookViewId="0">
      <selection activeCell="I18" sqref="I18"/>
    </sheetView>
  </sheetViews>
  <sheetFormatPr defaultColWidth="13.88671875" defaultRowHeight="15.75" customHeight="1" x14ac:dyDescent="0.3"/>
  <cols>
    <col min="1" max="1" width="40" style="21" bestFit="1" customWidth="1"/>
    <col min="2" max="6" width="13.88671875" style="21"/>
    <col min="7" max="7" width="17.44140625" style="21" bestFit="1" customWidth="1"/>
    <col min="8" max="16384" width="13.88671875" style="21"/>
  </cols>
  <sheetData>
    <row r="1" spans="1:26" ht="13.8" x14ac:dyDescent="0.3">
      <c r="A1" s="17" t="s">
        <v>461</v>
      </c>
      <c r="B1" s="17" t="s">
        <v>462</v>
      </c>
      <c r="C1" s="17" t="s">
        <v>463</v>
      </c>
      <c r="D1" s="17" t="s">
        <v>464</v>
      </c>
      <c r="E1" s="17" t="s">
        <v>465</v>
      </c>
      <c r="F1" s="17" t="s">
        <v>466</v>
      </c>
      <c r="G1" s="18" t="s">
        <v>467</v>
      </c>
      <c r="H1" s="18" t="s">
        <v>468</v>
      </c>
      <c r="I1" s="18" t="s">
        <v>469</v>
      </c>
      <c r="J1" s="18" t="s">
        <v>470</v>
      </c>
      <c r="K1" s="18" t="s">
        <v>471</v>
      </c>
      <c r="L1" s="19" t="s">
        <v>472</v>
      </c>
      <c r="M1" s="18" t="s">
        <v>473</v>
      </c>
      <c r="N1" s="20"/>
      <c r="O1" s="20"/>
      <c r="P1" s="20"/>
      <c r="Q1" s="20"/>
      <c r="R1" s="20"/>
      <c r="S1" s="20"/>
      <c r="T1" s="20"/>
      <c r="U1" s="20"/>
      <c r="V1" s="20"/>
      <c r="W1" s="20"/>
      <c r="X1" s="20"/>
      <c r="Y1" s="20"/>
      <c r="Z1" s="20"/>
    </row>
    <row r="2" spans="1:26" ht="13.8" x14ac:dyDescent="0.3">
      <c r="A2" s="17" t="s">
        <v>474</v>
      </c>
      <c r="B2" s="22">
        <v>50</v>
      </c>
      <c r="C2" s="22">
        <v>50</v>
      </c>
      <c r="D2" s="22">
        <v>15</v>
      </c>
      <c r="E2" s="22">
        <v>10</v>
      </c>
      <c r="F2" s="23"/>
      <c r="G2" s="18" t="s">
        <v>475</v>
      </c>
      <c r="H2" s="24">
        <v>1</v>
      </c>
      <c r="I2" s="24">
        <f t="shared" ref="I2:L2" si="0">B2/100</f>
        <v>0.5</v>
      </c>
      <c r="J2" s="24">
        <f t="shared" si="0"/>
        <v>0.5</v>
      </c>
      <c r="K2" s="24">
        <f t="shared" si="0"/>
        <v>0.15</v>
      </c>
      <c r="L2" s="24">
        <f t="shared" si="0"/>
        <v>0.1</v>
      </c>
      <c r="M2" s="24">
        <f>IF(F2&lt;&gt;"",F2/100,0)</f>
        <v>0</v>
      </c>
      <c r="N2" s="20"/>
      <c r="O2" s="20"/>
      <c r="P2" s="20"/>
      <c r="Q2" s="20"/>
      <c r="R2" s="20"/>
      <c r="S2" s="20"/>
      <c r="T2" s="20"/>
      <c r="U2" s="20"/>
      <c r="V2" s="20"/>
      <c r="W2" s="20"/>
      <c r="X2" s="20"/>
      <c r="Y2" s="20"/>
      <c r="Z2" s="20"/>
    </row>
    <row r="3" spans="1:26" ht="13.8" x14ac:dyDescent="0.3">
      <c r="A3" s="20"/>
      <c r="B3" s="20"/>
      <c r="C3" s="20"/>
      <c r="D3" s="20"/>
      <c r="E3" s="20"/>
      <c r="F3" s="20"/>
      <c r="G3" s="18" t="s">
        <v>476</v>
      </c>
      <c r="H3" s="24">
        <f t="shared" ref="H3:M3" si="1">1-H2</f>
        <v>0</v>
      </c>
      <c r="I3" s="24">
        <f t="shared" si="1"/>
        <v>0.5</v>
      </c>
      <c r="J3" s="24">
        <f t="shared" si="1"/>
        <v>0.5</v>
      </c>
      <c r="K3" s="24">
        <f t="shared" si="1"/>
        <v>0.85</v>
      </c>
      <c r="L3" s="24">
        <f t="shared" si="1"/>
        <v>0.9</v>
      </c>
      <c r="M3" s="24">
        <f t="shared" si="1"/>
        <v>1</v>
      </c>
      <c r="N3" s="20"/>
      <c r="O3" s="20"/>
      <c r="P3" s="20"/>
      <c r="Q3" s="20"/>
      <c r="R3" s="20"/>
      <c r="S3" s="20"/>
      <c r="T3" s="20"/>
      <c r="U3" s="20"/>
      <c r="V3" s="20"/>
      <c r="W3" s="20"/>
      <c r="X3" s="20"/>
      <c r="Y3" s="20"/>
      <c r="Z3" s="20"/>
    </row>
    <row r="4" spans="1:26" ht="15.75" customHeight="1" x14ac:dyDescent="0.3">
      <c r="A4" s="20"/>
      <c r="B4" s="20"/>
      <c r="C4" s="20"/>
      <c r="D4" s="20"/>
      <c r="E4" s="20"/>
      <c r="F4" s="20"/>
      <c r="G4" s="20"/>
      <c r="H4" s="20"/>
      <c r="I4" s="20"/>
      <c r="J4" s="20"/>
      <c r="K4" s="20"/>
      <c r="L4" s="20"/>
      <c r="M4" s="20"/>
      <c r="N4" s="20"/>
      <c r="O4" s="20"/>
      <c r="P4" s="20"/>
      <c r="Q4" s="20"/>
      <c r="R4" s="20"/>
      <c r="S4" s="20"/>
      <c r="T4" s="20"/>
      <c r="U4" s="20"/>
      <c r="V4" s="20"/>
      <c r="W4" s="20"/>
      <c r="X4" s="20"/>
      <c r="Y4" s="20"/>
      <c r="Z4" s="20"/>
    </row>
    <row r="5" spans="1:26" ht="15.75" customHeight="1" x14ac:dyDescent="0.3">
      <c r="A5" s="20"/>
      <c r="B5" s="20"/>
      <c r="C5" s="20"/>
      <c r="D5" s="20"/>
      <c r="E5" s="20"/>
      <c r="F5" s="20"/>
      <c r="G5" s="20"/>
      <c r="H5" s="20"/>
      <c r="I5" s="20"/>
      <c r="J5" s="20"/>
      <c r="K5" s="20"/>
      <c r="L5" s="20"/>
      <c r="M5" s="20"/>
      <c r="N5" s="20"/>
      <c r="O5" s="20"/>
      <c r="P5" s="20"/>
      <c r="Q5" s="20"/>
      <c r="R5" s="20"/>
      <c r="S5" s="20"/>
      <c r="T5" s="20"/>
      <c r="U5" s="20"/>
      <c r="V5" s="20"/>
      <c r="W5" s="20"/>
      <c r="X5" s="20"/>
      <c r="Y5" s="20"/>
      <c r="Z5" s="20"/>
    </row>
    <row r="6" spans="1:26" ht="15.75" customHeight="1" x14ac:dyDescent="0.3">
      <c r="A6" s="20"/>
      <c r="B6" s="20"/>
      <c r="C6" s="20"/>
      <c r="D6" s="20"/>
      <c r="E6" s="20"/>
      <c r="F6" s="20"/>
      <c r="G6" s="20"/>
      <c r="H6" s="20"/>
      <c r="I6" s="20"/>
      <c r="J6" s="20"/>
      <c r="K6" s="20"/>
      <c r="L6" s="20"/>
      <c r="M6" s="20"/>
      <c r="N6" s="20"/>
      <c r="O6" s="20"/>
      <c r="P6" s="20"/>
      <c r="Q6" s="20"/>
      <c r="R6" s="20"/>
      <c r="S6" s="20"/>
      <c r="T6" s="20"/>
      <c r="U6" s="20"/>
      <c r="V6" s="20"/>
      <c r="W6" s="20"/>
      <c r="X6" s="20"/>
      <c r="Y6" s="20"/>
      <c r="Z6" s="20"/>
    </row>
    <row r="7" spans="1:26" ht="15.75" customHeight="1" x14ac:dyDescent="0.3">
      <c r="A7" s="20"/>
      <c r="B7" s="20"/>
      <c r="C7" s="20"/>
      <c r="D7" s="20"/>
      <c r="E7" s="20"/>
      <c r="F7" s="20"/>
      <c r="G7" s="20"/>
      <c r="H7" s="20"/>
      <c r="I7" s="20"/>
      <c r="J7" s="20"/>
      <c r="K7" s="20"/>
      <c r="L7" s="20"/>
      <c r="M7" s="20"/>
      <c r="N7" s="20"/>
      <c r="O7" s="20"/>
      <c r="P7" s="20"/>
      <c r="Q7" s="20"/>
      <c r="R7" s="20"/>
      <c r="S7" s="20"/>
      <c r="T7" s="20"/>
      <c r="U7" s="20"/>
      <c r="V7" s="20"/>
      <c r="W7" s="20"/>
      <c r="X7" s="20"/>
      <c r="Y7" s="20"/>
      <c r="Z7" s="20"/>
    </row>
    <row r="8" spans="1:26" ht="15.75" customHeight="1" x14ac:dyDescent="0.3">
      <c r="A8" s="20"/>
      <c r="B8" s="20"/>
      <c r="C8" s="20"/>
      <c r="D8" s="20"/>
      <c r="E8" s="20"/>
      <c r="F8" s="20"/>
      <c r="G8" s="20"/>
      <c r="H8" s="20"/>
      <c r="I8" s="20"/>
      <c r="J8" s="20"/>
      <c r="K8" s="20"/>
      <c r="L8" s="20"/>
      <c r="M8" s="20"/>
      <c r="N8" s="20"/>
      <c r="O8" s="20"/>
      <c r="P8" s="20"/>
      <c r="Q8" s="20"/>
      <c r="R8" s="20"/>
      <c r="S8" s="20"/>
      <c r="T8" s="20"/>
      <c r="U8" s="20"/>
      <c r="V8" s="20"/>
      <c r="W8" s="20"/>
      <c r="X8" s="20"/>
      <c r="Y8" s="20"/>
      <c r="Z8" s="20"/>
    </row>
    <row r="9" spans="1:26" ht="15.75" customHeight="1" x14ac:dyDescent="0.3">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15.75" customHeight="1"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spans="1:26" ht="15.75" customHeight="1"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spans="1:26" ht="15.75" customHeight="1"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15.75" customHeight="1"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spans="1:26" ht="15.75" customHeight="1"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spans="1:26" ht="15.75" customHeight="1"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5.75" customHeight="1" x14ac:dyDescent="0.3">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spans="1:26" ht="15.75" customHeight="1" x14ac:dyDescent="0.3">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spans="1:26" ht="15.75" customHeight="1" x14ac:dyDescent="0.3">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15.75" customHeight="1" x14ac:dyDescent="0.3">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spans="1:26" ht="15.75" customHeight="1" x14ac:dyDescent="0.3">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75" customHeight="1" x14ac:dyDescent="0.3">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spans="1:26" ht="15.75" customHeight="1" x14ac:dyDescent="0.3">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75" customHeight="1" x14ac:dyDescent="0.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spans="1:26" ht="15.75" customHeight="1" x14ac:dyDescent="0.3">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spans="1:26" ht="15.75" customHeight="1" x14ac:dyDescent="0.3">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spans="1:26" ht="15.75" customHeight="1" x14ac:dyDescent="0.3">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5.75" customHeight="1" x14ac:dyDescent="0.3">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spans="1:26" ht="15.75" customHeight="1" x14ac:dyDescent="0.3">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spans="1:26" ht="15.75" customHeight="1" x14ac:dyDescent="0.3">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spans="1:26" ht="15.75" customHeight="1" x14ac:dyDescent="0.3">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spans="1:26" ht="15.75" customHeight="1" x14ac:dyDescent="0.3">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spans="1:26" ht="15.75" customHeight="1" x14ac:dyDescent="0.3">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spans="1:26" ht="15.75" customHeight="1" x14ac:dyDescent="0.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spans="1:26" ht="15.75" customHeight="1" x14ac:dyDescent="0.3">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spans="1:26" ht="13.8" x14ac:dyDescent="0.3">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spans="1:26" ht="13.8" x14ac:dyDescent="0.3">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spans="1:26" ht="13.8" x14ac:dyDescent="0.3">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ht="13.8" x14ac:dyDescent="0.3">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ht="13.8" x14ac:dyDescent="0.3">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ht="13.8" x14ac:dyDescent="0.3">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26" ht="13.8" x14ac:dyDescent="0.3">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spans="1:26" ht="13.8" x14ac:dyDescent="0.3">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ht="13.8" x14ac:dyDescent="0.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3.8" x14ac:dyDescent="0.3">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ht="13.8" x14ac:dyDescent="0.3">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13.8" x14ac:dyDescent="0.3">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ht="13.8" x14ac:dyDescent="0.3">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ht="13.8" x14ac:dyDescent="0.3">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13.8" x14ac:dyDescent="0.3">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ht="13.8" x14ac:dyDescent="0.3">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13.8" x14ac:dyDescent="0.3">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13.8" x14ac:dyDescent="0.3">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13.8" x14ac:dyDescent="0.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13.8" x14ac:dyDescent="0.3">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ht="13.8" x14ac:dyDescent="0.3">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ht="13.8" x14ac:dyDescent="0.3">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13.8" x14ac:dyDescent="0.3">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13.8" x14ac:dyDescent="0.3">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13.8" x14ac:dyDescent="0.3">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13.8" x14ac:dyDescent="0.3">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13.8" x14ac:dyDescent="0.3">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13.8" x14ac:dyDescent="0.3">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13.8" x14ac:dyDescent="0.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13.8" x14ac:dyDescent="0.3">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13.8" x14ac:dyDescent="0.3">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13.8" x14ac:dyDescent="0.3">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13.8" x14ac:dyDescent="0.3">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13.8" x14ac:dyDescent="0.3">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13.8" x14ac:dyDescent="0.3">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3.8" x14ac:dyDescent="0.3">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13.8" x14ac:dyDescent="0.3">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13.8" x14ac:dyDescent="0.3">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13.8" x14ac:dyDescent="0.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13.8" x14ac:dyDescent="0.3">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13.8" x14ac:dyDescent="0.3">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13.8" x14ac:dyDescent="0.3">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13.8" x14ac:dyDescent="0.3">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13.8" x14ac:dyDescent="0.3">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13.8" x14ac:dyDescent="0.3">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13.8" x14ac:dyDescent="0.3">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13.8" x14ac:dyDescent="0.3">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13.8" x14ac:dyDescent="0.3">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13.8" x14ac:dyDescent="0.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13.8" x14ac:dyDescent="0.3">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13.8" x14ac:dyDescent="0.3">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13.8" x14ac:dyDescent="0.3">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13.8" x14ac:dyDescent="0.3">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13.8" x14ac:dyDescent="0.3">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13.8" x14ac:dyDescent="0.3">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13.8" x14ac:dyDescent="0.3">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13.8" x14ac:dyDescent="0.3">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13.8" x14ac:dyDescent="0.3">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13.8" x14ac:dyDescent="0.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13.8" x14ac:dyDescent="0.3">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13.8" x14ac:dyDescent="0.3">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13.8" x14ac:dyDescent="0.3">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13.8" x14ac:dyDescent="0.3">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13.8" x14ac:dyDescent="0.3">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13.8" x14ac:dyDescent="0.3">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13.8" x14ac:dyDescent="0.3">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13.8" x14ac:dyDescent="0.3">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3.8" x14ac:dyDescent="0.3">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3.8" x14ac:dyDescent="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13.8" x14ac:dyDescent="0.3">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3.8" x14ac:dyDescent="0.3">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3.8" x14ac:dyDescent="0.3">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13.8" x14ac:dyDescent="0.3">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13.8" x14ac:dyDescent="0.3">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13.8" x14ac:dyDescent="0.3">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13.8" x14ac:dyDescent="0.3">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3.8" x14ac:dyDescent="0.3">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3.8" x14ac:dyDescent="0.3">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3.8" x14ac:dyDescent="0.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3.8" x14ac:dyDescent="0.3">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3.8" x14ac:dyDescent="0.3">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3.8" x14ac:dyDescent="0.3">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3.8" x14ac:dyDescent="0.3">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3.8" x14ac:dyDescent="0.3">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3.8" x14ac:dyDescent="0.3">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3.8" x14ac:dyDescent="0.3">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3.8" x14ac:dyDescent="0.3">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3.8" x14ac:dyDescent="0.3">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3.8" x14ac:dyDescent="0.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3.8" x14ac:dyDescent="0.3">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3.8" x14ac:dyDescent="0.3">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3.8" x14ac:dyDescent="0.3">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3.8" x14ac:dyDescent="0.3">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3.8" x14ac:dyDescent="0.3">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3.8" x14ac:dyDescent="0.3">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3.8" x14ac:dyDescent="0.3">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3.8" x14ac:dyDescent="0.3">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3.8" x14ac:dyDescent="0.3">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3.8" x14ac:dyDescent="0.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3.8" x14ac:dyDescent="0.3">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3.8" x14ac:dyDescent="0.3">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3.8" x14ac:dyDescent="0.3">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3.8" x14ac:dyDescent="0.3">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3.8" x14ac:dyDescent="0.3">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3.8" x14ac:dyDescent="0.3">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3.8" x14ac:dyDescent="0.3">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3.8" x14ac:dyDescent="0.3">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3.8" x14ac:dyDescent="0.3">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3.8" x14ac:dyDescent="0.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3.8" x14ac:dyDescent="0.3">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3.8" x14ac:dyDescent="0.3">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3.8" x14ac:dyDescent="0.3">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3.8" x14ac:dyDescent="0.3">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3.8" x14ac:dyDescent="0.3">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3.8" x14ac:dyDescent="0.3">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3.8" x14ac:dyDescent="0.3">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3.8" x14ac:dyDescent="0.3">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3.8" x14ac:dyDescent="0.3">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3.8" x14ac:dyDescent="0.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3.8" x14ac:dyDescent="0.3">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3.8" x14ac:dyDescent="0.3">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3.8" x14ac:dyDescent="0.3">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3.8" x14ac:dyDescent="0.3">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3.8" x14ac:dyDescent="0.3">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3.8" x14ac:dyDescent="0.3">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3.8" x14ac:dyDescent="0.3">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3.8" x14ac:dyDescent="0.3">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3.8" x14ac:dyDescent="0.3">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3.8" x14ac:dyDescent="0.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3.8" x14ac:dyDescent="0.3">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3.8" x14ac:dyDescent="0.3">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3.8" x14ac:dyDescent="0.3">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3.8" x14ac:dyDescent="0.3">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3.8" x14ac:dyDescent="0.3">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3.8" x14ac:dyDescent="0.3">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3.8" x14ac:dyDescent="0.3">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3.8" x14ac:dyDescent="0.3">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3.8" x14ac:dyDescent="0.3">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3.8" x14ac:dyDescent="0.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3.8" x14ac:dyDescent="0.3">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3.8" x14ac:dyDescent="0.3">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3.8" x14ac:dyDescent="0.3">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3.8" x14ac:dyDescent="0.3">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3.8" x14ac:dyDescent="0.3">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3.8" x14ac:dyDescent="0.3">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3.8" x14ac:dyDescent="0.3">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3.8" x14ac:dyDescent="0.3">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3.8" x14ac:dyDescent="0.3">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3.8" x14ac:dyDescent="0.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3.8" x14ac:dyDescent="0.3">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3.8" x14ac:dyDescent="0.3">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3.8" x14ac:dyDescent="0.3">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3.8" x14ac:dyDescent="0.3">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3.8" x14ac:dyDescent="0.3">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3.8" x14ac:dyDescent="0.3">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3.8" x14ac:dyDescent="0.3">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3.8" x14ac:dyDescent="0.3">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3.8" x14ac:dyDescent="0.3">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3.8" x14ac:dyDescent="0.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3.8" x14ac:dyDescent="0.3">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3.8" x14ac:dyDescent="0.3">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3.8" x14ac:dyDescent="0.3">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3.8" x14ac:dyDescent="0.3">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3.8" x14ac:dyDescent="0.3">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3.8" x14ac:dyDescent="0.3">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3.8" x14ac:dyDescent="0.3">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3.8" x14ac:dyDescent="0.3">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3.8" x14ac:dyDescent="0.3">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3.8" x14ac:dyDescent="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3.8" x14ac:dyDescent="0.3">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3.8" x14ac:dyDescent="0.3">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3.8" x14ac:dyDescent="0.3">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3.8" x14ac:dyDescent="0.3">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3.8" x14ac:dyDescent="0.3">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3.8" x14ac:dyDescent="0.3">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3.8" x14ac:dyDescent="0.3">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3.8" x14ac:dyDescent="0.3">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3.8" x14ac:dyDescent="0.3">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3.8" x14ac:dyDescent="0.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3.8" x14ac:dyDescent="0.3">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3.8" x14ac:dyDescent="0.3">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3.8" x14ac:dyDescent="0.3">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3.8" x14ac:dyDescent="0.3">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3.8" x14ac:dyDescent="0.3">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3.8" x14ac:dyDescent="0.3">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3.8" x14ac:dyDescent="0.3">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3.8" x14ac:dyDescent="0.3">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13.8" x14ac:dyDescent="0.3">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13.8" x14ac:dyDescent="0.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13.8" x14ac:dyDescent="0.3">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13.8" x14ac:dyDescent="0.3">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13.8" x14ac:dyDescent="0.3">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13.8" x14ac:dyDescent="0.3">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13.8" x14ac:dyDescent="0.3">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13.8" x14ac:dyDescent="0.3">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13.8" x14ac:dyDescent="0.3">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13.8" x14ac:dyDescent="0.3">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13.8" x14ac:dyDescent="0.3">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13.8" x14ac:dyDescent="0.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13.8" x14ac:dyDescent="0.3">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13.8" x14ac:dyDescent="0.3">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13.8" x14ac:dyDescent="0.3">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13.8" x14ac:dyDescent="0.3">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13.8" x14ac:dyDescent="0.3">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13.8" x14ac:dyDescent="0.3">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13.8" x14ac:dyDescent="0.3">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13.8" x14ac:dyDescent="0.3">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13.8" x14ac:dyDescent="0.3">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1:26" ht="13.8" x14ac:dyDescent="0.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ht="13.8" x14ac:dyDescent="0.3">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spans="1:26" ht="13.8" x14ac:dyDescent="0.3">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1:26" ht="13.8" x14ac:dyDescent="0.3">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1:26" ht="13.8" x14ac:dyDescent="0.3">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1:26" ht="13.8" x14ac:dyDescent="0.3">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spans="1:26" ht="13.8" x14ac:dyDescent="0.3">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1:26" ht="13.8" x14ac:dyDescent="0.3">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spans="1:26" ht="13.8" x14ac:dyDescent="0.3">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spans="1:26" ht="13.8" x14ac:dyDescent="0.3">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spans="1:26" ht="13.8" x14ac:dyDescent="0.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spans="1:26" ht="13.8" x14ac:dyDescent="0.3">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spans="1:26" ht="13.8" x14ac:dyDescent="0.3">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1:26" ht="13.8" x14ac:dyDescent="0.3">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spans="1:26" ht="13.8" x14ac:dyDescent="0.3">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1:26" ht="13.8" x14ac:dyDescent="0.3">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1:26" ht="13.8" x14ac:dyDescent="0.3">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1:26" ht="13.8" x14ac:dyDescent="0.3">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1:26" ht="13.8" x14ac:dyDescent="0.3">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ht="13.8" x14ac:dyDescent="0.3">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1:26" ht="13.8" x14ac:dyDescent="0.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ht="13.8" x14ac:dyDescent="0.3">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1:26" ht="13.8" x14ac:dyDescent="0.3">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1:26" ht="13.8" x14ac:dyDescent="0.3">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1:26" ht="13.8" x14ac:dyDescent="0.3">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1:26" ht="13.8" x14ac:dyDescent="0.3">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1:26" ht="13.8" x14ac:dyDescent="0.3">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1:26" ht="13.8" x14ac:dyDescent="0.3">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1:26" ht="13.8" x14ac:dyDescent="0.3">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1:26" ht="13.8" x14ac:dyDescent="0.3">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1:26" ht="13.8" x14ac:dyDescent="0.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1:26" ht="13.8" x14ac:dyDescent="0.3">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ht="13.8" x14ac:dyDescent="0.3">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ht="13.8" x14ac:dyDescent="0.3">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1:26" ht="13.8" x14ac:dyDescent="0.3">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1:26" ht="13.8" x14ac:dyDescent="0.3">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1:26" ht="13.8" x14ac:dyDescent="0.3">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1:26" ht="13.8" x14ac:dyDescent="0.3">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1:26" ht="13.8" x14ac:dyDescent="0.3">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1:26" ht="13.8" x14ac:dyDescent="0.3">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1:26" ht="13.8" x14ac:dyDescent="0.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1:26" ht="13.8" x14ac:dyDescent="0.3">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1:26" ht="13.8" x14ac:dyDescent="0.3">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1:26" ht="13.8" x14ac:dyDescent="0.3">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1:26" ht="13.8" x14ac:dyDescent="0.3">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1:26" ht="13.8" x14ac:dyDescent="0.3">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1:26" ht="13.8" x14ac:dyDescent="0.3">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1:26" ht="13.8" x14ac:dyDescent="0.3">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13.8" x14ac:dyDescent="0.3">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1:26" ht="13.8" x14ac:dyDescent="0.3">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1:26" ht="13.8" x14ac:dyDescent="0.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1:26" ht="13.8" x14ac:dyDescent="0.3">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1:26" ht="13.8" x14ac:dyDescent="0.3">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1:26" ht="13.8" x14ac:dyDescent="0.3">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13.8" x14ac:dyDescent="0.3">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1:26" ht="13.8" x14ac:dyDescent="0.3">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1:26" ht="13.8" x14ac:dyDescent="0.3">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1:26" ht="13.8" x14ac:dyDescent="0.3">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1:26" ht="13.8" x14ac:dyDescent="0.3">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1:26" ht="13.8" x14ac:dyDescent="0.3">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ht="13.8" x14ac:dyDescent="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1:26" ht="13.8" x14ac:dyDescent="0.3">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1:26" ht="13.8" x14ac:dyDescent="0.3">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1:26" ht="13.8" x14ac:dyDescent="0.3">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1:26" ht="13.8" x14ac:dyDescent="0.3">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1:26" ht="13.8" x14ac:dyDescent="0.3">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1:26" ht="13.8" x14ac:dyDescent="0.3">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1:26" ht="13.8" x14ac:dyDescent="0.3">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1:26" ht="13.8" x14ac:dyDescent="0.3">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1:26" ht="13.8" x14ac:dyDescent="0.3">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1:26" ht="13.8" x14ac:dyDescent="0.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1:26" ht="13.8" x14ac:dyDescent="0.3">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1:26" ht="13.8" x14ac:dyDescent="0.3">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1:26" ht="13.8" x14ac:dyDescent="0.3">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1:26" ht="13.8" x14ac:dyDescent="0.3">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1:26" ht="13.8" x14ac:dyDescent="0.3">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1:26" ht="13.8" x14ac:dyDescent="0.3">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1:26" ht="13.8" x14ac:dyDescent="0.3">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1:26" ht="13.8" x14ac:dyDescent="0.3">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1:26" ht="13.8" x14ac:dyDescent="0.3">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1:26" ht="13.8" x14ac:dyDescent="0.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1:26" ht="13.8" x14ac:dyDescent="0.3">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1:26" ht="13.8" x14ac:dyDescent="0.3">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1:26" ht="13.8" x14ac:dyDescent="0.3">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1:26" ht="13.8" x14ac:dyDescent="0.3">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1:26" ht="13.8" x14ac:dyDescent="0.3">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1:26" ht="13.8" x14ac:dyDescent="0.3">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1:26" ht="13.8" x14ac:dyDescent="0.3">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1:26" ht="13.8" x14ac:dyDescent="0.3">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1:26" ht="13.8" x14ac:dyDescent="0.3">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1:26" ht="13.8" x14ac:dyDescent="0.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1:26" ht="13.8" x14ac:dyDescent="0.3">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1:26" ht="13.8" x14ac:dyDescent="0.3">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1:26" ht="13.8" x14ac:dyDescent="0.3">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1:26" ht="13.8" x14ac:dyDescent="0.3">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1:26" ht="13.8" x14ac:dyDescent="0.3">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ht="13.8" x14ac:dyDescent="0.3">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13.8" x14ac:dyDescent="0.3">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1:26" ht="13.8" x14ac:dyDescent="0.3">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1:26" ht="13.8" x14ac:dyDescent="0.3">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1:26" ht="13.8" x14ac:dyDescent="0.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1:26" ht="13.8" x14ac:dyDescent="0.3">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1:26" ht="13.8" x14ac:dyDescent="0.3">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1:26" ht="13.8" x14ac:dyDescent="0.3">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ht="13.8" x14ac:dyDescent="0.3">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1:26" ht="13.8" x14ac:dyDescent="0.3">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1:26" ht="13.8" x14ac:dyDescent="0.3">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1:26" ht="13.8" x14ac:dyDescent="0.3">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1:26" ht="13.8" x14ac:dyDescent="0.3">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13.8" x14ac:dyDescent="0.3">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ht="13.8" x14ac:dyDescent="0.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1:26" ht="13.8" x14ac:dyDescent="0.3">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1:26" ht="13.8" x14ac:dyDescent="0.3">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1:26" ht="13.8" x14ac:dyDescent="0.3">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1:26" ht="13.8" x14ac:dyDescent="0.3">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1:26" ht="13.8" x14ac:dyDescent="0.3">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1:26" ht="13.8" x14ac:dyDescent="0.3">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1:26" ht="13.8" x14ac:dyDescent="0.3">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1:26" ht="13.8" x14ac:dyDescent="0.3">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1:26" ht="13.8" x14ac:dyDescent="0.3">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1:26" ht="13.8" x14ac:dyDescent="0.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1:26" ht="13.8" x14ac:dyDescent="0.3">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1:26" ht="13.8" x14ac:dyDescent="0.3">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1:26" ht="13.8" x14ac:dyDescent="0.3">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1:26" ht="13.8" x14ac:dyDescent="0.3">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1:26" ht="13.8" x14ac:dyDescent="0.3">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1:26" ht="13.8" x14ac:dyDescent="0.3">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spans="1:26" ht="13.8" x14ac:dyDescent="0.3">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spans="1:26" ht="13.8" x14ac:dyDescent="0.3">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1:26" ht="13.8" x14ac:dyDescent="0.3">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spans="1:26" ht="13.8" x14ac:dyDescent="0.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spans="1:26" ht="13.8" x14ac:dyDescent="0.3">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1:26" ht="13.8" x14ac:dyDescent="0.3">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spans="1:26" ht="13.8" x14ac:dyDescent="0.3">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1:26" ht="13.8" x14ac:dyDescent="0.3">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1:26" ht="13.8" x14ac:dyDescent="0.3">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spans="1:26" ht="13.8" x14ac:dyDescent="0.3">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spans="1:26" ht="13.8" x14ac:dyDescent="0.3">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1:26" ht="13.8" x14ac:dyDescent="0.3">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1:26" ht="13.8" x14ac:dyDescent="0.3">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spans="1:26" ht="13.8" x14ac:dyDescent="0.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spans="1:26" ht="13.8" x14ac:dyDescent="0.3">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1:26" ht="13.8" x14ac:dyDescent="0.3">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spans="1:26" ht="13.8" x14ac:dyDescent="0.3">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1:26" ht="13.8" x14ac:dyDescent="0.3">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1:26" ht="13.8" x14ac:dyDescent="0.3">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1:26" ht="13.8" x14ac:dyDescent="0.3">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1:26" ht="13.8" x14ac:dyDescent="0.3">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1:26" ht="13.8" x14ac:dyDescent="0.3">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spans="1:26" ht="13.8" x14ac:dyDescent="0.3">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spans="1:26" ht="13.8" x14ac:dyDescent="0.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spans="1:26" ht="13.8" x14ac:dyDescent="0.3">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spans="1:26" ht="13.8" x14ac:dyDescent="0.3">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spans="1:26" ht="13.8" x14ac:dyDescent="0.3">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spans="1:26" ht="13.8" x14ac:dyDescent="0.3">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1:26" ht="13.8" x14ac:dyDescent="0.3">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spans="1:26" ht="13.8" x14ac:dyDescent="0.3">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spans="1:26" ht="13.8" x14ac:dyDescent="0.3">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spans="1:26" ht="13.8" x14ac:dyDescent="0.3">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spans="1:26" ht="13.8" x14ac:dyDescent="0.3">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1:26" ht="13.8" x14ac:dyDescent="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1:26" ht="13.8" x14ac:dyDescent="0.3">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spans="1:26" ht="13.8" x14ac:dyDescent="0.3">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spans="1:26" ht="13.8" x14ac:dyDescent="0.3">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1:26" ht="13.8" x14ac:dyDescent="0.3">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spans="1:26" ht="13.8" x14ac:dyDescent="0.3">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spans="1:26" ht="13.8" x14ac:dyDescent="0.3">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1:26" ht="13.8" x14ac:dyDescent="0.3">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spans="1:26" ht="13.8" x14ac:dyDescent="0.3">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1:26" ht="13.8" x14ac:dyDescent="0.3">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1:26" ht="13.8" x14ac:dyDescent="0.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1:26" ht="13.8" x14ac:dyDescent="0.3">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spans="1:26" ht="13.8" x14ac:dyDescent="0.3">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spans="1:26" ht="13.8" x14ac:dyDescent="0.3">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spans="1:26" ht="13.8" x14ac:dyDescent="0.3">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1:26" ht="13.8" x14ac:dyDescent="0.3">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1:26" ht="13.8" x14ac:dyDescent="0.3">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1:26" ht="13.8" x14ac:dyDescent="0.3">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spans="1:26" ht="13.8" x14ac:dyDescent="0.3">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spans="1:26" ht="13.8" x14ac:dyDescent="0.3">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1:26" ht="13.8" x14ac:dyDescent="0.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1:26" ht="13.8" x14ac:dyDescent="0.3">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spans="1:26" ht="13.8" x14ac:dyDescent="0.3">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1:26" ht="13.8" x14ac:dyDescent="0.3">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spans="1:26" ht="13.8" x14ac:dyDescent="0.3">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spans="1:26" ht="13.8" x14ac:dyDescent="0.3">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1:26" ht="13.8" x14ac:dyDescent="0.3">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spans="1:26" ht="13.8" x14ac:dyDescent="0.3">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spans="1:26" ht="13.8" x14ac:dyDescent="0.3">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1:26" ht="13.8" x14ac:dyDescent="0.3">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spans="1:26" ht="13.8" x14ac:dyDescent="0.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1:26" ht="13.8" x14ac:dyDescent="0.3">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spans="1:26" ht="13.8" x14ac:dyDescent="0.3">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spans="1:26" ht="13.8" x14ac:dyDescent="0.3">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spans="1:26" ht="13.8" x14ac:dyDescent="0.3">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spans="1:26" ht="13.8" x14ac:dyDescent="0.3">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spans="1:26" ht="13.8" x14ac:dyDescent="0.3">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1:26" ht="13.8" x14ac:dyDescent="0.3">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spans="1:26" ht="13.8" x14ac:dyDescent="0.3">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1:26" ht="13.8" x14ac:dyDescent="0.3">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spans="1:26" ht="13.8" x14ac:dyDescent="0.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1:26" ht="13.8" x14ac:dyDescent="0.3">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spans="1:26" ht="13.8" x14ac:dyDescent="0.3">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1:26" ht="13.8" x14ac:dyDescent="0.3">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spans="1:26" ht="13.8" x14ac:dyDescent="0.3">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13.8" x14ac:dyDescent="0.3">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spans="1:26" ht="13.8" x14ac:dyDescent="0.3">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1:26" ht="13.8" x14ac:dyDescent="0.3">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spans="1:26" ht="13.8" x14ac:dyDescent="0.3">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1:26" ht="13.8" x14ac:dyDescent="0.3">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spans="1:26" ht="13.8" x14ac:dyDescent="0.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1:26" ht="13.8" x14ac:dyDescent="0.3">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spans="1:26" ht="13.8" x14ac:dyDescent="0.3">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spans="1:26" ht="13.8" x14ac:dyDescent="0.3">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1:26" ht="13.8" x14ac:dyDescent="0.3">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1:26" ht="13.8" x14ac:dyDescent="0.3">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spans="1:26" ht="13.8" x14ac:dyDescent="0.3">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1:26" ht="13.8" x14ac:dyDescent="0.3">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spans="1:26" ht="13.8" x14ac:dyDescent="0.3">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spans="1:26" ht="13.8" x14ac:dyDescent="0.3">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1:26" ht="13.8" x14ac:dyDescent="0.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1:26" ht="13.8" x14ac:dyDescent="0.3">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1:26" ht="13.8" x14ac:dyDescent="0.3">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spans="1:26" ht="13.8" x14ac:dyDescent="0.3">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spans="1:26" ht="13.8" x14ac:dyDescent="0.3">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1:26" ht="13.8" x14ac:dyDescent="0.3">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spans="1:26" ht="13.8" x14ac:dyDescent="0.3">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1:26" ht="13.8" x14ac:dyDescent="0.3">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spans="1:26" ht="13.8" x14ac:dyDescent="0.3">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spans="1:26" ht="13.8" x14ac:dyDescent="0.3">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1:26" ht="13.8" x14ac:dyDescent="0.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1:26" ht="13.8" x14ac:dyDescent="0.3">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spans="1:26" ht="13.8" x14ac:dyDescent="0.3">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spans="1:26" ht="13.8" x14ac:dyDescent="0.3">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spans="1:26" ht="13.8" x14ac:dyDescent="0.3">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spans="1:26" ht="13.8" x14ac:dyDescent="0.3">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13.8" x14ac:dyDescent="0.3">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1:26" ht="13.8" x14ac:dyDescent="0.3">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1:26" ht="13.8" x14ac:dyDescent="0.3">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spans="1:26" ht="13.8" x14ac:dyDescent="0.3">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spans="1:26" ht="13.8" x14ac:dyDescent="0.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spans="1:26" ht="13.8" x14ac:dyDescent="0.3">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13.8" x14ac:dyDescent="0.3">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spans="1:26" ht="13.8" x14ac:dyDescent="0.3">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1:26" ht="13.8" x14ac:dyDescent="0.3">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1:26" ht="13.8" x14ac:dyDescent="0.3">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spans="1:26" ht="13.8" x14ac:dyDescent="0.3">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spans="1:26" ht="13.8" x14ac:dyDescent="0.3">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1:26" ht="13.8" x14ac:dyDescent="0.3">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spans="1:26" ht="13.8" x14ac:dyDescent="0.3">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spans="1:26" ht="13.8" x14ac:dyDescent="0.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1:26" ht="13.8" x14ac:dyDescent="0.3">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1:26" ht="13.8" x14ac:dyDescent="0.3">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spans="1:26" ht="13.8" x14ac:dyDescent="0.3">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1:26" ht="13.8" x14ac:dyDescent="0.3">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spans="1:26" ht="13.8" x14ac:dyDescent="0.3">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spans="1:26" ht="13.8" x14ac:dyDescent="0.3">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1:26" ht="13.8" x14ac:dyDescent="0.3">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1:26" ht="13.8" x14ac:dyDescent="0.3">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spans="1:26" ht="13.8" x14ac:dyDescent="0.3">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1:26" ht="13.8" x14ac:dyDescent="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spans="1:26" ht="13.8" x14ac:dyDescent="0.3">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spans="1:26" ht="13.8" x14ac:dyDescent="0.3">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1:26" ht="13.8" x14ac:dyDescent="0.3">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1:26" ht="13.8" x14ac:dyDescent="0.3">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1:26" ht="13.8" x14ac:dyDescent="0.3">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1:26" ht="13.8" x14ac:dyDescent="0.3">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spans="1:26" ht="13.8" x14ac:dyDescent="0.3">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spans="1:26" ht="13.8" x14ac:dyDescent="0.3">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1:26" ht="13.8" x14ac:dyDescent="0.3">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1:26" ht="13.8" x14ac:dyDescent="0.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1:26" ht="13.8" x14ac:dyDescent="0.3">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1:26" ht="13.8" x14ac:dyDescent="0.3">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1:26" ht="13.8" x14ac:dyDescent="0.3">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1:26" ht="13.8" x14ac:dyDescent="0.3">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spans="1:26" ht="13.8" x14ac:dyDescent="0.3">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spans="1:26" ht="13.8" x14ac:dyDescent="0.3">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1:26" ht="13.8" x14ac:dyDescent="0.3">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spans="1:26" ht="13.8" x14ac:dyDescent="0.3">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1:26" ht="13.8" x14ac:dyDescent="0.3">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1:26" ht="13.8" x14ac:dyDescent="0.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1:26" ht="13.8" x14ac:dyDescent="0.3">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spans="1:26" ht="13.8" x14ac:dyDescent="0.3">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spans="1:26" ht="13.8" x14ac:dyDescent="0.3">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1:26" ht="13.8" x14ac:dyDescent="0.3">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spans="1:26" ht="13.8" x14ac:dyDescent="0.3">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1:26" ht="13.8" x14ac:dyDescent="0.3">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spans="1:26" ht="13.8" x14ac:dyDescent="0.3">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spans="1:26" ht="13.8" x14ac:dyDescent="0.3">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1:26" ht="13.8" x14ac:dyDescent="0.3">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spans="1:26" ht="13.8" x14ac:dyDescent="0.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1:26" ht="13.8" x14ac:dyDescent="0.3">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1:26" ht="13.8" x14ac:dyDescent="0.3">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spans="1:26" ht="13.8" x14ac:dyDescent="0.3">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1:26" ht="13.8" x14ac:dyDescent="0.3">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spans="1:26" ht="13.8" x14ac:dyDescent="0.3">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1:26" ht="13.8" x14ac:dyDescent="0.3">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1:26" ht="13.8" x14ac:dyDescent="0.3">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spans="1:26" ht="13.8" x14ac:dyDescent="0.3">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spans="1:26" ht="13.8" x14ac:dyDescent="0.3">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1:26" ht="13.8" x14ac:dyDescent="0.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spans="1:26" ht="13.8" x14ac:dyDescent="0.3">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spans="1:26" ht="13.8" x14ac:dyDescent="0.3">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spans="1:26" ht="13.8" x14ac:dyDescent="0.3">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spans="1:26" ht="13.8" x14ac:dyDescent="0.3">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1:26" ht="13.8" x14ac:dyDescent="0.3">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1:26" ht="13.8" x14ac:dyDescent="0.3">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spans="1:26" ht="13.8" x14ac:dyDescent="0.3">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1:26" ht="13.8" x14ac:dyDescent="0.3">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spans="1:26" ht="13.8" x14ac:dyDescent="0.3">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1:26" ht="13.8" x14ac:dyDescent="0.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spans="1:26" ht="13.8" x14ac:dyDescent="0.3">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1:26" ht="13.8" x14ac:dyDescent="0.3">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spans="1:26" ht="13.8" x14ac:dyDescent="0.3">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1:26" ht="13.8" x14ac:dyDescent="0.3">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1:26" ht="13.8" x14ac:dyDescent="0.3">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spans="1:26" ht="13.8" x14ac:dyDescent="0.3">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spans="1:26" ht="13.8" x14ac:dyDescent="0.3">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spans="1:26" ht="13.8" x14ac:dyDescent="0.3">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spans="1:26" ht="13.8" x14ac:dyDescent="0.3">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1:26" ht="13.8" x14ac:dyDescent="0.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1:26" ht="13.8" x14ac:dyDescent="0.3">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spans="1:26" ht="13.8" x14ac:dyDescent="0.3">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spans="1:26" ht="13.8" x14ac:dyDescent="0.3">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spans="1:26" ht="13.8" x14ac:dyDescent="0.3">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1:26" ht="13.8" x14ac:dyDescent="0.3">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1:26" ht="13.8" x14ac:dyDescent="0.3">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1:26" ht="13.8" x14ac:dyDescent="0.3">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1:26" ht="13.8" x14ac:dyDescent="0.3">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1:26" ht="13.8" x14ac:dyDescent="0.3">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spans="1:26" ht="13.8" x14ac:dyDescent="0.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spans="1:26" ht="13.8" x14ac:dyDescent="0.3">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1:26" ht="13.8" x14ac:dyDescent="0.3">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spans="1:26" ht="13.8" x14ac:dyDescent="0.3">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1:26" ht="13.8" x14ac:dyDescent="0.3">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spans="1:26" ht="13.8" x14ac:dyDescent="0.3">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spans="1:26" ht="13.8" x14ac:dyDescent="0.3">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1:26" ht="13.8" x14ac:dyDescent="0.3">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1:26" ht="13.8" x14ac:dyDescent="0.3">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spans="1:26" ht="13.8" x14ac:dyDescent="0.3">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1:26" ht="13.8" x14ac:dyDescent="0.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spans="1:26" ht="13.8" x14ac:dyDescent="0.3">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1:26" ht="13.8" x14ac:dyDescent="0.3">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1:26" ht="13.8" x14ac:dyDescent="0.3">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1:26" ht="13.8" x14ac:dyDescent="0.3">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spans="1:26" ht="13.8" x14ac:dyDescent="0.3">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1:26" ht="13.8" x14ac:dyDescent="0.3">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1:26" ht="13.8" x14ac:dyDescent="0.3">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spans="1:26" ht="13.8" x14ac:dyDescent="0.3">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spans="1:26" ht="13.8" x14ac:dyDescent="0.3">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1:26" ht="13.8" x14ac:dyDescent="0.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spans="1:26" ht="13.8" x14ac:dyDescent="0.3">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spans="1:26" ht="13.8" x14ac:dyDescent="0.3">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1:26" ht="13.8" x14ac:dyDescent="0.3">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spans="1:26" ht="13.8" x14ac:dyDescent="0.3">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1:26" ht="13.8" x14ac:dyDescent="0.3">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1:26" ht="13.8" x14ac:dyDescent="0.3">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1:26" ht="13.8" x14ac:dyDescent="0.3">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1:26" ht="13.8" x14ac:dyDescent="0.3">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spans="1:26" ht="13.8" x14ac:dyDescent="0.3">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1:26" ht="13.8" x14ac:dyDescent="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1:26" ht="13.8" x14ac:dyDescent="0.3">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1:26" ht="13.8" x14ac:dyDescent="0.3">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1:26" ht="13.8" x14ac:dyDescent="0.3">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spans="1:26" ht="13.8" x14ac:dyDescent="0.3">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spans="1:26" ht="13.8" x14ac:dyDescent="0.3">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1:26" ht="13.8" x14ac:dyDescent="0.3">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1:26" ht="13.8" x14ac:dyDescent="0.3">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spans="1:26" ht="13.8" x14ac:dyDescent="0.3">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spans="1:26" ht="13.8" x14ac:dyDescent="0.3">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spans="1:26" ht="13.8" x14ac:dyDescent="0.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spans="1:26" ht="13.8" x14ac:dyDescent="0.3">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spans="1:26" ht="13.8" x14ac:dyDescent="0.3">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1:26" ht="13.8" x14ac:dyDescent="0.3">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spans="1:26" ht="13.8" x14ac:dyDescent="0.3">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spans="1:26" ht="13.8" x14ac:dyDescent="0.3">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1:26" ht="13.8" x14ac:dyDescent="0.3">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1:26" ht="13.8" x14ac:dyDescent="0.3">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spans="1:26" ht="13.8" x14ac:dyDescent="0.3">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1:26" ht="13.8" x14ac:dyDescent="0.3">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1:26" ht="13.8" x14ac:dyDescent="0.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spans="1:26" ht="13.8" x14ac:dyDescent="0.3">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1:26" ht="13.8" x14ac:dyDescent="0.3">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spans="1:26" ht="13.8" x14ac:dyDescent="0.3">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1:26" ht="13.8" x14ac:dyDescent="0.3">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spans="1:26" ht="13.8" x14ac:dyDescent="0.3">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1:26" ht="13.8" x14ac:dyDescent="0.3">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spans="1:26" ht="13.8" x14ac:dyDescent="0.3">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spans="1:26" ht="13.8" x14ac:dyDescent="0.3">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spans="1:26" ht="13.8" x14ac:dyDescent="0.3">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spans="1:26" ht="13.8" x14ac:dyDescent="0.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spans="1:26" ht="13.8" x14ac:dyDescent="0.3">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1:26" ht="13.8" x14ac:dyDescent="0.3">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1:26" ht="13.8" x14ac:dyDescent="0.3">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13.8" x14ac:dyDescent="0.3">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spans="1:26" ht="13.8" x14ac:dyDescent="0.3">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spans="1:26" ht="13.8" x14ac:dyDescent="0.3">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spans="1:26" ht="13.8" x14ac:dyDescent="0.3">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spans="1:26" ht="13.8" x14ac:dyDescent="0.3">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1:26" ht="13.8" x14ac:dyDescent="0.3">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1:26" ht="13.8" x14ac:dyDescent="0.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1:26" ht="13.8" x14ac:dyDescent="0.3">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spans="1:26" ht="13.8" x14ac:dyDescent="0.3">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spans="1:26" ht="13.8" x14ac:dyDescent="0.3">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1:26" ht="13.8" x14ac:dyDescent="0.3">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1:26" ht="13.8" x14ac:dyDescent="0.3">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spans="1:26" ht="13.8" x14ac:dyDescent="0.3">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1:26" ht="13.8" x14ac:dyDescent="0.3">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spans="1:26" ht="13.8" x14ac:dyDescent="0.3">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1:26" ht="13.8" x14ac:dyDescent="0.3">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1:26" ht="13.8" x14ac:dyDescent="0.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spans="1:26" ht="13.8" x14ac:dyDescent="0.3">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1:26" ht="13.8" x14ac:dyDescent="0.3">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1:26" ht="13.8" x14ac:dyDescent="0.3">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spans="1:26" ht="13.8" x14ac:dyDescent="0.3">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spans="1:26" ht="13.8" x14ac:dyDescent="0.3">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spans="1:26" ht="13.8" x14ac:dyDescent="0.3">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1:26" ht="13.8" x14ac:dyDescent="0.3">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1:26" ht="13.8" x14ac:dyDescent="0.3">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spans="1:26" ht="13.8" x14ac:dyDescent="0.3">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1:26" ht="13.8" x14ac:dyDescent="0.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spans="1:26" ht="13.8" x14ac:dyDescent="0.3">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1:26" ht="13.8" x14ac:dyDescent="0.3">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spans="1:26" ht="13.8" x14ac:dyDescent="0.3">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spans="1:26" ht="13.8" x14ac:dyDescent="0.3">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spans="1:26" ht="13.8" x14ac:dyDescent="0.3">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1:26" ht="13.8" x14ac:dyDescent="0.3">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1:26" ht="13.8" x14ac:dyDescent="0.3">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spans="1:26" ht="13.8" x14ac:dyDescent="0.3">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1:26" ht="13.8" x14ac:dyDescent="0.3">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spans="1:26" ht="13.8" x14ac:dyDescent="0.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spans="1:26" ht="13.8" x14ac:dyDescent="0.3">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1:26" ht="13.8" x14ac:dyDescent="0.3">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spans="1:26" ht="13.8" x14ac:dyDescent="0.3">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spans="1:26" ht="13.8" x14ac:dyDescent="0.3">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1:26" ht="13.8" x14ac:dyDescent="0.3">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spans="1:26" ht="13.8" x14ac:dyDescent="0.3">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spans="1:26" ht="13.8" x14ac:dyDescent="0.3">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1:26" ht="13.8" x14ac:dyDescent="0.3">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spans="1:26" ht="13.8" x14ac:dyDescent="0.3">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spans="1:26" ht="13.8" x14ac:dyDescent="0.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spans="1:26" ht="13.8" x14ac:dyDescent="0.3">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spans="1:26" ht="13.8" x14ac:dyDescent="0.3">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spans="1:26" ht="13.8" x14ac:dyDescent="0.3">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1:26" ht="13.8" x14ac:dyDescent="0.3">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1:26" ht="13.8" x14ac:dyDescent="0.3">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1:26" ht="13.8" x14ac:dyDescent="0.3">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spans="1:26" ht="13.8" x14ac:dyDescent="0.3">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spans="1:26" ht="13.8" x14ac:dyDescent="0.3">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spans="1:26" ht="13.8" x14ac:dyDescent="0.3">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1:26" ht="13.8" x14ac:dyDescent="0.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spans="1:26" ht="13.8" x14ac:dyDescent="0.3">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1:26" ht="13.8" x14ac:dyDescent="0.3">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1:26" ht="13.8" x14ac:dyDescent="0.3">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spans="1:26" ht="13.8" x14ac:dyDescent="0.3">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spans="1:26" ht="13.8" x14ac:dyDescent="0.3">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spans="1:26" ht="13.8" x14ac:dyDescent="0.3">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spans="1:26" ht="13.8" x14ac:dyDescent="0.3">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spans="1:26" ht="13.8" x14ac:dyDescent="0.3">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1:26" ht="13.8" x14ac:dyDescent="0.3">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1:26" ht="13.8" x14ac:dyDescent="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1:26" ht="13.8" x14ac:dyDescent="0.3">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spans="1:26" ht="13.8" x14ac:dyDescent="0.3">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spans="1:26" ht="13.8" x14ac:dyDescent="0.3">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1:26" ht="13.8" x14ac:dyDescent="0.3">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1:26" ht="13.8" x14ac:dyDescent="0.3">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spans="1:26" ht="13.8" x14ac:dyDescent="0.3">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1:26" ht="13.8" x14ac:dyDescent="0.3">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1:26" ht="13.8" x14ac:dyDescent="0.3">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spans="1:26" ht="13.8" x14ac:dyDescent="0.3">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1:26" ht="13.8" x14ac:dyDescent="0.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spans="1:26" ht="13.8" x14ac:dyDescent="0.3">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spans="1:26" ht="13.8" x14ac:dyDescent="0.3">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spans="1:26" ht="13.8" x14ac:dyDescent="0.3">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spans="1:26" ht="13.8" x14ac:dyDescent="0.3">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spans="1:26" ht="13.8" x14ac:dyDescent="0.3">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1:26" ht="13.8" x14ac:dyDescent="0.3">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1:26" ht="13.8" x14ac:dyDescent="0.3">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spans="1:26" ht="13.8" x14ac:dyDescent="0.3">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spans="1:26" ht="13.8" x14ac:dyDescent="0.3">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1:26" ht="13.8" x14ac:dyDescent="0.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spans="1:26" ht="13.8" x14ac:dyDescent="0.3">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1:26" ht="13.8" x14ac:dyDescent="0.3">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1:26" ht="13.8" x14ac:dyDescent="0.3">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1:26" ht="13.8" x14ac:dyDescent="0.3">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1:26" ht="13.8" x14ac:dyDescent="0.3">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1:26" ht="13.8" x14ac:dyDescent="0.3">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spans="1:26" ht="13.8" x14ac:dyDescent="0.3">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1:26" ht="13.8" x14ac:dyDescent="0.3">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1:26" ht="13.8" x14ac:dyDescent="0.3">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spans="1:26" ht="13.8" x14ac:dyDescent="0.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spans="1:26" ht="13.8" x14ac:dyDescent="0.3">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1:26" ht="13.8" x14ac:dyDescent="0.3">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spans="1:26" ht="13.8" x14ac:dyDescent="0.3">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1:26" ht="13.8" x14ac:dyDescent="0.3">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1:26" ht="13.8" x14ac:dyDescent="0.3">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spans="1:26" ht="13.8" x14ac:dyDescent="0.3">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spans="1:26" ht="13.8" x14ac:dyDescent="0.3">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spans="1:26" ht="13.8" x14ac:dyDescent="0.3">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spans="1:26" ht="13.8" x14ac:dyDescent="0.3">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spans="1:26" ht="13.8" x14ac:dyDescent="0.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1:26" ht="13.8" x14ac:dyDescent="0.3">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1:26" ht="13.8" x14ac:dyDescent="0.3">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1:26" ht="13.8" x14ac:dyDescent="0.3">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spans="1:26" ht="13.8" x14ac:dyDescent="0.3">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spans="1:26" ht="13.8" x14ac:dyDescent="0.3">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1:26" ht="13.8" x14ac:dyDescent="0.3">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spans="1:26" ht="13.8" x14ac:dyDescent="0.3">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1:26" ht="13.8" x14ac:dyDescent="0.3">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1:26" ht="13.8" x14ac:dyDescent="0.3">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spans="1:26" ht="13.8" x14ac:dyDescent="0.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spans="1:26" ht="13.8" x14ac:dyDescent="0.3">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1:26" ht="13.8" x14ac:dyDescent="0.3">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spans="1:26" ht="13.8" x14ac:dyDescent="0.3">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spans="1:26" ht="13.8" x14ac:dyDescent="0.3">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1:26" ht="13.8" x14ac:dyDescent="0.3">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spans="1:26" ht="13.8" x14ac:dyDescent="0.3">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spans="1:26" ht="13.8" x14ac:dyDescent="0.3">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spans="1:26" ht="13.8" x14ac:dyDescent="0.3">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spans="1:26" ht="13.8" x14ac:dyDescent="0.3">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1:26" ht="13.8" x14ac:dyDescent="0.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1:26" ht="13.8" x14ac:dyDescent="0.3">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1:26" ht="13.8" x14ac:dyDescent="0.3">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spans="1:26" ht="13.8" x14ac:dyDescent="0.3">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1:26" ht="13.8" x14ac:dyDescent="0.3">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1:26" ht="13.8" x14ac:dyDescent="0.3">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1:26" ht="13.8" x14ac:dyDescent="0.3">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spans="1:26" ht="13.8" x14ac:dyDescent="0.3">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1:26" ht="13.8" x14ac:dyDescent="0.3">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spans="1:26" ht="13.8" x14ac:dyDescent="0.3">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1:26" ht="13.8" x14ac:dyDescent="0.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1:26" ht="13.8" x14ac:dyDescent="0.3">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spans="1:26" ht="13.8" x14ac:dyDescent="0.3">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spans="1:26" ht="13.8" x14ac:dyDescent="0.3">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1:26" ht="13.8" x14ac:dyDescent="0.3">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1:26" ht="13.8" x14ac:dyDescent="0.3">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1:26" ht="13.8" x14ac:dyDescent="0.3">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spans="1:26" ht="13.8" x14ac:dyDescent="0.3">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spans="1:26" ht="13.8" x14ac:dyDescent="0.3">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spans="1:26" ht="13.8" x14ac:dyDescent="0.3">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1:26" ht="13.8" x14ac:dyDescent="0.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1:26" ht="13.8" x14ac:dyDescent="0.3">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1:26" ht="13.8" x14ac:dyDescent="0.3">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1:26" ht="13.8" x14ac:dyDescent="0.3">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1:26" ht="13.8" x14ac:dyDescent="0.3">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spans="1:26" ht="13.8" x14ac:dyDescent="0.3">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1:26" ht="13.8" x14ac:dyDescent="0.3">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spans="1:26" ht="13.8" x14ac:dyDescent="0.3">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spans="1:26" ht="13.8" x14ac:dyDescent="0.3">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spans="1:26" ht="13.8" x14ac:dyDescent="0.3">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1:26" ht="13.8" x14ac:dyDescent="0.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1:26" ht="13.8" x14ac:dyDescent="0.3">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1:26" ht="13.8" x14ac:dyDescent="0.3">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1:26" ht="13.8" x14ac:dyDescent="0.3">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spans="1:26" ht="13.8" x14ac:dyDescent="0.3">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1:26" ht="13.8" x14ac:dyDescent="0.3">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1:26" ht="13.8" x14ac:dyDescent="0.3">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spans="1:26" ht="13.8" x14ac:dyDescent="0.3">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1:26" ht="13.8" x14ac:dyDescent="0.3">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spans="1:26" ht="13.8" x14ac:dyDescent="0.3">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1:26" ht="13.8" x14ac:dyDescent="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1:26" ht="13.8" x14ac:dyDescent="0.3">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spans="1:26" ht="13.8" x14ac:dyDescent="0.3">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1:26" ht="13.8" x14ac:dyDescent="0.3">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spans="1:26" ht="13.8" x14ac:dyDescent="0.3">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1:26" ht="13.8" x14ac:dyDescent="0.3">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1:26" ht="13.8" x14ac:dyDescent="0.3">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1:26" ht="13.8" x14ac:dyDescent="0.3">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spans="1:26" ht="13.8" x14ac:dyDescent="0.3">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1:26" ht="13.8" x14ac:dyDescent="0.3">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spans="1:26" ht="13.8" x14ac:dyDescent="0.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1:26" ht="13.8" x14ac:dyDescent="0.3">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1:26" ht="13.8" x14ac:dyDescent="0.3">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spans="1:26" ht="13.8" x14ac:dyDescent="0.3">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1:26" ht="13.8" x14ac:dyDescent="0.3">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1:26" ht="13.8" x14ac:dyDescent="0.3">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1:26" ht="13.8" x14ac:dyDescent="0.3">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spans="1:26" ht="13.8" x14ac:dyDescent="0.3">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1:26" ht="13.8" x14ac:dyDescent="0.3">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1:26" ht="13.8" x14ac:dyDescent="0.3">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spans="1:26" ht="13.8" x14ac:dyDescent="0.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spans="1:26" ht="13.8" x14ac:dyDescent="0.3">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13.8" x14ac:dyDescent="0.3">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1:26" ht="13.8" x14ac:dyDescent="0.3">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spans="1:26" ht="13.8" x14ac:dyDescent="0.3">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spans="1:26" ht="13.8" x14ac:dyDescent="0.3">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1:26" ht="13.8" x14ac:dyDescent="0.3">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spans="1:26" ht="13.8" x14ac:dyDescent="0.3">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1:26" ht="13.8" x14ac:dyDescent="0.3">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spans="1:26" ht="13.8" x14ac:dyDescent="0.3">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spans="1:26" ht="13.8" x14ac:dyDescent="0.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spans="1:26" ht="13.8" x14ac:dyDescent="0.3">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1:26" ht="13.8" x14ac:dyDescent="0.3">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spans="1:26" ht="13.8" x14ac:dyDescent="0.3">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1:26" ht="13.8" x14ac:dyDescent="0.3">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spans="1:26" ht="13.8" x14ac:dyDescent="0.3">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spans="1:26" ht="13.8" x14ac:dyDescent="0.3">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spans="1:26" ht="13.8" x14ac:dyDescent="0.3">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1:26" ht="13.8" x14ac:dyDescent="0.3">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1:26" ht="13.8" x14ac:dyDescent="0.3">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1:26" ht="13.8" x14ac:dyDescent="0.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spans="1:26" ht="13.8" x14ac:dyDescent="0.3">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spans="1:26" ht="13.8" x14ac:dyDescent="0.3">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1:26" ht="13.8" x14ac:dyDescent="0.3">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1:26" ht="13.8" x14ac:dyDescent="0.3">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spans="1:26" ht="13.8" x14ac:dyDescent="0.3">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1:26" ht="13.8" x14ac:dyDescent="0.3">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spans="1:26" ht="13.8" x14ac:dyDescent="0.3">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1:26" ht="13.8" x14ac:dyDescent="0.3">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1:26" ht="13.8" x14ac:dyDescent="0.3">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1:26" ht="13.8" x14ac:dyDescent="0.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spans="1:26" ht="13.8" x14ac:dyDescent="0.3">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spans="1:26" ht="13.8" x14ac:dyDescent="0.3">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spans="1:26" ht="13.8" x14ac:dyDescent="0.3">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13.8" x14ac:dyDescent="0.3">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spans="1:26" ht="13.8" x14ac:dyDescent="0.3">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spans="1:26" ht="13.8" x14ac:dyDescent="0.3">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spans="1:26" ht="13.8" x14ac:dyDescent="0.3">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1:26" ht="13.8" x14ac:dyDescent="0.3">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1:26" ht="13.8" x14ac:dyDescent="0.3">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1:26" ht="13.8" x14ac:dyDescent="0.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1:26" ht="13.8" x14ac:dyDescent="0.3">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spans="1:26" ht="13.8" x14ac:dyDescent="0.3">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spans="1:26" ht="13.8" x14ac:dyDescent="0.3">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1:26" ht="13.8" x14ac:dyDescent="0.3">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1:26" ht="13.8" x14ac:dyDescent="0.3">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1:26" ht="13.8" x14ac:dyDescent="0.3">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1:26" ht="13.8" x14ac:dyDescent="0.3">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spans="1:26" ht="13.8" x14ac:dyDescent="0.3">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spans="1:26" ht="13.8" x14ac:dyDescent="0.3">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spans="1:26" ht="13.8" x14ac:dyDescent="0.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1:26" ht="13.8" x14ac:dyDescent="0.3">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1:26" ht="13.8" x14ac:dyDescent="0.3">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spans="1:26" ht="13.8" x14ac:dyDescent="0.3">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spans="1:26" ht="13.8" x14ac:dyDescent="0.3">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1:26" ht="13.8" x14ac:dyDescent="0.3">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spans="1:26" ht="13.8" x14ac:dyDescent="0.3">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1:26" ht="13.8" x14ac:dyDescent="0.3">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spans="1:26" ht="13.8" x14ac:dyDescent="0.3">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spans="1:26" ht="13.8" x14ac:dyDescent="0.3">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spans="1:26" ht="13.8" x14ac:dyDescent="0.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13.8" x14ac:dyDescent="0.3">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spans="1:26" ht="13.8" x14ac:dyDescent="0.3">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spans="1:26" ht="13.8" x14ac:dyDescent="0.3">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spans="1:26" ht="13.8" x14ac:dyDescent="0.3">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13.8" x14ac:dyDescent="0.3">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1:26" ht="13.8" x14ac:dyDescent="0.3">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1:26" ht="13.8" x14ac:dyDescent="0.3">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spans="1:26" ht="13.8" x14ac:dyDescent="0.3">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spans="1:26" ht="13.8" x14ac:dyDescent="0.3">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spans="1:26" ht="13.8" x14ac:dyDescent="0.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1:26" ht="13.8" x14ac:dyDescent="0.3">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1:26" ht="13.8" x14ac:dyDescent="0.3">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spans="1:26" ht="13.8" x14ac:dyDescent="0.3">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spans="1:26" ht="13.8" x14ac:dyDescent="0.3">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spans="1:26" ht="13.8" x14ac:dyDescent="0.3">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1:26" ht="13.8" x14ac:dyDescent="0.3">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1:26" ht="13.8" x14ac:dyDescent="0.3">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1:26" ht="13.8" x14ac:dyDescent="0.3">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1:26" ht="13.8" x14ac:dyDescent="0.3">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spans="1:26" ht="13.8" x14ac:dyDescent="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1:26" ht="13.8" x14ac:dyDescent="0.3">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1:26" ht="13.8" x14ac:dyDescent="0.3">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1:26" ht="13.8" x14ac:dyDescent="0.3">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1:26" ht="13.8" x14ac:dyDescent="0.3">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spans="1:26" ht="13.8" x14ac:dyDescent="0.3">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spans="1:26" ht="13.8" x14ac:dyDescent="0.3">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spans="1:26" ht="13.8" x14ac:dyDescent="0.3">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1:26" ht="13.8" x14ac:dyDescent="0.3">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1:26" ht="13.8" x14ac:dyDescent="0.3">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spans="1:26" ht="13.8" x14ac:dyDescent="0.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spans="1:26" ht="13.8" x14ac:dyDescent="0.3">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spans="1:26" ht="13.8" x14ac:dyDescent="0.3">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spans="1:26" ht="13.8" x14ac:dyDescent="0.3">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1:26" ht="13.8" x14ac:dyDescent="0.3">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spans="1:26" ht="13.8" x14ac:dyDescent="0.3">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1:26" ht="13.8" x14ac:dyDescent="0.3">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1:26" ht="13.8" x14ac:dyDescent="0.3">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1:26" ht="13.8" x14ac:dyDescent="0.3">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1:26" ht="13.8" x14ac:dyDescent="0.3">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1:26" ht="13.8" x14ac:dyDescent="0.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1:26" ht="13.8" x14ac:dyDescent="0.3">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spans="1:26" ht="13.8" x14ac:dyDescent="0.3">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spans="1:26" ht="13.8" x14ac:dyDescent="0.3">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1:26" ht="13.8" x14ac:dyDescent="0.3">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1:26" ht="13.8" x14ac:dyDescent="0.3">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1:26" ht="13.8" x14ac:dyDescent="0.3">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spans="1:26" ht="13.8" x14ac:dyDescent="0.3">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spans="1:26" ht="13.8" x14ac:dyDescent="0.3">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1:26" ht="13.8" x14ac:dyDescent="0.3">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spans="1:26" ht="13.8" x14ac:dyDescent="0.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spans="1:26" ht="13.8" x14ac:dyDescent="0.3">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1:26" ht="13.8" x14ac:dyDescent="0.3">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spans="1:26" ht="13.8" x14ac:dyDescent="0.3">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1:26" ht="13.8" x14ac:dyDescent="0.3">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1:26" ht="13.8" x14ac:dyDescent="0.3">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1:26" ht="13.8" x14ac:dyDescent="0.3">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1:26" ht="13.8" x14ac:dyDescent="0.3">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spans="1:26" ht="13.8" x14ac:dyDescent="0.3">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spans="1:26" ht="13.8" x14ac:dyDescent="0.3">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1:26" ht="13.8" x14ac:dyDescent="0.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spans="1:26" ht="13.8" x14ac:dyDescent="0.3">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1:26" ht="13.8" x14ac:dyDescent="0.3">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spans="1:26" ht="13.8" x14ac:dyDescent="0.3">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spans="1:26" ht="13.8" x14ac:dyDescent="0.3">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1:26" ht="13.8" x14ac:dyDescent="0.3">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spans="1:26" ht="13.8" x14ac:dyDescent="0.3">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spans="1:26" ht="13.8" x14ac:dyDescent="0.3">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spans="1:26" ht="13.8" x14ac:dyDescent="0.3">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spans="1:26" ht="13.8" x14ac:dyDescent="0.3">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1:26" ht="13.8" x14ac:dyDescent="0.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spans="1:26" ht="13.8" x14ac:dyDescent="0.3">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spans="1:26" ht="13.8" x14ac:dyDescent="0.3">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spans="1:26" ht="13.8" x14ac:dyDescent="0.3">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1:26" ht="13.8" x14ac:dyDescent="0.3">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13.8" x14ac:dyDescent="0.3">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spans="1:26" ht="13.8" x14ac:dyDescent="0.3">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1:26" ht="13.8" x14ac:dyDescent="0.3">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1:26" ht="13.8" x14ac:dyDescent="0.3">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spans="1:26" ht="13.8" x14ac:dyDescent="0.3">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spans="1:26" ht="13.8" x14ac:dyDescent="0.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1:26" ht="13.8" x14ac:dyDescent="0.3">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spans="1:26" ht="13.8" x14ac:dyDescent="0.3">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spans="1:26" ht="13.8" x14ac:dyDescent="0.3">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13.8" x14ac:dyDescent="0.3">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1:26" ht="13.8" x14ac:dyDescent="0.3">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spans="1:26" ht="13.8" x14ac:dyDescent="0.3">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spans="1:26" ht="13.8" x14ac:dyDescent="0.3">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spans="1:26" ht="13.8" x14ac:dyDescent="0.3">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spans="1:26" ht="13.8" x14ac:dyDescent="0.3">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1:26" ht="13.8" x14ac:dyDescent="0.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1:26" ht="13.8" x14ac:dyDescent="0.3">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spans="1:26" ht="13.8" x14ac:dyDescent="0.3">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spans="1:26" ht="13.8" x14ac:dyDescent="0.3">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1:26" ht="13.8" x14ac:dyDescent="0.3">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1:26" ht="13.8" x14ac:dyDescent="0.3">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1:26" ht="13.8" x14ac:dyDescent="0.3">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spans="1:26" ht="13.8" x14ac:dyDescent="0.3">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spans="1:26" ht="13.8" x14ac:dyDescent="0.3">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spans="1:26" ht="13.8" x14ac:dyDescent="0.3">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spans="1:26" ht="13.8" x14ac:dyDescent="0.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1:26" ht="13.8" x14ac:dyDescent="0.3">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1:26" ht="13.8" x14ac:dyDescent="0.3">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1:26" ht="13.8" x14ac:dyDescent="0.3">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spans="1:26" ht="13.8" x14ac:dyDescent="0.3">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spans="1:26" ht="13.8" x14ac:dyDescent="0.3">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spans="1:26" ht="13.8" x14ac:dyDescent="0.3">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spans="1:26" ht="13.8" x14ac:dyDescent="0.3">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spans="1:26" ht="13.8" x14ac:dyDescent="0.3">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spans="1:26" ht="13.8" x14ac:dyDescent="0.3">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spans="1:26" ht="13.8" x14ac:dyDescent="0.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spans="1:26" ht="13.8" x14ac:dyDescent="0.3">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spans="1:26" ht="13.8" x14ac:dyDescent="0.3">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spans="1:26" ht="13.8" x14ac:dyDescent="0.3">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spans="1:26" ht="13.8" x14ac:dyDescent="0.3">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spans="1:26" ht="13.8" x14ac:dyDescent="0.3">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spans="1:26" ht="13.8" x14ac:dyDescent="0.3">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spans="1:26" ht="13.8" x14ac:dyDescent="0.3">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3419F-05CF-4713-97A3-AF91625A5F22}">
  <sheetPr>
    <outlinePr summaryBelow="0" summaryRight="0"/>
  </sheetPr>
  <dimension ref="A1:E55"/>
  <sheetViews>
    <sheetView workbookViewId="0">
      <selection activeCell="E1" sqref="E1"/>
    </sheetView>
  </sheetViews>
  <sheetFormatPr defaultColWidth="13.88671875" defaultRowHeight="15.75" customHeight="1" x14ac:dyDescent="0.3"/>
  <cols>
    <col min="1" max="2" width="13.88671875" style="21"/>
    <col min="3" max="3" width="29.109375" style="21" customWidth="1"/>
    <col min="4" max="16384" width="13.88671875" style="21"/>
  </cols>
  <sheetData>
    <row r="1" spans="1:5" ht="15.75" customHeight="1" x14ac:dyDescent="0.3">
      <c r="A1" s="25" t="s">
        <v>8</v>
      </c>
      <c r="B1" s="26" t="s">
        <v>477</v>
      </c>
      <c r="C1" s="27" t="s">
        <v>478</v>
      </c>
      <c r="D1" s="26" t="s">
        <v>121</v>
      </c>
      <c r="E1" s="26" t="s">
        <v>479</v>
      </c>
    </row>
    <row r="2" spans="1:5" ht="15.75" customHeight="1" x14ac:dyDescent="0.3">
      <c r="A2" s="28" t="s">
        <v>480</v>
      </c>
      <c r="B2" s="28" t="s">
        <v>480</v>
      </c>
      <c r="C2" s="29" t="s">
        <v>480</v>
      </c>
      <c r="D2" s="30">
        <v>42228429</v>
      </c>
      <c r="E2" s="30">
        <v>2018</v>
      </c>
    </row>
    <row r="3" spans="1:5" ht="15.75" customHeight="1" x14ac:dyDescent="0.3">
      <c r="A3" s="28" t="s">
        <v>481</v>
      </c>
      <c r="B3" s="28" t="s">
        <v>481</v>
      </c>
      <c r="C3" s="29" t="s">
        <v>481</v>
      </c>
      <c r="D3" s="30">
        <v>30809762</v>
      </c>
      <c r="E3" s="30">
        <v>2018</v>
      </c>
    </row>
    <row r="4" spans="1:5" ht="15.75" customHeight="1" x14ac:dyDescent="0.3">
      <c r="A4" s="28" t="s">
        <v>482</v>
      </c>
      <c r="B4" s="28" t="s">
        <v>482</v>
      </c>
      <c r="C4" s="29" t="s">
        <v>482</v>
      </c>
      <c r="D4" s="30">
        <v>11485048</v>
      </c>
      <c r="E4" s="30">
        <v>2018</v>
      </c>
    </row>
    <row r="5" spans="1:5" ht="15.75" customHeight="1" x14ac:dyDescent="0.3">
      <c r="A5" s="28" t="s">
        <v>483</v>
      </c>
      <c r="B5" s="28" t="s">
        <v>483</v>
      </c>
      <c r="C5" s="29" t="s">
        <v>483</v>
      </c>
      <c r="D5" s="30">
        <v>2254126</v>
      </c>
      <c r="E5" s="30">
        <v>2018</v>
      </c>
    </row>
    <row r="6" spans="1:5" ht="15.75" customHeight="1" x14ac:dyDescent="0.3">
      <c r="A6" s="28" t="s">
        <v>484</v>
      </c>
      <c r="B6" s="28" t="s">
        <v>484</v>
      </c>
      <c r="C6" s="29" t="s">
        <v>484</v>
      </c>
      <c r="D6" s="30">
        <v>19751535</v>
      </c>
      <c r="E6" s="30">
        <v>2018</v>
      </c>
    </row>
    <row r="7" spans="1:5" ht="15.75" customHeight="1" x14ac:dyDescent="0.3">
      <c r="A7" s="28" t="s">
        <v>317</v>
      </c>
      <c r="B7" s="28" t="s">
        <v>317</v>
      </c>
      <c r="C7" s="29" t="s">
        <v>317</v>
      </c>
      <c r="D7" s="30">
        <v>11175378</v>
      </c>
      <c r="E7" s="30">
        <v>2018</v>
      </c>
    </row>
    <row r="8" spans="1:5" ht="15.75" customHeight="1" x14ac:dyDescent="0.3">
      <c r="A8" s="28" t="s">
        <v>99</v>
      </c>
      <c r="B8" s="28" t="s">
        <v>99</v>
      </c>
      <c r="C8" s="29" t="s">
        <v>99</v>
      </c>
      <c r="D8" s="30">
        <v>543767</v>
      </c>
      <c r="E8" s="30">
        <v>2018</v>
      </c>
    </row>
    <row r="9" spans="1:5" ht="15.75" customHeight="1" x14ac:dyDescent="0.3">
      <c r="A9" s="28" t="s">
        <v>208</v>
      </c>
      <c r="B9" s="28" t="s">
        <v>208</v>
      </c>
      <c r="C9" s="29" t="s">
        <v>208</v>
      </c>
      <c r="D9" s="30">
        <v>25216237</v>
      </c>
      <c r="E9" s="30">
        <v>2018</v>
      </c>
    </row>
    <row r="10" spans="1:5" ht="15.75" customHeight="1" x14ac:dyDescent="0.3">
      <c r="A10" s="28" t="s">
        <v>485</v>
      </c>
      <c r="B10" s="31" t="s">
        <v>343</v>
      </c>
      <c r="C10" s="29" t="s">
        <v>343</v>
      </c>
      <c r="D10" s="30">
        <v>4666377</v>
      </c>
      <c r="E10" s="30">
        <v>2018</v>
      </c>
    </row>
    <row r="11" spans="1:5" ht="15.75" customHeight="1" x14ac:dyDescent="0.3">
      <c r="A11" s="28" t="s">
        <v>486</v>
      </c>
      <c r="B11" s="28" t="s">
        <v>486</v>
      </c>
      <c r="C11" s="29" t="s">
        <v>486</v>
      </c>
      <c r="D11" s="30">
        <v>15477751</v>
      </c>
      <c r="E11" s="30">
        <v>2018</v>
      </c>
    </row>
    <row r="12" spans="1:5" ht="15.75" customHeight="1" x14ac:dyDescent="0.3">
      <c r="A12" s="28" t="s">
        <v>305</v>
      </c>
      <c r="B12" s="28" t="s">
        <v>305</v>
      </c>
      <c r="C12" s="29" t="s">
        <v>305</v>
      </c>
      <c r="D12" s="30">
        <v>832322</v>
      </c>
      <c r="E12" s="30">
        <v>2018</v>
      </c>
    </row>
    <row r="13" spans="1:5" ht="15.75" customHeight="1" x14ac:dyDescent="0.3">
      <c r="A13" s="28" t="s">
        <v>487</v>
      </c>
      <c r="B13" s="31" t="s">
        <v>488</v>
      </c>
      <c r="C13" s="32" t="s">
        <v>489</v>
      </c>
      <c r="D13" s="30">
        <v>25069229</v>
      </c>
      <c r="E13" s="30">
        <v>2018</v>
      </c>
    </row>
    <row r="14" spans="1:5" ht="15.75" customHeight="1" x14ac:dyDescent="0.3">
      <c r="A14" s="28" t="s">
        <v>490</v>
      </c>
      <c r="B14" s="33" t="s">
        <v>491</v>
      </c>
      <c r="C14" s="32" t="s">
        <v>492</v>
      </c>
      <c r="D14" s="30">
        <v>84068091</v>
      </c>
      <c r="E14" s="30">
        <v>2018</v>
      </c>
    </row>
    <row r="15" spans="1:5" ht="15.75" customHeight="1" x14ac:dyDescent="0.3">
      <c r="A15" s="28" t="s">
        <v>493</v>
      </c>
      <c r="B15" s="28" t="s">
        <v>493</v>
      </c>
      <c r="C15" s="29" t="s">
        <v>493</v>
      </c>
      <c r="D15" s="30">
        <v>958920</v>
      </c>
      <c r="E15" s="30">
        <v>2018</v>
      </c>
    </row>
    <row r="16" spans="1:5" ht="15.75" customHeight="1" x14ac:dyDescent="0.3">
      <c r="A16" s="28" t="s">
        <v>226</v>
      </c>
      <c r="B16" s="33" t="s">
        <v>494</v>
      </c>
      <c r="C16" s="29" t="s">
        <v>226</v>
      </c>
      <c r="D16" s="30">
        <v>98423595</v>
      </c>
      <c r="E16" s="30">
        <v>2018</v>
      </c>
    </row>
    <row r="17" spans="1:5" ht="15.75" customHeight="1" x14ac:dyDescent="0.3">
      <c r="A17" s="28" t="s">
        <v>495</v>
      </c>
      <c r="B17" s="28" t="s">
        <v>495</v>
      </c>
      <c r="C17" s="29" t="s">
        <v>495</v>
      </c>
      <c r="D17" s="30">
        <v>1308974</v>
      </c>
      <c r="E17" s="30">
        <v>2018</v>
      </c>
    </row>
    <row r="18" spans="1:5" ht="15.75" customHeight="1" x14ac:dyDescent="0.3">
      <c r="A18" s="28" t="s">
        <v>496</v>
      </c>
      <c r="B18" s="28" t="s">
        <v>496</v>
      </c>
      <c r="C18" s="29" t="s">
        <v>496</v>
      </c>
      <c r="D18" s="30">
        <v>3213972</v>
      </c>
      <c r="E18" s="34">
        <v>2011</v>
      </c>
    </row>
    <row r="19" spans="1:5" ht="15.75" customHeight="1" x14ac:dyDescent="0.3">
      <c r="A19" s="28" t="s">
        <v>419</v>
      </c>
      <c r="B19" s="28" t="s">
        <v>419</v>
      </c>
      <c r="C19" s="29" t="s">
        <v>419</v>
      </c>
      <c r="D19" s="30">
        <v>1136191</v>
      </c>
      <c r="E19" s="30">
        <v>2018</v>
      </c>
    </row>
    <row r="20" spans="1:5" ht="15.75" customHeight="1" x14ac:dyDescent="0.3">
      <c r="A20" s="28" t="s">
        <v>195</v>
      </c>
      <c r="B20" s="28" t="s">
        <v>195</v>
      </c>
      <c r="C20" s="29" t="s">
        <v>195</v>
      </c>
      <c r="D20" s="30">
        <v>109224559</v>
      </c>
      <c r="E20" s="30">
        <v>2018</v>
      </c>
    </row>
    <row r="21" spans="1:5" ht="15.75" customHeight="1" x14ac:dyDescent="0.3">
      <c r="A21" s="28" t="s">
        <v>172</v>
      </c>
      <c r="B21" s="28" t="s">
        <v>172</v>
      </c>
      <c r="C21" s="29" t="s">
        <v>172</v>
      </c>
      <c r="D21" s="30">
        <v>2119275</v>
      </c>
      <c r="E21" s="30">
        <v>2018</v>
      </c>
    </row>
    <row r="22" spans="1:5" ht="15.75" customHeight="1" x14ac:dyDescent="0.3">
      <c r="A22" s="28" t="s">
        <v>497</v>
      </c>
      <c r="B22" s="28" t="s">
        <v>497</v>
      </c>
      <c r="C22" s="29" t="s">
        <v>497</v>
      </c>
      <c r="D22" s="30">
        <v>29767108</v>
      </c>
      <c r="E22" s="30">
        <v>2018</v>
      </c>
    </row>
    <row r="23" spans="1:5" ht="15.75" customHeight="1" x14ac:dyDescent="0.3">
      <c r="A23" s="28" t="s">
        <v>498</v>
      </c>
      <c r="B23" s="28" t="s">
        <v>498</v>
      </c>
      <c r="C23" s="29" t="s">
        <v>498</v>
      </c>
      <c r="D23" s="30">
        <v>12414318</v>
      </c>
      <c r="E23" s="30">
        <v>2018</v>
      </c>
    </row>
    <row r="24" spans="1:5" ht="15.75" customHeight="1" x14ac:dyDescent="0.3">
      <c r="A24" s="28" t="s">
        <v>371</v>
      </c>
      <c r="B24" s="28" t="s">
        <v>371</v>
      </c>
      <c r="C24" s="29" t="s">
        <v>371</v>
      </c>
      <c r="D24" s="30">
        <v>1874309</v>
      </c>
      <c r="E24" s="30">
        <v>2018</v>
      </c>
    </row>
    <row r="25" spans="1:5" ht="15.75" customHeight="1" x14ac:dyDescent="0.3">
      <c r="A25" s="28" t="s">
        <v>145</v>
      </c>
      <c r="B25" s="28" t="s">
        <v>145</v>
      </c>
      <c r="C25" s="29" t="s">
        <v>145</v>
      </c>
      <c r="D25" s="30">
        <v>51393010</v>
      </c>
      <c r="E25" s="30">
        <v>2018</v>
      </c>
    </row>
    <row r="26" spans="1:5" ht="15.75" customHeight="1" x14ac:dyDescent="0.3">
      <c r="A26" s="28" t="s">
        <v>396</v>
      </c>
      <c r="B26" s="28" t="s">
        <v>396</v>
      </c>
      <c r="C26" s="29" t="s">
        <v>396</v>
      </c>
      <c r="D26" s="30">
        <v>2108132</v>
      </c>
      <c r="E26" s="30">
        <v>2018</v>
      </c>
    </row>
    <row r="27" spans="1:5" ht="15.75" customHeight="1" x14ac:dyDescent="0.3">
      <c r="A27" s="28" t="s">
        <v>377</v>
      </c>
      <c r="B27" s="28" t="s">
        <v>377</v>
      </c>
      <c r="C27" s="29" t="s">
        <v>377</v>
      </c>
      <c r="D27" s="30">
        <v>4818977</v>
      </c>
      <c r="E27" s="30">
        <v>2018</v>
      </c>
    </row>
    <row r="28" spans="1:5" ht="15.75" customHeight="1" x14ac:dyDescent="0.3">
      <c r="A28" s="28" t="s">
        <v>499</v>
      </c>
      <c r="B28" s="28" t="s">
        <v>499</v>
      </c>
      <c r="C28" s="29" t="s">
        <v>499</v>
      </c>
      <c r="D28" s="30">
        <v>6678567</v>
      </c>
      <c r="E28" s="30">
        <v>2018</v>
      </c>
    </row>
    <row r="29" spans="1:5" ht="15.75" customHeight="1" x14ac:dyDescent="0.3">
      <c r="A29" s="28" t="s">
        <v>500</v>
      </c>
      <c r="B29" s="28" t="s">
        <v>500</v>
      </c>
      <c r="C29" s="29" t="s">
        <v>500</v>
      </c>
      <c r="D29" s="30">
        <v>26262368</v>
      </c>
      <c r="E29" s="30">
        <v>2018</v>
      </c>
    </row>
    <row r="30" spans="1:5" ht="15.75" customHeight="1" x14ac:dyDescent="0.3">
      <c r="A30" s="28" t="s">
        <v>501</v>
      </c>
      <c r="B30" s="28" t="s">
        <v>501</v>
      </c>
      <c r="C30" s="29" t="s">
        <v>501</v>
      </c>
      <c r="D30" s="30">
        <v>18143315</v>
      </c>
      <c r="E30" s="30">
        <v>2018</v>
      </c>
    </row>
    <row r="31" spans="1:5" ht="15.75" customHeight="1" x14ac:dyDescent="0.3">
      <c r="A31" s="28" t="s">
        <v>502</v>
      </c>
      <c r="B31" s="28" t="s">
        <v>502</v>
      </c>
      <c r="C31" s="29" t="s">
        <v>502</v>
      </c>
      <c r="D31" s="30">
        <v>19077690</v>
      </c>
      <c r="E31" s="30">
        <v>2018</v>
      </c>
    </row>
    <row r="32" spans="1:5" ht="15.75" customHeight="1" x14ac:dyDescent="0.3">
      <c r="A32" s="28" t="s">
        <v>273</v>
      </c>
      <c r="B32" s="28" t="s">
        <v>273</v>
      </c>
      <c r="C32" s="29" t="s">
        <v>273</v>
      </c>
      <c r="D32" s="30">
        <v>4403319</v>
      </c>
      <c r="E32" s="30">
        <v>2018</v>
      </c>
    </row>
    <row r="33" spans="1:5" ht="15.75" customHeight="1" x14ac:dyDescent="0.3">
      <c r="A33" s="28" t="s">
        <v>124</v>
      </c>
      <c r="B33" s="28" t="s">
        <v>124</v>
      </c>
      <c r="C33" s="29" t="s">
        <v>124</v>
      </c>
      <c r="D33" s="30">
        <v>1265303</v>
      </c>
      <c r="E33" s="30">
        <v>2018</v>
      </c>
    </row>
    <row r="34" spans="1:5" ht="15.75" customHeight="1" x14ac:dyDescent="0.3">
      <c r="A34" s="28" t="s">
        <v>151</v>
      </c>
      <c r="B34" s="28" t="s">
        <v>151</v>
      </c>
      <c r="C34" s="29" t="s">
        <v>151</v>
      </c>
      <c r="D34" s="30">
        <v>36029138</v>
      </c>
      <c r="E34" s="30">
        <v>2018</v>
      </c>
    </row>
    <row r="35" spans="1:5" ht="14.4" x14ac:dyDescent="0.3">
      <c r="A35" s="28" t="s">
        <v>445</v>
      </c>
      <c r="B35" s="28" t="s">
        <v>445</v>
      </c>
      <c r="C35" s="29" t="s">
        <v>445</v>
      </c>
      <c r="D35" s="30">
        <v>29495962</v>
      </c>
      <c r="E35" s="30">
        <v>2018</v>
      </c>
    </row>
    <row r="36" spans="1:5" ht="14.4" x14ac:dyDescent="0.3">
      <c r="A36" s="28" t="s">
        <v>353</v>
      </c>
      <c r="B36" s="28" t="s">
        <v>353</v>
      </c>
      <c r="C36" s="29" t="s">
        <v>353</v>
      </c>
      <c r="D36" s="30">
        <v>2448255</v>
      </c>
      <c r="E36" s="30">
        <v>2018</v>
      </c>
    </row>
    <row r="37" spans="1:5" ht="14.4" x14ac:dyDescent="0.3">
      <c r="A37" s="28" t="s">
        <v>282</v>
      </c>
      <c r="B37" s="28" t="s">
        <v>282</v>
      </c>
      <c r="C37" s="29" t="s">
        <v>282</v>
      </c>
      <c r="D37" s="30">
        <v>22442948</v>
      </c>
      <c r="E37" s="30">
        <v>2018</v>
      </c>
    </row>
    <row r="38" spans="1:5" ht="14.4" x14ac:dyDescent="0.3">
      <c r="A38" s="28" t="s">
        <v>184</v>
      </c>
      <c r="B38" s="28" t="s">
        <v>184</v>
      </c>
      <c r="C38" s="29" t="s">
        <v>184</v>
      </c>
      <c r="D38" s="30">
        <v>195874740</v>
      </c>
      <c r="E38" s="30">
        <v>2018</v>
      </c>
    </row>
    <row r="39" spans="1:5" ht="14.4" x14ac:dyDescent="0.3">
      <c r="A39" s="28" t="s">
        <v>503</v>
      </c>
      <c r="B39" s="33" t="s">
        <v>504</v>
      </c>
      <c r="C39" s="32" t="s">
        <v>505</v>
      </c>
      <c r="D39" s="30">
        <v>5244363</v>
      </c>
      <c r="E39" s="30">
        <v>2018</v>
      </c>
    </row>
    <row r="40" spans="1:5" ht="14.4" x14ac:dyDescent="0.3">
      <c r="A40" s="28" t="s">
        <v>254</v>
      </c>
      <c r="B40" s="28" t="s">
        <v>254</v>
      </c>
      <c r="C40" s="29" t="s">
        <v>254</v>
      </c>
      <c r="D40" s="30">
        <v>12301939</v>
      </c>
      <c r="E40" s="30">
        <v>2018</v>
      </c>
    </row>
    <row r="41" spans="1:5" ht="14.4" x14ac:dyDescent="0.3">
      <c r="A41" s="28" t="s">
        <v>506</v>
      </c>
      <c r="B41" s="33" t="s">
        <v>507</v>
      </c>
      <c r="C41" s="29" t="s">
        <v>507</v>
      </c>
      <c r="D41" s="30">
        <v>211028</v>
      </c>
      <c r="E41" s="30">
        <v>2018</v>
      </c>
    </row>
    <row r="42" spans="1:5" ht="14.4" x14ac:dyDescent="0.3">
      <c r="A42" s="28" t="s">
        <v>155</v>
      </c>
      <c r="B42" s="28" t="s">
        <v>155</v>
      </c>
      <c r="C42" s="29" t="s">
        <v>155</v>
      </c>
      <c r="D42" s="30">
        <v>15854360</v>
      </c>
      <c r="E42" s="30">
        <v>2018</v>
      </c>
    </row>
    <row r="43" spans="1:5" ht="14.4" x14ac:dyDescent="0.3">
      <c r="A43" s="28" t="s">
        <v>163</v>
      </c>
      <c r="B43" s="28" t="s">
        <v>163</v>
      </c>
      <c r="C43" s="29" t="s">
        <v>163</v>
      </c>
      <c r="D43" s="30">
        <v>96762</v>
      </c>
      <c r="E43" s="30">
        <v>2018</v>
      </c>
    </row>
    <row r="44" spans="1:5" ht="14.4" x14ac:dyDescent="0.3">
      <c r="A44" s="28" t="s">
        <v>508</v>
      </c>
      <c r="B44" s="28" t="s">
        <v>508</v>
      </c>
      <c r="C44" s="29" t="s">
        <v>508</v>
      </c>
      <c r="D44" s="30">
        <v>7650154</v>
      </c>
      <c r="E44" s="30">
        <v>2018</v>
      </c>
    </row>
    <row r="45" spans="1:5" ht="14.4" x14ac:dyDescent="0.3">
      <c r="A45" s="28" t="s">
        <v>509</v>
      </c>
      <c r="B45" s="28" t="s">
        <v>509</v>
      </c>
      <c r="C45" s="29" t="s">
        <v>509</v>
      </c>
      <c r="D45" s="30">
        <v>15008154</v>
      </c>
      <c r="E45" s="30">
        <v>2018</v>
      </c>
    </row>
    <row r="46" spans="1:5" ht="14.4" x14ac:dyDescent="0.3">
      <c r="A46" s="28" t="s">
        <v>510</v>
      </c>
      <c r="B46" s="28" t="s">
        <v>510</v>
      </c>
      <c r="C46" s="29" t="s">
        <v>510</v>
      </c>
      <c r="D46" s="30">
        <v>57779622</v>
      </c>
      <c r="E46" s="30">
        <v>2018</v>
      </c>
    </row>
    <row r="47" spans="1:5" ht="14.4" x14ac:dyDescent="0.3">
      <c r="A47" s="28" t="s">
        <v>179</v>
      </c>
      <c r="B47" s="28" t="s">
        <v>179</v>
      </c>
      <c r="C47" s="29" t="s">
        <v>179</v>
      </c>
      <c r="D47" s="30">
        <v>10975920</v>
      </c>
      <c r="E47" s="30">
        <v>2018</v>
      </c>
    </row>
    <row r="48" spans="1:5" ht="14.4" x14ac:dyDescent="0.3">
      <c r="A48" s="28" t="s">
        <v>314</v>
      </c>
      <c r="B48" s="28" t="s">
        <v>314</v>
      </c>
      <c r="C48" s="29" t="s">
        <v>314</v>
      </c>
      <c r="D48" s="30">
        <v>41801533</v>
      </c>
      <c r="E48" s="30">
        <v>2018</v>
      </c>
    </row>
    <row r="49" spans="1:5" ht="14.4" x14ac:dyDescent="0.3">
      <c r="A49" s="28" t="s">
        <v>511</v>
      </c>
      <c r="B49" s="31" t="s">
        <v>512</v>
      </c>
      <c r="C49" s="29" t="s">
        <v>513</v>
      </c>
      <c r="D49" s="30">
        <v>2280102</v>
      </c>
      <c r="E49" s="30">
        <v>2018</v>
      </c>
    </row>
    <row r="50" spans="1:5" ht="14.4" x14ac:dyDescent="0.3">
      <c r="A50" s="28" t="s">
        <v>433</v>
      </c>
      <c r="B50" s="28" t="s">
        <v>433</v>
      </c>
      <c r="C50" s="29" t="s">
        <v>433</v>
      </c>
      <c r="D50" s="30">
        <v>7889094</v>
      </c>
      <c r="E50" s="30">
        <v>2018</v>
      </c>
    </row>
    <row r="51" spans="1:5" ht="14.4" x14ac:dyDescent="0.3">
      <c r="A51" s="28" t="s">
        <v>113</v>
      </c>
      <c r="B51" s="28" t="s">
        <v>113</v>
      </c>
      <c r="C51" s="29" t="s">
        <v>113</v>
      </c>
      <c r="D51" s="30">
        <v>11565204</v>
      </c>
      <c r="E51" s="30">
        <v>2018</v>
      </c>
    </row>
    <row r="52" spans="1:5" ht="14.4" x14ac:dyDescent="0.3">
      <c r="A52" s="28" t="s">
        <v>514</v>
      </c>
      <c r="B52" s="28" t="s">
        <v>514</v>
      </c>
      <c r="C52" s="29" t="s">
        <v>514</v>
      </c>
      <c r="D52" s="30">
        <v>42723139</v>
      </c>
      <c r="E52" s="30">
        <v>2018</v>
      </c>
    </row>
    <row r="53" spans="1:5" ht="14.4" x14ac:dyDescent="0.3">
      <c r="A53" s="28" t="s">
        <v>515</v>
      </c>
      <c r="B53" s="33" t="s">
        <v>297</v>
      </c>
      <c r="C53" s="32" t="s">
        <v>297</v>
      </c>
      <c r="D53" s="30">
        <v>56318348</v>
      </c>
      <c r="E53" s="30">
        <v>2018</v>
      </c>
    </row>
    <row r="54" spans="1:5" ht="14.4" x14ac:dyDescent="0.3">
      <c r="A54" s="28" t="s">
        <v>516</v>
      </c>
      <c r="B54" s="28" t="s">
        <v>516</v>
      </c>
      <c r="C54" s="29" t="s">
        <v>516</v>
      </c>
      <c r="D54" s="30">
        <v>17351822</v>
      </c>
      <c r="E54" s="30">
        <v>2018</v>
      </c>
    </row>
    <row r="55" spans="1:5" ht="14.4" x14ac:dyDescent="0.3">
      <c r="A55" s="28" t="s">
        <v>70</v>
      </c>
      <c r="B55" s="28" t="s">
        <v>70</v>
      </c>
      <c r="C55" s="29" t="s">
        <v>70</v>
      </c>
      <c r="D55" s="30">
        <v>14439018</v>
      </c>
      <c r="E55" s="30">
        <v>2018</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D10AC-4F67-4891-AB1E-517DF452D379}">
  <dimension ref="A1:I20"/>
  <sheetViews>
    <sheetView workbookViewId="0">
      <selection activeCell="F14" sqref="F14"/>
    </sheetView>
  </sheetViews>
  <sheetFormatPr defaultColWidth="8.88671875" defaultRowHeight="15.6" x14ac:dyDescent="0.3"/>
  <cols>
    <col min="1" max="1" width="17.21875" style="65" customWidth="1"/>
    <col min="2" max="2" width="19" style="65" customWidth="1"/>
    <col min="3" max="3" width="14.109375" style="65" customWidth="1"/>
    <col min="4" max="4" width="23.5546875" style="65" customWidth="1"/>
    <col min="5" max="5" width="13.109375" style="65" customWidth="1"/>
    <col min="6" max="6" width="11.109375" style="65" customWidth="1"/>
    <col min="7" max="7" width="12.44140625" style="65" customWidth="1"/>
    <col min="8" max="8" width="12.6640625" style="65" customWidth="1"/>
    <col min="9" max="9" width="13.6640625" style="65" customWidth="1"/>
    <col min="10" max="16384" width="8.88671875" style="65"/>
  </cols>
  <sheetData>
    <row r="1" spans="1:9" x14ac:dyDescent="0.3">
      <c r="A1" s="64" t="s">
        <v>523</v>
      </c>
      <c r="B1" s="64" t="s">
        <v>1750</v>
      </c>
      <c r="C1" s="64" t="s">
        <v>1751</v>
      </c>
      <c r="D1" s="64" t="s">
        <v>660</v>
      </c>
      <c r="E1" s="64" t="s">
        <v>1752</v>
      </c>
      <c r="F1" s="64" t="s">
        <v>1753</v>
      </c>
      <c r="G1" s="64" t="s">
        <v>1754</v>
      </c>
      <c r="H1" s="64" t="s">
        <v>475</v>
      </c>
      <c r="I1" s="64" t="s">
        <v>479</v>
      </c>
    </row>
    <row r="2" spans="1:9" x14ac:dyDescent="0.3">
      <c r="A2" s="66"/>
      <c r="B2" s="66"/>
      <c r="C2" s="66"/>
      <c r="D2" s="66"/>
      <c r="E2" s="66"/>
      <c r="F2" s="66"/>
      <c r="G2" s="66"/>
      <c r="H2" s="66"/>
      <c r="I2" s="66"/>
    </row>
    <row r="3" spans="1:9" x14ac:dyDescent="0.3">
      <c r="A3" s="66"/>
      <c r="B3" s="66"/>
      <c r="C3" s="66"/>
      <c r="D3" s="66"/>
      <c r="E3" s="66"/>
      <c r="F3" s="66"/>
      <c r="G3" s="66"/>
      <c r="H3" s="66"/>
      <c r="I3" s="66"/>
    </row>
    <row r="4" spans="1:9" x14ac:dyDescent="0.3">
      <c r="A4" s="66"/>
      <c r="B4" s="66"/>
      <c r="C4" s="66"/>
      <c r="D4" s="66"/>
      <c r="E4" s="66"/>
      <c r="F4" s="66"/>
      <c r="G4" s="66"/>
      <c r="H4" s="66"/>
      <c r="I4" s="66"/>
    </row>
    <row r="5" spans="1:9" x14ac:dyDescent="0.3">
      <c r="A5" s="66"/>
      <c r="B5" s="66"/>
      <c r="C5" s="66"/>
      <c r="D5" s="66"/>
      <c r="E5" s="66"/>
      <c r="F5" s="66"/>
      <c r="G5" s="66"/>
      <c r="H5" s="66"/>
      <c r="I5" s="66"/>
    </row>
    <row r="6" spans="1:9" x14ac:dyDescent="0.3">
      <c r="A6" s="66"/>
      <c r="B6" s="66"/>
      <c r="C6" s="66"/>
      <c r="D6" s="66"/>
      <c r="E6" s="66"/>
      <c r="F6" s="66"/>
      <c r="G6" s="66"/>
      <c r="H6" s="66"/>
      <c r="I6" s="66"/>
    </row>
    <row r="7" spans="1:9" x14ac:dyDescent="0.3">
      <c r="A7" s="66"/>
      <c r="B7" s="66"/>
      <c r="C7" s="66"/>
      <c r="D7" s="66"/>
      <c r="E7" s="66"/>
      <c r="F7" s="66"/>
      <c r="G7" s="66"/>
      <c r="H7" s="66"/>
      <c r="I7" s="66"/>
    </row>
    <row r="8" spans="1:9" x14ac:dyDescent="0.3">
      <c r="A8" s="66"/>
      <c r="B8" s="66"/>
      <c r="C8" s="66"/>
      <c r="D8" s="66"/>
      <c r="E8" s="66"/>
      <c r="F8" s="66"/>
      <c r="G8" s="66"/>
      <c r="H8" s="66"/>
      <c r="I8" s="66"/>
    </row>
    <row r="9" spans="1:9" x14ac:dyDescent="0.3">
      <c r="A9" s="66"/>
      <c r="B9" s="66"/>
      <c r="C9" s="66"/>
      <c r="D9" s="66"/>
      <c r="E9" s="66"/>
      <c r="F9" s="66"/>
      <c r="G9" s="66"/>
      <c r="H9" s="66"/>
      <c r="I9" s="66"/>
    </row>
    <row r="10" spans="1:9" x14ac:dyDescent="0.3">
      <c r="A10" s="66"/>
      <c r="B10" s="66"/>
      <c r="C10" s="66"/>
      <c r="D10" s="66"/>
      <c r="E10" s="66"/>
      <c r="F10" s="66"/>
      <c r="G10" s="66"/>
      <c r="H10" s="66"/>
      <c r="I10" s="66"/>
    </row>
    <row r="11" spans="1:9" x14ac:dyDescent="0.3">
      <c r="A11" s="66"/>
      <c r="B11" s="66"/>
      <c r="C11" s="66"/>
      <c r="D11" s="66"/>
      <c r="E11" s="66"/>
      <c r="F11" s="66"/>
      <c r="G11" s="66"/>
      <c r="H11" s="66"/>
      <c r="I11" s="66"/>
    </row>
    <row r="12" spans="1:9" x14ac:dyDescent="0.3">
      <c r="A12" s="66"/>
      <c r="B12" s="66"/>
      <c r="C12" s="66"/>
      <c r="D12" s="66"/>
      <c r="E12" s="66"/>
      <c r="F12" s="66"/>
      <c r="G12" s="66"/>
      <c r="H12" s="66"/>
      <c r="I12" s="66"/>
    </row>
    <row r="13" spans="1:9" x14ac:dyDescent="0.3">
      <c r="A13" s="66"/>
      <c r="B13" s="66"/>
      <c r="C13" s="66"/>
      <c r="D13" s="66"/>
      <c r="E13" s="66"/>
      <c r="F13" s="66"/>
      <c r="G13" s="66"/>
      <c r="H13" s="66"/>
      <c r="I13" s="66"/>
    </row>
    <row r="14" spans="1:9" x14ac:dyDescent="0.3">
      <c r="A14" s="66"/>
      <c r="B14" s="66"/>
      <c r="C14" s="66"/>
      <c r="D14" s="66"/>
      <c r="E14" s="66"/>
      <c r="F14" s="66"/>
      <c r="G14" s="66"/>
      <c r="H14" s="66"/>
      <c r="I14" s="66"/>
    </row>
    <row r="15" spans="1:9" x14ac:dyDescent="0.3">
      <c r="A15" s="66"/>
      <c r="B15" s="66"/>
      <c r="C15" s="66"/>
      <c r="D15" s="66"/>
      <c r="E15" s="66"/>
      <c r="F15" s="66"/>
      <c r="G15" s="66"/>
      <c r="H15" s="66"/>
      <c r="I15" s="66"/>
    </row>
    <row r="16" spans="1:9" x14ac:dyDescent="0.3">
      <c r="A16" s="66"/>
      <c r="B16" s="66"/>
      <c r="C16" s="66"/>
      <c r="D16" s="66"/>
      <c r="E16" s="66"/>
      <c r="F16" s="66"/>
      <c r="G16" s="66"/>
      <c r="H16" s="66"/>
      <c r="I16" s="66"/>
    </row>
    <row r="17" spans="1:9" x14ac:dyDescent="0.3">
      <c r="A17" s="66"/>
      <c r="B17" s="66"/>
      <c r="C17" s="66"/>
      <c r="D17" s="66"/>
      <c r="E17" s="66"/>
      <c r="F17" s="66"/>
      <c r="G17" s="66"/>
      <c r="H17" s="66"/>
      <c r="I17" s="66"/>
    </row>
    <row r="18" spans="1:9" x14ac:dyDescent="0.3">
      <c r="A18" s="66"/>
      <c r="B18" s="66"/>
      <c r="C18" s="66"/>
      <c r="D18" s="66"/>
      <c r="E18" s="66"/>
      <c r="F18" s="66"/>
      <c r="G18" s="66"/>
      <c r="H18" s="66"/>
      <c r="I18" s="66"/>
    </row>
    <row r="19" spans="1:9" x14ac:dyDescent="0.3">
      <c r="A19" s="66"/>
      <c r="B19" s="66"/>
      <c r="C19" s="66"/>
      <c r="D19" s="66"/>
      <c r="E19" s="66"/>
      <c r="F19" s="66"/>
      <c r="G19" s="66"/>
      <c r="H19" s="66"/>
      <c r="I19" s="66"/>
    </row>
    <row r="20" spans="1:9" x14ac:dyDescent="0.3">
      <c r="A20" s="66"/>
      <c r="B20" s="66"/>
      <c r="C20" s="66"/>
      <c r="D20" s="66"/>
      <c r="E20" s="66"/>
      <c r="F20" s="66"/>
      <c r="G20" s="66"/>
      <c r="H20" s="66"/>
      <c r="I20" s="6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B199E-01D4-4A26-99C9-C0833543C737}">
  <sheetPr>
    <outlinePr summaryBelow="0" summaryRight="0"/>
  </sheetPr>
  <dimension ref="A1:E109"/>
  <sheetViews>
    <sheetView topLeftCell="A7" workbookViewId="0">
      <selection activeCell="E27" sqref="E27"/>
    </sheetView>
  </sheetViews>
  <sheetFormatPr defaultColWidth="13.88671875" defaultRowHeight="15.75" customHeight="1" x14ac:dyDescent="0.25"/>
  <cols>
    <col min="1" max="1" width="30.6640625" style="36" customWidth="1"/>
    <col min="2" max="2" width="24.44140625" style="36" customWidth="1"/>
    <col min="3" max="3" width="18.21875" style="36" customWidth="1"/>
    <col min="4" max="4" width="20.88671875" style="36" customWidth="1"/>
    <col min="5" max="5" width="39.33203125" style="35" bestFit="1" customWidth="1"/>
    <col min="6" max="16384" width="13.88671875" style="36"/>
  </cols>
  <sheetData>
    <row r="1" spans="1:5" ht="15.75" customHeight="1" x14ac:dyDescent="0.25">
      <c r="A1" s="37" t="s">
        <v>8</v>
      </c>
      <c r="B1" s="37" t="s">
        <v>600</v>
      </c>
      <c r="C1" s="37" t="s">
        <v>479</v>
      </c>
      <c r="D1" s="37" t="s">
        <v>121</v>
      </c>
      <c r="E1" s="37" t="s">
        <v>601</v>
      </c>
    </row>
    <row r="2" spans="1:5" ht="15.75" customHeight="1" x14ac:dyDescent="0.25">
      <c r="A2" s="38" t="s">
        <v>480</v>
      </c>
      <c r="B2" s="38" t="s">
        <v>605</v>
      </c>
      <c r="C2" s="39">
        <v>2018</v>
      </c>
      <c r="D2" s="39">
        <v>42228429</v>
      </c>
      <c r="E2" s="40"/>
    </row>
    <row r="3" spans="1:5" ht="15.75" customHeight="1" x14ac:dyDescent="0.25">
      <c r="A3" s="38" t="s">
        <v>481</v>
      </c>
      <c r="B3" s="38" t="s">
        <v>606</v>
      </c>
      <c r="C3" s="39">
        <v>2018</v>
      </c>
      <c r="D3" s="39">
        <v>30809762</v>
      </c>
      <c r="E3" s="40"/>
    </row>
    <row r="4" spans="1:5" ht="15.75" customHeight="1" x14ac:dyDescent="0.25">
      <c r="A4" s="38" t="s">
        <v>482</v>
      </c>
      <c r="B4" s="38" t="s">
        <v>607</v>
      </c>
      <c r="C4" s="39">
        <v>2018</v>
      </c>
      <c r="D4" s="39">
        <v>11485048</v>
      </c>
      <c r="E4" s="40"/>
    </row>
    <row r="5" spans="1:5" ht="15.75" customHeight="1" x14ac:dyDescent="0.25">
      <c r="A5" s="38" t="s">
        <v>483</v>
      </c>
      <c r="B5" s="38" t="s">
        <v>608</v>
      </c>
      <c r="C5" s="39">
        <v>2018</v>
      </c>
      <c r="D5" s="39">
        <v>2254126</v>
      </c>
      <c r="E5" s="40"/>
    </row>
    <row r="6" spans="1:5" ht="15.75" customHeight="1" x14ac:dyDescent="0.25">
      <c r="A6" s="38" t="s">
        <v>484</v>
      </c>
      <c r="B6" s="38" t="s">
        <v>609</v>
      </c>
      <c r="C6" s="39">
        <v>2018</v>
      </c>
      <c r="D6" s="39">
        <v>19751535</v>
      </c>
      <c r="E6" s="40"/>
    </row>
    <row r="7" spans="1:5" ht="15.75" customHeight="1" x14ac:dyDescent="0.25">
      <c r="A7" s="38" t="s">
        <v>317</v>
      </c>
      <c r="B7" s="38" t="s">
        <v>610</v>
      </c>
      <c r="C7" s="39">
        <v>2018</v>
      </c>
      <c r="D7" s="39">
        <v>11175378</v>
      </c>
      <c r="E7" s="40"/>
    </row>
    <row r="8" spans="1:5" ht="15.75" customHeight="1" x14ac:dyDescent="0.25">
      <c r="A8" s="38" t="s">
        <v>99</v>
      </c>
      <c r="B8" s="38" t="s">
        <v>611</v>
      </c>
      <c r="C8" s="39">
        <v>2018</v>
      </c>
      <c r="D8" s="39">
        <v>543767</v>
      </c>
      <c r="E8" s="40"/>
    </row>
    <row r="9" spans="1:5" ht="15.75" customHeight="1" x14ac:dyDescent="0.25">
      <c r="A9" s="38" t="s">
        <v>208</v>
      </c>
      <c r="B9" s="38" t="s">
        <v>612</v>
      </c>
      <c r="C9" s="39">
        <v>2018</v>
      </c>
      <c r="D9" s="39">
        <v>25216237</v>
      </c>
      <c r="E9" s="40"/>
    </row>
    <row r="10" spans="1:5" ht="15.75" customHeight="1" x14ac:dyDescent="0.25">
      <c r="A10" s="38" t="s">
        <v>485</v>
      </c>
      <c r="B10" s="41" t="s">
        <v>613</v>
      </c>
      <c r="C10" s="39">
        <v>2018</v>
      </c>
      <c r="D10" s="39">
        <v>4666377</v>
      </c>
      <c r="E10" s="40"/>
    </row>
    <row r="11" spans="1:5" ht="15.75" customHeight="1" x14ac:dyDescent="0.25">
      <c r="A11" s="38" t="s">
        <v>486</v>
      </c>
      <c r="B11" s="38" t="s">
        <v>614</v>
      </c>
      <c r="C11" s="39">
        <v>2018</v>
      </c>
      <c r="D11" s="39">
        <v>15477751</v>
      </c>
      <c r="E11" s="40"/>
    </row>
    <row r="12" spans="1:5" ht="15.75" customHeight="1" x14ac:dyDescent="0.25">
      <c r="A12" s="38" t="s">
        <v>305</v>
      </c>
      <c r="B12" s="38" t="s">
        <v>615</v>
      </c>
      <c r="C12" s="39">
        <v>2018</v>
      </c>
      <c r="D12" s="39">
        <v>832322</v>
      </c>
      <c r="E12" s="40"/>
    </row>
    <row r="13" spans="1:5" ht="15.75" customHeight="1" x14ac:dyDescent="0.25">
      <c r="A13" s="38" t="s">
        <v>487</v>
      </c>
      <c r="B13" s="41" t="s">
        <v>616</v>
      </c>
      <c r="C13" s="39">
        <v>2018</v>
      </c>
      <c r="D13" s="39">
        <v>25069229</v>
      </c>
      <c r="E13" s="40"/>
    </row>
    <row r="14" spans="1:5" ht="15.75" customHeight="1" x14ac:dyDescent="0.25">
      <c r="A14" s="38" t="s">
        <v>490</v>
      </c>
      <c r="B14" s="42" t="s">
        <v>617</v>
      </c>
      <c r="C14" s="39">
        <v>2018</v>
      </c>
      <c r="D14" s="39">
        <v>84068091</v>
      </c>
      <c r="E14" s="40"/>
    </row>
    <row r="15" spans="1:5" ht="15.75" customHeight="1" x14ac:dyDescent="0.25">
      <c r="A15" s="38" t="s">
        <v>493</v>
      </c>
      <c r="B15" s="38" t="s">
        <v>618</v>
      </c>
      <c r="C15" s="39">
        <v>2018</v>
      </c>
      <c r="D15" s="39">
        <v>958920</v>
      </c>
      <c r="E15" s="40"/>
    </row>
    <row r="16" spans="1:5" ht="15.75" customHeight="1" x14ac:dyDescent="0.25">
      <c r="A16" s="38" t="s">
        <v>226</v>
      </c>
      <c r="B16" s="42" t="s">
        <v>619</v>
      </c>
      <c r="C16" s="39">
        <v>2018</v>
      </c>
      <c r="D16" s="39">
        <v>98423595</v>
      </c>
      <c r="E16" s="40"/>
    </row>
    <row r="17" spans="1:5" ht="15.75" customHeight="1" x14ac:dyDescent="0.25">
      <c r="A17" s="38" t="s">
        <v>495</v>
      </c>
      <c r="B17" s="38" t="s">
        <v>620</v>
      </c>
      <c r="C17" s="39">
        <v>2018</v>
      </c>
      <c r="D17" s="39">
        <v>1308974</v>
      </c>
      <c r="E17" s="40"/>
    </row>
    <row r="18" spans="1:5" ht="15.75" customHeight="1" x14ac:dyDescent="0.25">
      <c r="A18" s="38" t="s">
        <v>496</v>
      </c>
      <c r="B18" s="38" t="s">
        <v>621</v>
      </c>
      <c r="C18" s="43">
        <v>2011</v>
      </c>
      <c r="D18" s="39">
        <v>3213972</v>
      </c>
      <c r="E18" s="40"/>
    </row>
    <row r="19" spans="1:5" ht="15.75" customHeight="1" x14ac:dyDescent="0.25">
      <c r="A19" s="38" t="s">
        <v>419</v>
      </c>
      <c r="B19" s="38" t="s">
        <v>622</v>
      </c>
      <c r="C19" s="39">
        <v>2018</v>
      </c>
      <c r="D19" s="39">
        <v>1136191</v>
      </c>
      <c r="E19" s="40"/>
    </row>
    <row r="20" spans="1:5" ht="15.75" customHeight="1" x14ac:dyDescent="0.25">
      <c r="A20" s="38" t="s">
        <v>195</v>
      </c>
      <c r="B20" s="38" t="s">
        <v>623</v>
      </c>
      <c r="C20" s="39">
        <v>2018</v>
      </c>
      <c r="D20" s="39">
        <v>109224559</v>
      </c>
      <c r="E20" s="40"/>
    </row>
    <row r="21" spans="1:5" ht="15.75" customHeight="1" x14ac:dyDescent="0.25">
      <c r="A21" s="38" t="s">
        <v>172</v>
      </c>
      <c r="B21" s="38" t="s">
        <v>624</v>
      </c>
      <c r="C21" s="39">
        <v>2018</v>
      </c>
      <c r="D21" s="39">
        <v>2119275</v>
      </c>
      <c r="E21" s="40"/>
    </row>
    <row r="22" spans="1:5" ht="15.75" customHeight="1" x14ac:dyDescent="0.25">
      <c r="A22" s="38" t="s">
        <v>497</v>
      </c>
      <c r="B22" s="38" t="s">
        <v>625</v>
      </c>
      <c r="C22" s="39">
        <v>2018</v>
      </c>
      <c r="D22" s="39">
        <v>29767108</v>
      </c>
      <c r="E22" s="40"/>
    </row>
    <row r="23" spans="1:5" ht="15.75" customHeight="1" x14ac:dyDescent="0.25">
      <c r="A23" s="38" t="s">
        <v>498</v>
      </c>
      <c r="B23" s="38" t="s">
        <v>626</v>
      </c>
      <c r="C23" s="39">
        <v>2018</v>
      </c>
      <c r="D23" s="39">
        <v>12414318</v>
      </c>
      <c r="E23" s="40"/>
    </row>
    <row r="24" spans="1:5" ht="15.75" customHeight="1" x14ac:dyDescent="0.25">
      <c r="A24" s="38" t="s">
        <v>371</v>
      </c>
      <c r="B24" s="38" t="s">
        <v>627</v>
      </c>
      <c r="C24" s="39">
        <v>2018</v>
      </c>
      <c r="D24" s="39">
        <v>1874309</v>
      </c>
      <c r="E24" s="40"/>
    </row>
    <row r="25" spans="1:5" ht="15.75" customHeight="1" x14ac:dyDescent="0.25">
      <c r="A25" s="38" t="s">
        <v>145</v>
      </c>
      <c r="B25" s="38" t="s">
        <v>628</v>
      </c>
      <c r="C25" s="39">
        <v>2018</v>
      </c>
      <c r="D25" s="39">
        <v>51393010</v>
      </c>
      <c r="E25" s="40"/>
    </row>
    <row r="26" spans="1:5" ht="15.75" customHeight="1" x14ac:dyDescent="0.25">
      <c r="A26" s="38" t="s">
        <v>396</v>
      </c>
      <c r="B26" s="38" t="s">
        <v>629</v>
      </c>
      <c r="C26" s="39">
        <v>2018</v>
      </c>
      <c r="D26" s="39">
        <v>2108132</v>
      </c>
      <c r="E26" s="40"/>
    </row>
    <row r="27" spans="1:5" ht="15.75" customHeight="1" x14ac:dyDescent="0.25">
      <c r="A27" s="38" t="s">
        <v>377</v>
      </c>
      <c r="B27" s="38" t="s">
        <v>630</v>
      </c>
      <c r="C27" s="39">
        <v>2018</v>
      </c>
      <c r="D27" s="39">
        <v>4818977</v>
      </c>
      <c r="E27" s="40"/>
    </row>
    <row r="28" spans="1:5" ht="15.75" customHeight="1" x14ac:dyDescent="0.25">
      <c r="A28" s="38" t="s">
        <v>499</v>
      </c>
      <c r="B28" s="38" t="s">
        <v>631</v>
      </c>
      <c r="C28" s="39">
        <v>2018</v>
      </c>
      <c r="D28" s="39">
        <v>6678567</v>
      </c>
      <c r="E28" s="40"/>
    </row>
    <row r="29" spans="1:5" ht="15.75" customHeight="1" x14ac:dyDescent="0.25">
      <c r="A29" s="38" t="s">
        <v>500</v>
      </c>
      <c r="B29" s="38" t="s">
        <v>632</v>
      </c>
      <c r="C29" s="39">
        <v>2018</v>
      </c>
      <c r="D29" s="39">
        <v>26262368</v>
      </c>
      <c r="E29" s="40"/>
    </row>
    <row r="30" spans="1:5" ht="15.75" customHeight="1" x14ac:dyDescent="0.25">
      <c r="A30" s="38" t="s">
        <v>501</v>
      </c>
      <c r="B30" s="38" t="s">
        <v>633</v>
      </c>
      <c r="C30" s="39">
        <v>2018</v>
      </c>
      <c r="D30" s="39">
        <v>18143315</v>
      </c>
      <c r="E30" s="40"/>
    </row>
    <row r="31" spans="1:5" ht="15.75" customHeight="1" x14ac:dyDescent="0.25">
      <c r="A31" s="38" t="s">
        <v>502</v>
      </c>
      <c r="B31" s="38" t="s">
        <v>634</v>
      </c>
      <c r="C31" s="39">
        <v>2018</v>
      </c>
      <c r="D31" s="39">
        <v>19077690</v>
      </c>
      <c r="E31" s="40"/>
    </row>
    <row r="32" spans="1:5" ht="15.75" customHeight="1" x14ac:dyDescent="0.25">
      <c r="A32" s="38" t="s">
        <v>273</v>
      </c>
      <c r="B32" s="38" t="s">
        <v>635</v>
      </c>
      <c r="C32" s="39">
        <v>2018</v>
      </c>
      <c r="D32" s="39">
        <v>4403319</v>
      </c>
      <c r="E32" s="40"/>
    </row>
    <row r="33" spans="1:5" ht="15.75" customHeight="1" x14ac:dyDescent="0.25">
      <c r="A33" s="38" t="s">
        <v>124</v>
      </c>
      <c r="B33" s="38" t="s">
        <v>636</v>
      </c>
      <c r="C33" s="39">
        <v>2018</v>
      </c>
      <c r="D33" s="39">
        <v>1265303</v>
      </c>
      <c r="E33" s="40"/>
    </row>
    <row r="34" spans="1:5" ht="15.75" customHeight="1" x14ac:dyDescent="0.25">
      <c r="A34" s="38" t="s">
        <v>151</v>
      </c>
      <c r="B34" s="38" t="s">
        <v>637</v>
      </c>
      <c r="C34" s="39">
        <v>2018</v>
      </c>
      <c r="D34" s="39">
        <v>36029138</v>
      </c>
      <c r="E34" s="40"/>
    </row>
    <row r="35" spans="1:5" ht="15" x14ac:dyDescent="0.25">
      <c r="A35" s="38" t="s">
        <v>445</v>
      </c>
      <c r="B35" s="38" t="s">
        <v>638</v>
      </c>
      <c r="C35" s="39">
        <v>2018</v>
      </c>
      <c r="D35" s="39">
        <v>29495962</v>
      </c>
      <c r="E35" s="40"/>
    </row>
    <row r="36" spans="1:5" ht="15" x14ac:dyDescent="0.25">
      <c r="A36" s="38" t="s">
        <v>353</v>
      </c>
      <c r="B36" s="38" t="s">
        <v>639</v>
      </c>
      <c r="C36" s="39">
        <v>2018</v>
      </c>
      <c r="D36" s="39">
        <v>2448255</v>
      </c>
      <c r="E36" s="40"/>
    </row>
    <row r="37" spans="1:5" ht="15" x14ac:dyDescent="0.25">
      <c r="A37" s="38" t="s">
        <v>282</v>
      </c>
      <c r="B37" s="38" t="s">
        <v>640</v>
      </c>
      <c r="C37" s="39">
        <v>2018</v>
      </c>
      <c r="D37" s="39">
        <v>22442948</v>
      </c>
      <c r="E37" s="40"/>
    </row>
    <row r="38" spans="1:5" ht="15" x14ac:dyDescent="0.25">
      <c r="A38" s="38" t="s">
        <v>184</v>
      </c>
      <c r="B38" s="38" t="s">
        <v>641</v>
      </c>
      <c r="C38" s="39">
        <v>2018</v>
      </c>
      <c r="D38" s="39">
        <v>195874740</v>
      </c>
      <c r="E38" s="40"/>
    </row>
    <row r="39" spans="1:5" ht="15" x14ac:dyDescent="0.25">
      <c r="A39" s="38" t="s">
        <v>503</v>
      </c>
      <c r="B39" s="42" t="s">
        <v>642</v>
      </c>
      <c r="C39" s="39">
        <v>2018</v>
      </c>
      <c r="D39" s="39">
        <v>5244363</v>
      </c>
      <c r="E39" s="40"/>
    </row>
    <row r="40" spans="1:5" ht="15" x14ac:dyDescent="0.25">
      <c r="A40" s="38" t="s">
        <v>254</v>
      </c>
      <c r="B40" s="38" t="s">
        <v>643</v>
      </c>
      <c r="C40" s="39">
        <v>2018</v>
      </c>
      <c r="D40" s="39">
        <v>12301939</v>
      </c>
      <c r="E40" s="40"/>
    </row>
    <row r="41" spans="1:5" ht="15" x14ac:dyDescent="0.25">
      <c r="A41" s="38" t="s">
        <v>506</v>
      </c>
      <c r="B41" s="42" t="s">
        <v>644</v>
      </c>
      <c r="C41" s="39">
        <v>2018</v>
      </c>
      <c r="D41" s="39">
        <v>211028</v>
      </c>
      <c r="E41" s="40"/>
    </row>
    <row r="42" spans="1:5" ht="15" x14ac:dyDescent="0.25">
      <c r="A42" s="38" t="s">
        <v>155</v>
      </c>
      <c r="B42" s="38" t="s">
        <v>645</v>
      </c>
      <c r="C42" s="39">
        <v>2018</v>
      </c>
      <c r="D42" s="39">
        <v>15854360</v>
      </c>
      <c r="E42" s="40"/>
    </row>
    <row r="43" spans="1:5" ht="15" x14ac:dyDescent="0.25">
      <c r="A43" s="38" t="s">
        <v>163</v>
      </c>
      <c r="B43" s="38" t="s">
        <v>646</v>
      </c>
      <c r="C43" s="39">
        <v>2018</v>
      </c>
      <c r="D43" s="39">
        <v>96762</v>
      </c>
      <c r="E43" s="40"/>
    </row>
    <row r="44" spans="1:5" ht="15" x14ac:dyDescent="0.25">
      <c r="A44" s="38" t="s">
        <v>508</v>
      </c>
      <c r="B44" s="38" t="s">
        <v>647</v>
      </c>
      <c r="C44" s="39">
        <v>2018</v>
      </c>
      <c r="D44" s="39">
        <v>7650154</v>
      </c>
      <c r="E44" s="40"/>
    </row>
    <row r="45" spans="1:5" ht="15" x14ac:dyDescent="0.25">
      <c r="A45" s="38" t="s">
        <v>509</v>
      </c>
      <c r="B45" s="38" t="s">
        <v>648</v>
      </c>
      <c r="C45" s="39">
        <v>2018</v>
      </c>
      <c r="D45" s="39">
        <v>15008154</v>
      </c>
      <c r="E45" s="40"/>
    </row>
    <row r="46" spans="1:5" ht="15" x14ac:dyDescent="0.25">
      <c r="A46" s="38" t="s">
        <v>510</v>
      </c>
      <c r="B46" s="38" t="s">
        <v>649</v>
      </c>
      <c r="C46" s="39">
        <v>2018</v>
      </c>
      <c r="D46" s="39">
        <v>57779622</v>
      </c>
      <c r="E46" s="40"/>
    </row>
    <row r="47" spans="1:5" ht="15" x14ac:dyDescent="0.25">
      <c r="A47" s="38" t="s">
        <v>179</v>
      </c>
      <c r="B47" s="38" t="s">
        <v>650</v>
      </c>
      <c r="C47" s="39">
        <v>2018</v>
      </c>
      <c r="D47" s="39">
        <v>10975920</v>
      </c>
      <c r="E47" s="40"/>
    </row>
    <row r="48" spans="1:5" ht="15" x14ac:dyDescent="0.25">
      <c r="A48" s="38" t="s">
        <v>314</v>
      </c>
      <c r="B48" s="38" t="s">
        <v>651</v>
      </c>
      <c r="C48" s="39">
        <v>2018</v>
      </c>
      <c r="D48" s="39">
        <v>41801533</v>
      </c>
      <c r="E48" s="40"/>
    </row>
    <row r="49" spans="1:5" ht="15" x14ac:dyDescent="0.25">
      <c r="A49" s="38" t="s">
        <v>511</v>
      </c>
      <c r="B49" s="41" t="s">
        <v>652</v>
      </c>
      <c r="C49" s="39">
        <v>2018</v>
      </c>
      <c r="D49" s="39">
        <v>2280102</v>
      </c>
      <c r="E49" s="40"/>
    </row>
    <row r="50" spans="1:5" ht="15" x14ac:dyDescent="0.25">
      <c r="A50" s="38" t="s">
        <v>433</v>
      </c>
      <c r="B50" s="38" t="s">
        <v>653</v>
      </c>
      <c r="C50" s="39">
        <v>2018</v>
      </c>
      <c r="D50" s="39">
        <v>7889094</v>
      </c>
      <c r="E50" s="40"/>
    </row>
    <row r="51" spans="1:5" ht="15" x14ac:dyDescent="0.25">
      <c r="A51" s="38" t="s">
        <v>113</v>
      </c>
      <c r="B51" s="38" t="s">
        <v>654</v>
      </c>
      <c r="C51" s="39">
        <v>2018</v>
      </c>
      <c r="D51" s="39">
        <v>11565204</v>
      </c>
      <c r="E51" s="40"/>
    </row>
    <row r="52" spans="1:5" ht="15" x14ac:dyDescent="0.25">
      <c r="A52" s="38" t="s">
        <v>514</v>
      </c>
      <c r="B52" s="38" t="s">
        <v>655</v>
      </c>
      <c r="C52" s="39">
        <v>2018</v>
      </c>
      <c r="D52" s="39">
        <v>42723139</v>
      </c>
      <c r="E52" s="40"/>
    </row>
    <row r="53" spans="1:5" ht="15" x14ac:dyDescent="0.25">
      <c r="A53" s="38" t="s">
        <v>515</v>
      </c>
      <c r="B53" s="42" t="s">
        <v>656</v>
      </c>
      <c r="C53" s="39">
        <v>2018</v>
      </c>
      <c r="D53" s="39">
        <v>56318348</v>
      </c>
      <c r="E53" s="40"/>
    </row>
    <row r="54" spans="1:5" ht="15" x14ac:dyDescent="0.25">
      <c r="A54" s="38" t="s">
        <v>516</v>
      </c>
      <c r="B54" s="38" t="s">
        <v>657</v>
      </c>
      <c r="C54" s="39">
        <v>2018</v>
      </c>
      <c r="D54" s="39">
        <v>17351822</v>
      </c>
      <c r="E54" s="40"/>
    </row>
    <row r="55" spans="1:5" ht="15" x14ac:dyDescent="0.25">
      <c r="A55" s="38" t="s">
        <v>70</v>
      </c>
      <c r="B55" s="38" t="s">
        <v>658</v>
      </c>
      <c r="C55" s="39">
        <v>2018</v>
      </c>
      <c r="D55" s="39">
        <v>14439018</v>
      </c>
      <c r="E55" s="40"/>
    </row>
    <row r="56" spans="1:5" ht="15.75" customHeight="1" x14ac:dyDescent="0.25">
      <c r="A56" s="38" t="s">
        <v>480</v>
      </c>
      <c r="B56" s="38" t="s">
        <v>605</v>
      </c>
      <c r="C56" s="39">
        <v>2019</v>
      </c>
      <c r="D56" s="39"/>
      <c r="E56" s="40">
        <v>11.7</v>
      </c>
    </row>
    <row r="57" spans="1:5" ht="15.75" customHeight="1" x14ac:dyDescent="0.25">
      <c r="A57" s="38" t="s">
        <v>481</v>
      </c>
      <c r="B57" s="38" t="s">
        <v>606</v>
      </c>
      <c r="C57" s="39">
        <v>2019</v>
      </c>
      <c r="D57" s="39"/>
      <c r="E57" s="40">
        <v>37.6</v>
      </c>
    </row>
    <row r="58" spans="1:5" ht="15.75" customHeight="1" x14ac:dyDescent="0.25">
      <c r="A58" s="38" t="s">
        <v>482</v>
      </c>
      <c r="B58" s="38" t="s">
        <v>607</v>
      </c>
      <c r="C58" s="39">
        <v>2019</v>
      </c>
      <c r="D58" s="39"/>
      <c r="E58" s="40">
        <v>32.200000000000003</v>
      </c>
    </row>
    <row r="59" spans="1:5" ht="15.75" customHeight="1" x14ac:dyDescent="0.25">
      <c r="A59" s="38" t="s">
        <v>483</v>
      </c>
      <c r="B59" s="38" t="s">
        <v>608</v>
      </c>
      <c r="C59" s="39">
        <v>2019</v>
      </c>
      <c r="D59" s="39"/>
      <c r="E59" s="40">
        <v>31.4</v>
      </c>
    </row>
    <row r="60" spans="1:5" ht="15.75" customHeight="1" x14ac:dyDescent="0.25">
      <c r="A60" s="38" t="s">
        <v>484</v>
      </c>
      <c r="B60" s="38" t="s">
        <v>609</v>
      </c>
      <c r="C60" s="39">
        <v>2019</v>
      </c>
      <c r="D60" s="39"/>
      <c r="E60" s="40">
        <v>21.1</v>
      </c>
    </row>
    <row r="61" spans="1:5" ht="15.75" customHeight="1" x14ac:dyDescent="0.25">
      <c r="A61" s="38" t="s">
        <v>317</v>
      </c>
      <c r="B61" s="38" t="s">
        <v>610</v>
      </c>
      <c r="C61" s="39">
        <v>2019</v>
      </c>
      <c r="D61" s="39"/>
      <c r="E61" s="40">
        <v>55.9</v>
      </c>
    </row>
    <row r="62" spans="1:5" ht="15.75" customHeight="1" x14ac:dyDescent="0.25">
      <c r="A62" s="38" t="s">
        <v>99</v>
      </c>
      <c r="B62" s="38" t="s">
        <v>611</v>
      </c>
      <c r="C62" s="39">
        <v>2019</v>
      </c>
      <c r="D62" s="39"/>
      <c r="E62" s="40">
        <v>21.4</v>
      </c>
    </row>
    <row r="63" spans="1:5" ht="15.75" customHeight="1" x14ac:dyDescent="0.25">
      <c r="A63" s="38" t="s">
        <v>208</v>
      </c>
      <c r="B63" s="38" t="s">
        <v>612</v>
      </c>
      <c r="C63" s="39">
        <v>2019</v>
      </c>
      <c r="D63" s="39"/>
      <c r="E63" s="40">
        <v>31.7</v>
      </c>
    </row>
    <row r="64" spans="1:5" ht="15.75" customHeight="1" x14ac:dyDescent="0.25">
      <c r="A64" s="38" t="s">
        <v>485</v>
      </c>
      <c r="B64" s="41" t="s">
        <v>613</v>
      </c>
      <c r="C64" s="39">
        <v>2019</v>
      </c>
      <c r="D64" s="39"/>
      <c r="E64" s="40">
        <v>21.4</v>
      </c>
    </row>
    <row r="65" spans="1:5" ht="15.75" customHeight="1" x14ac:dyDescent="0.25">
      <c r="A65" s="38" t="s">
        <v>486</v>
      </c>
      <c r="B65" s="38" t="s">
        <v>614</v>
      </c>
      <c r="C65" s="39">
        <v>2019</v>
      </c>
      <c r="D65" s="39"/>
      <c r="E65" s="40">
        <v>39.799999999999997</v>
      </c>
    </row>
    <row r="66" spans="1:5" ht="15.75" customHeight="1" x14ac:dyDescent="0.25">
      <c r="A66" s="38" t="s">
        <v>305</v>
      </c>
      <c r="B66" s="38" t="s">
        <v>615</v>
      </c>
      <c r="C66" s="39">
        <v>2019</v>
      </c>
      <c r="D66" s="39"/>
      <c r="E66" s="40">
        <v>31.1</v>
      </c>
    </row>
    <row r="67" spans="1:5" ht="15.75" customHeight="1" x14ac:dyDescent="0.25">
      <c r="A67" s="38" t="s">
        <v>487</v>
      </c>
      <c r="B67" s="41" t="s">
        <v>616</v>
      </c>
      <c r="C67" s="39">
        <v>2019</v>
      </c>
      <c r="D67" s="39"/>
      <c r="E67" s="40">
        <v>21.6</v>
      </c>
    </row>
    <row r="68" spans="1:5" ht="15.75" customHeight="1" x14ac:dyDescent="0.25">
      <c r="A68" s="38" t="s">
        <v>490</v>
      </c>
      <c r="B68" s="42" t="s">
        <v>617</v>
      </c>
      <c r="C68" s="39">
        <v>2019</v>
      </c>
      <c r="D68" s="39"/>
      <c r="E68" s="40">
        <v>42.7</v>
      </c>
    </row>
    <row r="69" spans="1:5" ht="15.75" customHeight="1" x14ac:dyDescent="0.25">
      <c r="A69" s="38" t="s">
        <v>493</v>
      </c>
      <c r="B69" s="38" t="s">
        <v>618</v>
      </c>
      <c r="C69" s="39">
        <v>2019</v>
      </c>
      <c r="D69" s="39"/>
      <c r="E69" s="40">
        <v>33.5</v>
      </c>
    </row>
    <row r="70" spans="1:5" ht="15.75" customHeight="1" x14ac:dyDescent="0.25">
      <c r="A70" s="38" t="s">
        <v>226</v>
      </c>
      <c r="B70" s="42" t="s">
        <v>619</v>
      </c>
      <c r="C70" s="39">
        <v>2019</v>
      </c>
      <c r="D70" s="39"/>
      <c r="E70" s="40">
        <v>22.3</v>
      </c>
    </row>
    <row r="71" spans="1:5" ht="15.75" customHeight="1" x14ac:dyDescent="0.25">
      <c r="A71" s="38" t="s">
        <v>495</v>
      </c>
      <c r="B71" s="38" t="s">
        <v>620</v>
      </c>
      <c r="C71" s="39">
        <v>2019</v>
      </c>
      <c r="D71" s="39"/>
      <c r="E71" s="40">
        <v>26.2</v>
      </c>
    </row>
    <row r="72" spans="1:5" ht="15.75" customHeight="1" x14ac:dyDescent="0.25">
      <c r="A72" s="38" t="s">
        <v>496</v>
      </c>
      <c r="B72" s="38" t="s">
        <v>621</v>
      </c>
      <c r="C72" s="39">
        <v>2019</v>
      </c>
      <c r="D72" s="39"/>
      <c r="E72" s="40">
        <v>52</v>
      </c>
    </row>
    <row r="73" spans="1:5" ht="15.75" customHeight="1" x14ac:dyDescent="0.25">
      <c r="A73" s="38" t="s">
        <v>419</v>
      </c>
      <c r="B73" s="38" t="s">
        <v>622</v>
      </c>
      <c r="C73" s="39">
        <v>2019</v>
      </c>
      <c r="D73" s="39"/>
      <c r="E73" s="40">
        <v>25.5</v>
      </c>
    </row>
    <row r="74" spans="1:5" ht="15.75" customHeight="1" x14ac:dyDescent="0.25">
      <c r="A74" s="38" t="s">
        <v>195</v>
      </c>
      <c r="B74" s="38" t="s">
        <v>623</v>
      </c>
      <c r="C74" s="39">
        <v>2019</v>
      </c>
      <c r="D74" s="39"/>
      <c r="E74" s="40">
        <v>38.4</v>
      </c>
    </row>
    <row r="75" spans="1:5" ht="15.75" customHeight="1" x14ac:dyDescent="0.25">
      <c r="A75" s="38" t="s">
        <v>172</v>
      </c>
      <c r="B75" s="38" t="s">
        <v>624</v>
      </c>
      <c r="C75" s="39">
        <v>2019</v>
      </c>
      <c r="D75" s="39"/>
      <c r="E75" s="40">
        <v>17</v>
      </c>
    </row>
    <row r="76" spans="1:5" ht="15.75" customHeight="1" x14ac:dyDescent="0.25">
      <c r="A76" s="38" t="s">
        <v>497</v>
      </c>
      <c r="B76" s="38" t="s">
        <v>625</v>
      </c>
      <c r="C76" s="39">
        <v>2019</v>
      </c>
      <c r="D76" s="39"/>
      <c r="E76" s="40">
        <v>18.8</v>
      </c>
    </row>
    <row r="77" spans="1:5" ht="15.75" customHeight="1" x14ac:dyDescent="0.25">
      <c r="A77" s="38" t="s">
        <v>498</v>
      </c>
      <c r="B77" s="38" t="s">
        <v>626</v>
      </c>
      <c r="C77" s="39">
        <v>2019</v>
      </c>
      <c r="D77" s="39"/>
      <c r="E77" s="40">
        <v>32.4</v>
      </c>
    </row>
    <row r="78" spans="1:5" ht="15.75" customHeight="1" x14ac:dyDescent="0.25">
      <c r="A78" s="38" t="s">
        <v>371</v>
      </c>
      <c r="B78" s="38" t="s">
        <v>627</v>
      </c>
      <c r="C78" s="39">
        <v>2019</v>
      </c>
      <c r="D78" s="39"/>
      <c r="E78" s="40">
        <v>27.6</v>
      </c>
    </row>
    <row r="79" spans="1:5" ht="15.75" customHeight="1" x14ac:dyDescent="0.25">
      <c r="A79" s="38" t="s">
        <v>145</v>
      </c>
      <c r="B79" s="38" t="s">
        <v>628</v>
      </c>
      <c r="C79" s="39">
        <v>2019</v>
      </c>
      <c r="D79" s="39"/>
      <c r="E79" s="40">
        <v>26.2</v>
      </c>
    </row>
    <row r="80" spans="1:5" ht="15.75" customHeight="1" x14ac:dyDescent="0.25">
      <c r="A80" s="38" t="s">
        <v>396</v>
      </c>
      <c r="B80" s="38" t="s">
        <v>629</v>
      </c>
      <c r="C80" s="39">
        <v>2019</v>
      </c>
      <c r="D80" s="39"/>
      <c r="E80" s="40">
        <v>33.4</v>
      </c>
    </row>
    <row r="81" spans="1:5" ht="15.75" customHeight="1" x14ac:dyDescent="0.25">
      <c r="A81" s="38" t="s">
        <v>377</v>
      </c>
      <c r="B81" s="38" t="s">
        <v>630</v>
      </c>
      <c r="C81" s="39">
        <v>2019</v>
      </c>
      <c r="D81" s="39"/>
      <c r="E81" s="40">
        <v>32.1</v>
      </c>
    </row>
    <row r="82" spans="1:5" ht="15.75" customHeight="1" x14ac:dyDescent="0.25">
      <c r="A82" s="38" t="s">
        <v>499</v>
      </c>
      <c r="B82" s="38" t="s">
        <v>631</v>
      </c>
      <c r="C82" s="39">
        <v>2019</v>
      </c>
      <c r="D82" s="39"/>
      <c r="E82" s="40">
        <v>21</v>
      </c>
    </row>
    <row r="83" spans="1:5" ht="15.75" customHeight="1" x14ac:dyDescent="0.25">
      <c r="A83" s="38" t="s">
        <v>500</v>
      </c>
      <c r="B83" s="38" t="s">
        <v>632</v>
      </c>
      <c r="C83" s="39">
        <v>2019</v>
      </c>
      <c r="D83" s="39"/>
      <c r="E83" s="40">
        <v>48.9</v>
      </c>
    </row>
    <row r="84" spans="1:5" ht="15.75" customHeight="1" x14ac:dyDescent="0.25">
      <c r="A84" s="38" t="s">
        <v>501</v>
      </c>
      <c r="B84" s="38" t="s">
        <v>633</v>
      </c>
      <c r="C84" s="39">
        <v>2019</v>
      </c>
      <c r="D84" s="39"/>
      <c r="E84" s="40">
        <v>37.4</v>
      </c>
    </row>
    <row r="85" spans="1:5" ht="15.75" customHeight="1" x14ac:dyDescent="0.25">
      <c r="A85" s="38" t="s">
        <v>502</v>
      </c>
      <c r="B85" s="38" t="s">
        <v>634</v>
      </c>
      <c r="C85" s="39">
        <v>2019</v>
      </c>
      <c r="D85" s="39"/>
      <c r="E85" s="40">
        <v>30.4</v>
      </c>
    </row>
    <row r="86" spans="1:5" ht="15.75" customHeight="1" x14ac:dyDescent="0.25">
      <c r="A86" s="38" t="s">
        <v>273</v>
      </c>
      <c r="B86" s="38" t="s">
        <v>635</v>
      </c>
      <c r="C86" s="39">
        <v>2019</v>
      </c>
      <c r="D86" s="39"/>
      <c r="E86" s="40">
        <v>27.9</v>
      </c>
    </row>
    <row r="87" spans="1:5" ht="15.75" customHeight="1" x14ac:dyDescent="0.25">
      <c r="A87" s="38" t="s">
        <v>124</v>
      </c>
      <c r="B87" s="38" t="s">
        <v>636</v>
      </c>
      <c r="C87" s="39">
        <v>2019</v>
      </c>
      <c r="D87" s="39"/>
      <c r="E87" s="40">
        <v>13.6</v>
      </c>
    </row>
    <row r="88" spans="1:5" ht="15.75" customHeight="1" x14ac:dyDescent="0.25">
      <c r="A88" s="38" t="s">
        <v>151</v>
      </c>
      <c r="B88" s="38" t="s">
        <v>637</v>
      </c>
      <c r="C88" s="39">
        <v>2019</v>
      </c>
      <c r="D88" s="39"/>
      <c r="E88" s="40">
        <v>14.9</v>
      </c>
    </row>
    <row r="89" spans="1:5" ht="15.75" customHeight="1" x14ac:dyDescent="0.25">
      <c r="A89" s="38" t="s">
        <v>445</v>
      </c>
      <c r="B89" s="38" t="s">
        <v>638</v>
      </c>
      <c r="C89" s="39">
        <v>2019</v>
      </c>
      <c r="D89" s="39"/>
      <c r="E89" s="40">
        <v>42.9</v>
      </c>
    </row>
    <row r="90" spans="1:5" ht="15.75" customHeight="1" x14ac:dyDescent="0.25">
      <c r="A90" s="38" t="s">
        <v>353</v>
      </c>
      <c r="B90" s="38" t="s">
        <v>639</v>
      </c>
      <c r="C90" s="39">
        <v>2019</v>
      </c>
      <c r="D90" s="39"/>
      <c r="E90" s="40">
        <v>22.7</v>
      </c>
    </row>
    <row r="91" spans="1:5" ht="15.75" customHeight="1" x14ac:dyDescent="0.25">
      <c r="A91" s="38" t="s">
        <v>282</v>
      </c>
      <c r="B91" s="38" t="s">
        <v>640</v>
      </c>
      <c r="C91" s="39">
        <v>2019</v>
      </c>
      <c r="D91" s="39"/>
      <c r="E91" s="40">
        <v>40.6</v>
      </c>
    </row>
    <row r="92" spans="1:5" ht="15.75" customHeight="1" x14ac:dyDescent="0.25">
      <c r="A92" s="38" t="s">
        <v>184</v>
      </c>
      <c r="B92" s="38" t="s">
        <v>641</v>
      </c>
      <c r="C92" s="39">
        <v>2019</v>
      </c>
      <c r="D92" s="39"/>
      <c r="E92" s="40">
        <v>43.6</v>
      </c>
    </row>
    <row r="93" spans="1:5" ht="15.75" customHeight="1" x14ac:dyDescent="0.25">
      <c r="A93" s="38" t="s">
        <v>503</v>
      </c>
      <c r="B93" s="42" t="s">
        <v>642</v>
      </c>
      <c r="C93" s="39">
        <v>2019</v>
      </c>
      <c r="D93" s="39"/>
      <c r="E93" s="40">
        <v>21.2</v>
      </c>
    </row>
    <row r="94" spans="1:5" ht="15.75" customHeight="1" x14ac:dyDescent="0.25">
      <c r="A94" s="38" t="s">
        <v>254</v>
      </c>
      <c r="B94" s="38" t="s">
        <v>643</v>
      </c>
      <c r="C94" s="39">
        <v>2019</v>
      </c>
      <c r="D94" s="39"/>
      <c r="E94" s="40">
        <v>36.9</v>
      </c>
    </row>
    <row r="95" spans="1:5" ht="15.75" customHeight="1" x14ac:dyDescent="0.25">
      <c r="A95" s="38" t="s">
        <v>506</v>
      </c>
      <c r="B95" s="42" t="s">
        <v>644</v>
      </c>
      <c r="C95" s="39">
        <v>2019</v>
      </c>
      <c r="D95" s="39"/>
      <c r="E95" s="40">
        <v>17.2</v>
      </c>
    </row>
    <row r="96" spans="1:5" ht="15.75" customHeight="1" x14ac:dyDescent="0.25">
      <c r="A96" s="38" t="s">
        <v>155</v>
      </c>
      <c r="B96" s="38" t="s">
        <v>645</v>
      </c>
      <c r="C96" s="39">
        <v>2019</v>
      </c>
      <c r="D96" s="39"/>
      <c r="E96" s="40">
        <v>16.5</v>
      </c>
    </row>
    <row r="97" spans="1:5" ht="15.75" customHeight="1" x14ac:dyDescent="0.25">
      <c r="A97" s="38" t="s">
        <v>163</v>
      </c>
      <c r="B97" s="38" t="s">
        <v>646</v>
      </c>
      <c r="C97" s="39">
        <v>2019</v>
      </c>
      <c r="D97" s="39"/>
      <c r="E97" s="40">
        <v>7.9</v>
      </c>
    </row>
    <row r="98" spans="1:5" ht="15.75" customHeight="1" x14ac:dyDescent="0.25">
      <c r="A98" s="38" t="s">
        <v>508</v>
      </c>
      <c r="B98" s="38" t="s">
        <v>647</v>
      </c>
      <c r="C98" s="39">
        <v>2019</v>
      </c>
      <c r="D98" s="39"/>
      <c r="E98" s="40">
        <v>37.799999999999997</v>
      </c>
    </row>
    <row r="99" spans="1:5" ht="15.75" customHeight="1" x14ac:dyDescent="0.25">
      <c r="A99" s="38" t="s">
        <v>509</v>
      </c>
      <c r="B99" s="38" t="s">
        <v>648</v>
      </c>
      <c r="C99" s="39">
        <v>2019</v>
      </c>
      <c r="D99" s="39"/>
      <c r="E99" s="40">
        <v>25.3</v>
      </c>
    </row>
    <row r="100" spans="1:5" ht="15.75" customHeight="1" x14ac:dyDescent="0.25">
      <c r="A100" s="38" t="s">
        <v>510</v>
      </c>
      <c r="B100" s="38" t="s">
        <v>649</v>
      </c>
      <c r="C100" s="39">
        <v>2019</v>
      </c>
      <c r="D100" s="39"/>
      <c r="E100" s="40">
        <v>27.4</v>
      </c>
    </row>
    <row r="101" spans="1:5" ht="15.75" customHeight="1" x14ac:dyDescent="0.25">
      <c r="A101" s="38" t="s">
        <v>179</v>
      </c>
      <c r="B101" s="38" t="s">
        <v>650</v>
      </c>
      <c r="C101" s="39">
        <v>2019</v>
      </c>
      <c r="D101" s="39"/>
      <c r="E101" s="40">
        <v>31.3</v>
      </c>
    </row>
    <row r="102" spans="1:5" ht="15.75" customHeight="1" x14ac:dyDescent="0.25">
      <c r="A102" s="38" t="s">
        <v>314</v>
      </c>
      <c r="B102" s="38" t="s">
        <v>651</v>
      </c>
      <c r="C102" s="39">
        <v>2019</v>
      </c>
      <c r="D102" s="39"/>
      <c r="E102" s="40">
        <v>38.200000000000003</v>
      </c>
    </row>
    <row r="103" spans="1:5" ht="15.75" customHeight="1" x14ac:dyDescent="0.25">
      <c r="A103" s="38" t="s">
        <v>511</v>
      </c>
      <c r="B103" s="41" t="s">
        <v>652</v>
      </c>
      <c r="C103" s="39">
        <v>2019</v>
      </c>
      <c r="D103" s="39"/>
      <c r="E103" s="40">
        <v>24.6</v>
      </c>
    </row>
    <row r="104" spans="1:5" ht="15.75" customHeight="1" x14ac:dyDescent="0.25">
      <c r="A104" s="38" t="s">
        <v>433</v>
      </c>
      <c r="B104" s="38" t="s">
        <v>653</v>
      </c>
      <c r="C104" s="39">
        <v>2019</v>
      </c>
      <c r="D104" s="39"/>
      <c r="E104" s="40">
        <v>27.6</v>
      </c>
    </row>
    <row r="105" spans="1:5" ht="15.75" customHeight="1" x14ac:dyDescent="0.25">
      <c r="A105" s="38" t="s">
        <v>113</v>
      </c>
      <c r="B105" s="38" t="s">
        <v>654</v>
      </c>
      <c r="C105" s="39">
        <v>2019</v>
      </c>
      <c r="D105" s="39"/>
      <c r="E105" s="40">
        <v>10.1</v>
      </c>
    </row>
    <row r="106" spans="1:5" ht="15.75" customHeight="1" x14ac:dyDescent="0.25">
      <c r="A106" s="38" t="s">
        <v>514</v>
      </c>
      <c r="B106" s="38" t="s">
        <v>655</v>
      </c>
      <c r="C106" s="39">
        <v>2019</v>
      </c>
      <c r="D106" s="39"/>
      <c r="E106" s="40">
        <v>28.9</v>
      </c>
    </row>
    <row r="107" spans="1:5" ht="15.75" customHeight="1" x14ac:dyDescent="0.25">
      <c r="A107" s="38" t="s">
        <v>515</v>
      </c>
      <c r="B107" s="42" t="s">
        <v>656</v>
      </c>
      <c r="C107" s="39">
        <v>2019</v>
      </c>
      <c r="D107" s="39"/>
      <c r="E107" s="40">
        <v>34.5</v>
      </c>
    </row>
    <row r="108" spans="1:5" ht="15.75" customHeight="1" x14ac:dyDescent="0.25">
      <c r="A108" s="38" t="s">
        <v>516</v>
      </c>
      <c r="B108" s="38" t="s">
        <v>657</v>
      </c>
      <c r="C108" s="39">
        <v>2019</v>
      </c>
      <c r="D108" s="39"/>
      <c r="E108" s="40">
        <v>40</v>
      </c>
    </row>
    <row r="109" spans="1:5" ht="15.75" customHeight="1" x14ac:dyDescent="0.25">
      <c r="A109" s="38" t="s">
        <v>70</v>
      </c>
      <c r="B109" s="38" t="s">
        <v>658</v>
      </c>
      <c r="C109" s="39">
        <v>2019</v>
      </c>
      <c r="D109" s="39"/>
      <c r="E109" s="40">
        <v>27.1</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FF895-CC1C-44DB-AE8A-9CFE56662323}">
  <dimension ref="A1:J47"/>
  <sheetViews>
    <sheetView topLeftCell="A6" workbookViewId="0">
      <selection activeCell="C13" sqref="C13"/>
    </sheetView>
  </sheetViews>
  <sheetFormatPr defaultColWidth="8.88671875" defaultRowHeight="13.8" x14ac:dyDescent="0.3"/>
  <cols>
    <col min="1" max="1" width="29.33203125" bestFit="1" customWidth="1"/>
    <col min="2" max="2" width="43.33203125" bestFit="1" customWidth="1"/>
    <col min="3" max="3" width="64.6640625" bestFit="1" customWidth="1"/>
    <col min="4" max="4" width="11.88671875" bestFit="1" customWidth="1"/>
    <col min="5" max="5" width="17.109375" customWidth="1"/>
    <col min="6" max="6" width="16.33203125" customWidth="1"/>
    <col min="7" max="7" width="19.77734375" customWidth="1"/>
    <col min="8" max="8" width="33.88671875" customWidth="1"/>
    <col min="9" max="9" width="21.33203125" customWidth="1"/>
    <col min="10" max="10" width="28.21875" customWidth="1"/>
    <col min="11" max="11" width="15.88671875" customWidth="1"/>
  </cols>
  <sheetData>
    <row r="1" spans="1:10" ht="34.799999999999997" customHeight="1" x14ac:dyDescent="0.3">
      <c r="A1" s="164" t="s">
        <v>1782</v>
      </c>
      <c r="B1" s="164"/>
      <c r="C1" s="164"/>
      <c r="D1" s="164"/>
      <c r="E1" s="164"/>
      <c r="F1" s="165" t="s">
        <v>1839</v>
      </c>
      <c r="G1" s="166"/>
      <c r="H1" s="166"/>
      <c r="I1" s="166"/>
      <c r="J1" s="167"/>
    </row>
    <row r="2" spans="1:10" ht="25.8" customHeight="1" x14ac:dyDescent="0.3">
      <c r="A2" s="74" t="s">
        <v>1779</v>
      </c>
      <c r="B2" s="74" t="s">
        <v>1780</v>
      </c>
      <c r="C2" s="74" t="s">
        <v>1771</v>
      </c>
      <c r="D2" s="74" t="s">
        <v>604</v>
      </c>
      <c r="E2" s="74" t="s">
        <v>1781</v>
      </c>
      <c r="F2" s="77" t="s">
        <v>1841</v>
      </c>
      <c r="G2" s="77" t="s">
        <v>1840</v>
      </c>
      <c r="H2" s="77" t="s">
        <v>1842</v>
      </c>
      <c r="I2" s="77" t="s">
        <v>1753</v>
      </c>
      <c r="J2" s="77" t="s">
        <v>1843</v>
      </c>
    </row>
    <row r="3" spans="1:10" ht="15.6" x14ac:dyDescent="0.3">
      <c r="A3" s="72" t="s">
        <v>1778</v>
      </c>
      <c r="B3" s="67" t="s">
        <v>5</v>
      </c>
      <c r="C3" s="71" t="s">
        <v>5</v>
      </c>
      <c r="D3" s="71" t="s">
        <v>1763</v>
      </c>
      <c r="E3" s="72" t="s">
        <v>752</v>
      </c>
      <c r="F3" s="75" t="s">
        <v>1844</v>
      </c>
      <c r="G3" s="75" t="s">
        <v>1845</v>
      </c>
      <c r="H3" s="76" t="s">
        <v>1786</v>
      </c>
      <c r="I3" s="76" t="s">
        <v>1787</v>
      </c>
      <c r="J3" s="76" t="s">
        <v>75</v>
      </c>
    </row>
    <row r="4" spans="1:10" ht="15.6" x14ac:dyDescent="0.3">
      <c r="A4" s="72" t="s">
        <v>1778</v>
      </c>
      <c r="B4" s="67" t="s">
        <v>6</v>
      </c>
      <c r="C4" s="71" t="s">
        <v>1755</v>
      </c>
      <c r="D4" s="71" t="s">
        <v>1763</v>
      </c>
      <c r="E4" s="72" t="s">
        <v>745</v>
      </c>
      <c r="F4" s="75" t="s">
        <v>1844</v>
      </c>
      <c r="G4" s="75" t="s">
        <v>1845</v>
      </c>
      <c r="H4" s="76" t="s">
        <v>1788</v>
      </c>
      <c r="I4" s="76" t="s">
        <v>1789</v>
      </c>
      <c r="J4" s="76" t="s">
        <v>75</v>
      </c>
    </row>
    <row r="5" spans="1:10" ht="15.6" x14ac:dyDescent="0.3">
      <c r="A5" s="72" t="s">
        <v>1778</v>
      </c>
      <c r="B5" s="68" t="s">
        <v>7</v>
      </c>
      <c r="C5" s="71" t="s">
        <v>1756</v>
      </c>
      <c r="D5" s="71" t="s">
        <v>1763</v>
      </c>
      <c r="E5" s="73">
        <v>2020</v>
      </c>
      <c r="F5" s="75" t="s">
        <v>1844</v>
      </c>
      <c r="G5" s="75" t="s">
        <v>1845</v>
      </c>
      <c r="H5" s="76" t="s">
        <v>1790</v>
      </c>
      <c r="I5" s="76" t="s">
        <v>1783</v>
      </c>
      <c r="J5" s="76" t="s">
        <v>75</v>
      </c>
    </row>
    <row r="6" spans="1:10" ht="15.6" x14ac:dyDescent="0.3">
      <c r="A6" s="72" t="s">
        <v>1778</v>
      </c>
      <c r="B6" s="67" t="s">
        <v>8</v>
      </c>
      <c r="C6" s="71" t="s">
        <v>1757</v>
      </c>
      <c r="D6" s="71" t="s">
        <v>1763</v>
      </c>
      <c r="E6" s="72" t="s">
        <v>502</v>
      </c>
      <c r="F6" s="75" t="s">
        <v>1844</v>
      </c>
      <c r="G6" s="75" t="s">
        <v>1845</v>
      </c>
      <c r="H6" s="76" t="s">
        <v>1791</v>
      </c>
      <c r="I6" s="76" t="s">
        <v>1784</v>
      </c>
      <c r="J6" s="76" t="s">
        <v>75</v>
      </c>
    </row>
    <row r="7" spans="1:10" ht="15.6" x14ac:dyDescent="0.3">
      <c r="A7" s="72" t="s">
        <v>1778</v>
      </c>
      <c r="B7" s="68" t="s">
        <v>9</v>
      </c>
      <c r="C7" s="71" t="s">
        <v>1758</v>
      </c>
      <c r="D7" s="71" t="s">
        <v>1763</v>
      </c>
      <c r="E7" s="72" t="s">
        <v>1846</v>
      </c>
      <c r="F7" s="75" t="s">
        <v>1844</v>
      </c>
      <c r="G7" s="75" t="s">
        <v>1845</v>
      </c>
      <c r="H7" s="76" t="s">
        <v>1792</v>
      </c>
      <c r="I7" s="76" t="s">
        <v>1793</v>
      </c>
      <c r="J7" s="76" t="s">
        <v>75</v>
      </c>
    </row>
    <row r="8" spans="1:10" ht="15.6" x14ac:dyDescent="0.3">
      <c r="A8" s="72" t="s">
        <v>1778</v>
      </c>
      <c r="B8" s="67" t="s">
        <v>661</v>
      </c>
      <c r="C8" s="71" t="s">
        <v>1759</v>
      </c>
      <c r="D8" s="71" t="s">
        <v>1763</v>
      </c>
      <c r="E8" s="72" t="s">
        <v>609</v>
      </c>
      <c r="F8" s="75" t="s">
        <v>1844</v>
      </c>
      <c r="G8" s="75" t="s">
        <v>1845</v>
      </c>
      <c r="H8" s="76" t="s">
        <v>1794</v>
      </c>
      <c r="I8" s="76" t="s">
        <v>1795</v>
      </c>
      <c r="J8" s="76" t="s">
        <v>75</v>
      </c>
    </row>
    <row r="9" spans="1:10" ht="15.6" x14ac:dyDescent="0.3">
      <c r="A9" s="72" t="s">
        <v>1778</v>
      </c>
      <c r="B9" s="68" t="s">
        <v>517</v>
      </c>
      <c r="C9" s="71" t="s">
        <v>1760</v>
      </c>
      <c r="D9" s="71" t="s">
        <v>1763</v>
      </c>
      <c r="E9" s="72" t="s">
        <v>1847</v>
      </c>
      <c r="F9" s="75" t="s">
        <v>1844</v>
      </c>
      <c r="G9" s="75" t="s">
        <v>1845</v>
      </c>
      <c r="H9" s="76" t="s">
        <v>1796</v>
      </c>
      <c r="I9" s="76" t="s">
        <v>1784</v>
      </c>
      <c r="J9" s="76" t="s">
        <v>75</v>
      </c>
    </row>
    <row r="10" spans="1:10" ht="15.6" x14ac:dyDescent="0.3">
      <c r="A10" s="72" t="s">
        <v>1778</v>
      </c>
      <c r="B10" s="68" t="s">
        <v>10</v>
      </c>
      <c r="C10" s="71" t="s">
        <v>1761</v>
      </c>
      <c r="D10" s="71" t="s">
        <v>1763</v>
      </c>
      <c r="E10" s="72" t="s">
        <v>115</v>
      </c>
      <c r="F10" s="75" t="s">
        <v>1844</v>
      </c>
      <c r="G10" s="75" t="s">
        <v>1845</v>
      </c>
      <c r="H10" s="76" t="s">
        <v>1797</v>
      </c>
      <c r="I10" s="76" t="s">
        <v>1784</v>
      </c>
      <c r="J10" s="76" t="s">
        <v>75</v>
      </c>
    </row>
    <row r="11" spans="1:10" ht="15.6" x14ac:dyDescent="0.3">
      <c r="A11" s="72" t="s">
        <v>1778</v>
      </c>
      <c r="B11" s="67" t="s">
        <v>11</v>
      </c>
      <c r="C11" s="71" t="s">
        <v>1762</v>
      </c>
      <c r="D11" s="71" t="s">
        <v>1763</v>
      </c>
      <c r="E11" s="72" t="s">
        <v>101</v>
      </c>
      <c r="F11" s="75" t="s">
        <v>1844</v>
      </c>
      <c r="G11" s="75" t="s">
        <v>1845</v>
      </c>
      <c r="H11" s="76" t="s">
        <v>1798</v>
      </c>
      <c r="I11" s="76" t="s">
        <v>1795</v>
      </c>
      <c r="J11" s="76" t="s">
        <v>75</v>
      </c>
    </row>
    <row r="12" spans="1:10" ht="15.6" x14ac:dyDescent="0.3">
      <c r="A12" s="72" t="s">
        <v>1778</v>
      </c>
      <c r="B12" s="68" t="s">
        <v>13</v>
      </c>
      <c r="C12" s="68" t="s">
        <v>13</v>
      </c>
      <c r="D12" s="71" t="s">
        <v>1763</v>
      </c>
      <c r="E12" s="73"/>
      <c r="F12" s="75" t="s">
        <v>1844</v>
      </c>
      <c r="G12" s="75" t="s">
        <v>1845</v>
      </c>
      <c r="H12" s="76" t="s">
        <v>1799</v>
      </c>
      <c r="I12" s="76" t="s">
        <v>1785</v>
      </c>
      <c r="J12" s="76" t="s">
        <v>75</v>
      </c>
    </row>
    <row r="13" spans="1:10" ht="15.6" x14ac:dyDescent="0.3">
      <c r="A13" s="72" t="s">
        <v>1778</v>
      </c>
      <c r="B13" s="68" t="s">
        <v>662</v>
      </c>
      <c r="C13" s="71"/>
      <c r="D13" s="71" t="s">
        <v>1764</v>
      </c>
      <c r="E13" s="73"/>
      <c r="F13" s="75" t="s">
        <v>1844</v>
      </c>
      <c r="G13" s="75" t="s">
        <v>1845</v>
      </c>
      <c r="H13" s="76" t="s">
        <v>1800</v>
      </c>
      <c r="I13" s="76" t="s">
        <v>1801</v>
      </c>
      <c r="J13" s="76" t="s">
        <v>75</v>
      </c>
    </row>
    <row r="14" spans="1:10" ht="15.6" x14ac:dyDescent="0.3">
      <c r="A14" s="72" t="s">
        <v>1778</v>
      </c>
      <c r="B14" s="68" t="s">
        <v>14</v>
      </c>
      <c r="C14" s="71" t="s">
        <v>14</v>
      </c>
      <c r="D14" s="71" t="s">
        <v>1765</v>
      </c>
      <c r="E14" s="73"/>
      <c r="F14" s="75" t="s">
        <v>1844</v>
      </c>
      <c r="G14" s="75" t="s">
        <v>1845</v>
      </c>
      <c r="H14" s="76" t="s">
        <v>1802</v>
      </c>
      <c r="I14" s="76" t="s">
        <v>1801</v>
      </c>
      <c r="J14" s="76" t="s">
        <v>75</v>
      </c>
    </row>
    <row r="15" spans="1:10" ht="15.6" x14ac:dyDescent="0.3">
      <c r="A15" s="72" t="s">
        <v>1778</v>
      </c>
      <c r="B15" s="68" t="s">
        <v>15</v>
      </c>
      <c r="C15" s="71" t="s">
        <v>15</v>
      </c>
      <c r="D15" s="71" t="s">
        <v>1763</v>
      </c>
      <c r="E15" s="73" t="s">
        <v>74</v>
      </c>
      <c r="F15" s="75" t="s">
        <v>1844</v>
      </c>
      <c r="G15" s="75" t="s">
        <v>1845</v>
      </c>
      <c r="H15" s="76" t="s">
        <v>1803</v>
      </c>
      <c r="I15" s="76" t="s">
        <v>1804</v>
      </c>
      <c r="J15" s="76" t="s">
        <v>75</v>
      </c>
    </row>
    <row r="16" spans="1:10" ht="15.6" x14ac:dyDescent="0.3">
      <c r="A16" s="72" t="s">
        <v>1778</v>
      </c>
      <c r="B16" s="69" t="s">
        <v>663</v>
      </c>
      <c r="C16" s="71" t="s">
        <v>663</v>
      </c>
      <c r="D16" s="71" t="s">
        <v>1765</v>
      </c>
      <c r="E16" s="73"/>
      <c r="F16" s="75" t="s">
        <v>1844</v>
      </c>
      <c r="G16" s="75" t="s">
        <v>1845</v>
      </c>
      <c r="H16" s="76" t="s">
        <v>1805</v>
      </c>
      <c r="I16" s="76" t="s">
        <v>1804</v>
      </c>
      <c r="J16" s="76" t="s">
        <v>75</v>
      </c>
    </row>
    <row r="17" spans="1:10" ht="15.6" x14ac:dyDescent="0.3">
      <c r="A17" s="72" t="s">
        <v>1778</v>
      </c>
      <c r="B17" s="69" t="s">
        <v>664</v>
      </c>
      <c r="C17" s="71" t="s">
        <v>664</v>
      </c>
      <c r="D17" s="71" t="s">
        <v>1765</v>
      </c>
      <c r="E17" s="73"/>
      <c r="F17" s="75" t="s">
        <v>1844</v>
      </c>
      <c r="G17" s="75" t="s">
        <v>1845</v>
      </c>
      <c r="H17" s="76" t="s">
        <v>1806</v>
      </c>
      <c r="I17" s="76" t="s">
        <v>1804</v>
      </c>
      <c r="J17" s="76" t="s">
        <v>75</v>
      </c>
    </row>
    <row r="18" spans="1:10" ht="15.6" x14ac:dyDescent="0.3">
      <c r="A18" s="72" t="s">
        <v>1778</v>
      </c>
      <c r="B18" s="69" t="s">
        <v>665</v>
      </c>
      <c r="C18" s="71" t="s">
        <v>665</v>
      </c>
      <c r="D18" s="71" t="s">
        <v>1765</v>
      </c>
      <c r="E18" s="73"/>
      <c r="F18" s="75" t="s">
        <v>1844</v>
      </c>
      <c r="G18" s="75" t="s">
        <v>1845</v>
      </c>
      <c r="H18" s="76" t="s">
        <v>1807</v>
      </c>
      <c r="I18" s="76" t="s">
        <v>1804</v>
      </c>
      <c r="J18" s="76" t="s">
        <v>75</v>
      </c>
    </row>
    <row r="19" spans="1:10" ht="15.6" x14ac:dyDescent="0.3">
      <c r="A19" s="72" t="s">
        <v>1778</v>
      </c>
      <c r="B19" s="69" t="s">
        <v>666</v>
      </c>
      <c r="C19" s="71" t="s">
        <v>666</v>
      </c>
      <c r="D19" s="71" t="s">
        <v>1765</v>
      </c>
      <c r="E19" s="73"/>
      <c r="F19" s="75" t="s">
        <v>1844</v>
      </c>
      <c r="G19" s="75" t="s">
        <v>1845</v>
      </c>
      <c r="H19" s="76" t="s">
        <v>1808</v>
      </c>
      <c r="I19" s="76" t="s">
        <v>1804</v>
      </c>
      <c r="J19" s="76" t="s">
        <v>75</v>
      </c>
    </row>
    <row r="20" spans="1:10" ht="15.6" x14ac:dyDescent="0.3">
      <c r="A20" s="72" t="s">
        <v>1778</v>
      </c>
      <c r="B20" s="69" t="s">
        <v>667</v>
      </c>
      <c r="C20" s="71" t="s">
        <v>667</v>
      </c>
      <c r="D20" s="71" t="s">
        <v>1765</v>
      </c>
      <c r="E20" s="73"/>
      <c r="F20" s="75" t="s">
        <v>1844</v>
      </c>
      <c r="G20" s="75" t="s">
        <v>1845</v>
      </c>
      <c r="H20" s="76" t="s">
        <v>1809</v>
      </c>
      <c r="I20" s="76" t="s">
        <v>1804</v>
      </c>
      <c r="J20" s="76" t="s">
        <v>75</v>
      </c>
    </row>
    <row r="21" spans="1:10" ht="15.6" x14ac:dyDescent="0.3">
      <c r="A21" s="72" t="s">
        <v>1778</v>
      </c>
      <c r="B21" s="69" t="s">
        <v>17</v>
      </c>
      <c r="C21" s="71" t="s">
        <v>17</v>
      </c>
      <c r="D21" s="71" t="s">
        <v>1765</v>
      </c>
      <c r="E21" s="73"/>
      <c r="F21" s="75" t="s">
        <v>1844</v>
      </c>
      <c r="G21" s="75" t="s">
        <v>1845</v>
      </c>
      <c r="H21" s="76" t="s">
        <v>1810</v>
      </c>
      <c r="I21" s="76" t="s">
        <v>1804</v>
      </c>
      <c r="J21" s="76" t="s">
        <v>75</v>
      </c>
    </row>
    <row r="22" spans="1:10" ht="15.6" x14ac:dyDescent="0.3">
      <c r="A22" s="72" t="s">
        <v>1778</v>
      </c>
      <c r="B22" s="69" t="s">
        <v>668</v>
      </c>
      <c r="C22" s="71" t="s">
        <v>668</v>
      </c>
      <c r="D22" s="71" t="s">
        <v>1765</v>
      </c>
      <c r="E22" s="73"/>
      <c r="F22" s="75" t="s">
        <v>1844</v>
      </c>
      <c r="G22" s="75" t="s">
        <v>1845</v>
      </c>
      <c r="H22" s="76" t="s">
        <v>1811</v>
      </c>
      <c r="I22" s="76" t="s">
        <v>1804</v>
      </c>
      <c r="J22" s="76" t="s">
        <v>75</v>
      </c>
    </row>
    <row r="23" spans="1:10" ht="15.6" x14ac:dyDescent="0.3">
      <c r="A23" s="72" t="s">
        <v>1778</v>
      </c>
      <c r="B23" s="69" t="s">
        <v>669</v>
      </c>
      <c r="C23" s="71" t="s">
        <v>669</v>
      </c>
      <c r="D23" s="71" t="s">
        <v>1765</v>
      </c>
      <c r="E23" s="73"/>
      <c r="F23" s="75" t="s">
        <v>1844</v>
      </c>
      <c r="G23" s="75" t="s">
        <v>1845</v>
      </c>
      <c r="H23" s="76" t="s">
        <v>1812</v>
      </c>
      <c r="I23" s="76" t="s">
        <v>1804</v>
      </c>
      <c r="J23" s="76" t="s">
        <v>75</v>
      </c>
    </row>
    <row r="24" spans="1:10" ht="15.6" x14ac:dyDescent="0.3">
      <c r="A24" s="72" t="s">
        <v>1778</v>
      </c>
      <c r="B24" s="70" t="s">
        <v>670</v>
      </c>
      <c r="C24" s="71"/>
      <c r="D24" s="71" t="s">
        <v>1763</v>
      </c>
      <c r="E24" s="73"/>
      <c r="F24" s="75" t="s">
        <v>1844</v>
      </c>
      <c r="G24" s="75" t="s">
        <v>1845</v>
      </c>
      <c r="H24" s="76" t="s">
        <v>1813</v>
      </c>
      <c r="I24" s="76" t="s">
        <v>1814</v>
      </c>
      <c r="J24" s="76" t="s">
        <v>75</v>
      </c>
    </row>
    <row r="25" spans="1:10" ht="15.6" x14ac:dyDescent="0.3">
      <c r="A25" s="72" t="s">
        <v>1778</v>
      </c>
      <c r="B25" s="68" t="s">
        <v>18</v>
      </c>
      <c r="C25" s="71" t="s">
        <v>1766</v>
      </c>
      <c r="D25" s="71" t="s">
        <v>1764</v>
      </c>
      <c r="E25" s="73"/>
      <c r="F25" s="75" t="s">
        <v>1844</v>
      </c>
      <c r="G25" s="75" t="s">
        <v>1845</v>
      </c>
      <c r="H25" s="76" t="s">
        <v>1815</v>
      </c>
      <c r="I25" s="76" t="s">
        <v>1801</v>
      </c>
      <c r="J25" s="76" t="s">
        <v>75</v>
      </c>
    </row>
    <row r="26" spans="1:10" ht="15.6" x14ac:dyDescent="0.3">
      <c r="A26" s="72" t="s">
        <v>1778</v>
      </c>
      <c r="B26" s="67" t="s">
        <v>19</v>
      </c>
      <c r="C26" s="67" t="s">
        <v>19</v>
      </c>
      <c r="D26" s="71" t="s">
        <v>1763</v>
      </c>
      <c r="E26" s="73"/>
      <c r="F26" s="75" t="s">
        <v>1844</v>
      </c>
      <c r="G26" s="75" t="s">
        <v>1845</v>
      </c>
      <c r="H26" s="76" t="s">
        <v>1816</v>
      </c>
      <c r="I26" s="76" t="s">
        <v>1817</v>
      </c>
      <c r="J26" s="76" t="s">
        <v>75</v>
      </c>
    </row>
    <row r="27" spans="1:10" ht="15.6" x14ac:dyDescent="0.3">
      <c r="A27" s="72" t="s">
        <v>1778</v>
      </c>
      <c r="B27" s="68" t="s">
        <v>20</v>
      </c>
      <c r="C27" s="71" t="s">
        <v>1768</v>
      </c>
      <c r="D27" s="71" t="s">
        <v>1764</v>
      </c>
      <c r="E27" s="73"/>
      <c r="F27" s="75" t="s">
        <v>1844</v>
      </c>
      <c r="G27" s="75" t="s">
        <v>1845</v>
      </c>
      <c r="H27" s="76" t="s">
        <v>1818</v>
      </c>
      <c r="I27" s="76" t="s">
        <v>1801</v>
      </c>
      <c r="J27" s="76" t="s">
        <v>75</v>
      </c>
    </row>
    <row r="28" spans="1:10" ht="15.6" x14ac:dyDescent="0.3">
      <c r="A28" s="72" t="s">
        <v>1778</v>
      </c>
      <c r="B28" s="67" t="s">
        <v>21</v>
      </c>
      <c r="C28" s="71" t="s">
        <v>1767</v>
      </c>
      <c r="D28" s="71" t="s">
        <v>1763</v>
      </c>
      <c r="E28" s="73"/>
      <c r="F28" s="75" t="s">
        <v>1844</v>
      </c>
      <c r="G28" s="75" t="s">
        <v>1845</v>
      </c>
      <c r="H28" s="76" t="s">
        <v>1819</v>
      </c>
      <c r="I28" s="76" t="s">
        <v>1817</v>
      </c>
      <c r="J28" s="76" t="s">
        <v>75</v>
      </c>
    </row>
    <row r="29" spans="1:10" ht="15.6" x14ac:dyDescent="0.3">
      <c r="A29" s="72" t="s">
        <v>1778</v>
      </c>
      <c r="B29" s="67" t="s">
        <v>22</v>
      </c>
      <c r="C29" s="71" t="s">
        <v>1769</v>
      </c>
      <c r="D29" s="71" t="s">
        <v>1764</v>
      </c>
      <c r="E29" s="73"/>
      <c r="F29" s="75" t="s">
        <v>1844</v>
      </c>
      <c r="G29" s="75" t="s">
        <v>1845</v>
      </c>
      <c r="H29" s="76" t="s">
        <v>1820</v>
      </c>
      <c r="I29" s="76" t="s">
        <v>1801</v>
      </c>
      <c r="J29" s="76" t="s">
        <v>75</v>
      </c>
    </row>
    <row r="30" spans="1:10" ht="15.6" x14ac:dyDescent="0.3">
      <c r="A30" s="72" t="s">
        <v>1778</v>
      </c>
      <c r="B30" s="68" t="s">
        <v>23</v>
      </c>
      <c r="C30" s="71" t="s">
        <v>1770</v>
      </c>
      <c r="D30" s="71" t="s">
        <v>1772</v>
      </c>
      <c r="E30" s="73"/>
      <c r="F30" s="75" t="s">
        <v>1844</v>
      </c>
      <c r="G30" s="75" t="s">
        <v>1845</v>
      </c>
      <c r="H30" s="76" t="s">
        <v>1821</v>
      </c>
      <c r="I30" s="76" t="s">
        <v>1783</v>
      </c>
      <c r="J30" s="76" t="s">
        <v>75</v>
      </c>
    </row>
    <row r="31" spans="1:10" ht="15.6" x14ac:dyDescent="0.3">
      <c r="A31" s="72" t="s">
        <v>1778</v>
      </c>
      <c r="B31" s="68" t="s">
        <v>24</v>
      </c>
      <c r="C31" s="71" t="s">
        <v>1771</v>
      </c>
      <c r="D31" s="71" t="s">
        <v>1763</v>
      </c>
      <c r="E31" s="73"/>
      <c r="F31" s="75" t="s">
        <v>1844</v>
      </c>
      <c r="G31" s="75" t="s">
        <v>1845</v>
      </c>
      <c r="H31" s="76" t="s">
        <v>1822</v>
      </c>
      <c r="I31" s="76" t="s">
        <v>1817</v>
      </c>
      <c r="J31" s="76" t="s">
        <v>75</v>
      </c>
    </row>
    <row r="32" spans="1:10" ht="15.6" x14ac:dyDescent="0.3">
      <c r="A32" s="72" t="s">
        <v>1778</v>
      </c>
      <c r="B32" s="68" t="s">
        <v>25</v>
      </c>
      <c r="C32" s="71" t="s">
        <v>1773</v>
      </c>
      <c r="D32" s="71" t="s">
        <v>1772</v>
      </c>
      <c r="E32" s="73"/>
      <c r="F32" s="75" t="s">
        <v>1844</v>
      </c>
      <c r="G32" s="75" t="s">
        <v>1845</v>
      </c>
      <c r="H32" s="76" t="s">
        <v>1823</v>
      </c>
      <c r="I32" s="76" t="s">
        <v>1783</v>
      </c>
      <c r="J32" s="76" t="s">
        <v>75</v>
      </c>
    </row>
    <row r="33" spans="1:10" ht="15.6" x14ac:dyDescent="0.3">
      <c r="A33" s="72" t="s">
        <v>1778</v>
      </c>
      <c r="B33" s="68" t="s">
        <v>26</v>
      </c>
      <c r="C33" s="71" t="s">
        <v>26</v>
      </c>
      <c r="D33" s="71" t="s">
        <v>1763</v>
      </c>
      <c r="E33" s="73"/>
      <c r="F33" s="75" t="s">
        <v>1844</v>
      </c>
      <c r="G33" s="75" t="s">
        <v>1845</v>
      </c>
      <c r="H33" s="76" t="s">
        <v>1824</v>
      </c>
      <c r="I33" s="76" t="s">
        <v>1787</v>
      </c>
      <c r="J33" s="76" t="s">
        <v>75</v>
      </c>
    </row>
    <row r="34" spans="1:10" ht="15.6" x14ac:dyDescent="0.3">
      <c r="A34" s="72" t="s">
        <v>1778</v>
      </c>
      <c r="B34" s="68" t="s">
        <v>27</v>
      </c>
      <c r="C34" s="71" t="s">
        <v>27</v>
      </c>
      <c r="D34" s="71" t="s">
        <v>1772</v>
      </c>
      <c r="E34" s="73"/>
      <c r="F34" s="75" t="s">
        <v>1844</v>
      </c>
      <c r="G34" s="75" t="s">
        <v>1845</v>
      </c>
      <c r="H34" s="76" t="s">
        <v>1825</v>
      </c>
      <c r="I34" s="76" t="s">
        <v>1783</v>
      </c>
      <c r="J34" s="76" t="s">
        <v>75</v>
      </c>
    </row>
    <row r="35" spans="1:10" ht="15.6" x14ac:dyDescent="0.3">
      <c r="A35" s="72" t="s">
        <v>1778</v>
      </c>
      <c r="B35" s="68" t="s">
        <v>28</v>
      </c>
      <c r="C35" s="71" t="s">
        <v>28</v>
      </c>
      <c r="D35" s="71" t="s">
        <v>1763</v>
      </c>
      <c r="E35" s="73"/>
      <c r="F35" s="75" t="s">
        <v>1844</v>
      </c>
      <c r="G35" s="75" t="s">
        <v>1845</v>
      </c>
      <c r="H35" s="76" t="s">
        <v>1826</v>
      </c>
      <c r="I35" s="76" t="s">
        <v>1817</v>
      </c>
      <c r="J35" s="76" t="s">
        <v>75</v>
      </c>
    </row>
    <row r="36" spans="1:10" ht="15.6" x14ac:dyDescent="0.3">
      <c r="A36" s="72" t="s">
        <v>1778</v>
      </c>
      <c r="B36" s="67" t="s">
        <v>29</v>
      </c>
      <c r="C36" s="71" t="s">
        <v>29</v>
      </c>
      <c r="D36" s="71" t="s">
        <v>1772</v>
      </c>
      <c r="E36" s="73"/>
      <c r="F36" s="75" t="s">
        <v>1844</v>
      </c>
      <c r="G36" s="75" t="s">
        <v>1845</v>
      </c>
      <c r="H36" s="76" t="s">
        <v>1827</v>
      </c>
      <c r="I36" s="76" t="s">
        <v>1783</v>
      </c>
      <c r="J36" s="76" t="s">
        <v>75</v>
      </c>
    </row>
    <row r="37" spans="1:10" ht="15.6" x14ac:dyDescent="0.3">
      <c r="A37" s="72" t="s">
        <v>1778</v>
      </c>
      <c r="B37" s="67" t="s">
        <v>30</v>
      </c>
      <c r="C37" s="71" t="s">
        <v>30</v>
      </c>
      <c r="D37" s="71" t="s">
        <v>1777</v>
      </c>
      <c r="E37" s="73"/>
      <c r="F37" s="75" t="s">
        <v>1844</v>
      </c>
      <c r="G37" s="75" t="s">
        <v>1845</v>
      </c>
      <c r="H37" s="76" t="s">
        <v>1828</v>
      </c>
      <c r="I37" s="76" t="s">
        <v>1801</v>
      </c>
      <c r="J37" s="76" t="s">
        <v>75</v>
      </c>
    </row>
    <row r="38" spans="1:10" ht="15.6" x14ac:dyDescent="0.3">
      <c r="A38" s="72" t="s">
        <v>1778</v>
      </c>
      <c r="B38" s="67" t="s">
        <v>31</v>
      </c>
      <c r="C38" s="71" t="s">
        <v>31</v>
      </c>
      <c r="D38" s="71" t="s">
        <v>1763</v>
      </c>
      <c r="E38" s="73"/>
      <c r="F38" s="75" t="s">
        <v>1844</v>
      </c>
      <c r="G38" s="75" t="s">
        <v>1845</v>
      </c>
      <c r="H38" s="76" t="s">
        <v>1829</v>
      </c>
      <c r="I38" s="76" t="s">
        <v>1817</v>
      </c>
      <c r="J38" s="76" t="s">
        <v>75</v>
      </c>
    </row>
    <row r="39" spans="1:10" ht="15.6" x14ac:dyDescent="0.3">
      <c r="A39" s="72" t="s">
        <v>1778</v>
      </c>
      <c r="B39" s="67" t="s">
        <v>32</v>
      </c>
      <c r="C39" s="71" t="s">
        <v>32</v>
      </c>
      <c r="D39" s="71" t="s">
        <v>1777</v>
      </c>
      <c r="E39" s="73"/>
      <c r="F39" s="75" t="s">
        <v>1844</v>
      </c>
      <c r="G39" s="75" t="s">
        <v>1845</v>
      </c>
      <c r="H39" s="76" t="s">
        <v>1830</v>
      </c>
      <c r="I39" s="76" t="s">
        <v>1801</v>
      </c>
      <c r="J39" s="76" t="s">
        <v>75</v>
      </c>
    </row>
    <row r="40" spans="1:10" ht="15.6" x14ac:dyDescent="0.3">
      <c r="A40" s="72" t="s">
        <v>1778</v>
      </c>
      <c r="B40" s="67" t="s">
        <v>33</v>
      </c>
      <c r="C40" s="71" t="s">
        <v>33</v>
      </c>
      <c r="D40" s="71" t="s">
        <v>1763</v>
      </c>
      <c r="E40" s="73"/>
      <c r="F40" s="75" t="s">
        <v>1844</v>
      </c>
      <c r="G40" s="75" t="s">
        <v>1845</v>
      </c>
      <c r="H40" s="76" t="s">
        <v>1831</v>
      </c>
      <c r="I40" s="76" t="s">
        <v>1817</v>
      </c>
      <c r="J40" s="76" t="s">
        <v>75</v>
      </c>
    </row>
    <row r="41" spans="1:10" ht="15.6" x14ac:dyDescent="0.3">
      <c r="A41" s="72" t="s">
        <v>1778</v>
      </c>
      <c r="B41" s="68" t="s">
        <v>34</v>
      </c>
      <c r="C41" s="71" t="s">
        <v>34</v>
      </c>
      <c r="D41" s="71" t="s">
        <v>1763</v>
      </c>
      <c r="E41" s="73"/>
      <c r="F41" s="75" t="s">
        <v>1844</v>
      </c>
      <c r="G41" s="75" t="s">
        <v>1845</v>
      </c>
      <c r="H41" s="76" t="s">
        <v>1832</v>
      </c>
      <c r="I41" s="76" t="s">
        <v>1784</v>
      </c>
      <c r="J41" s="76" t="s">
        <v>75</v>
      </c>
    </row>
    <row r="42" spans="1:10" ht="15.6" x14ac:dyDescent="0.3">
      <c r="A42" s="72" t="s">
        <v>1778</v>
      </c>
      <c r="B42" s="68" t="s">
        <v>35</v>
      </c>
      <c r="C42" s="71" t="s">
        <v>1775</v>
      </c>
      <c r="D42" s="71" t="s">
        <v>1777</v>
      </c>
      <c r="E42" s="73"/>
      <c r="F42" s="75" t="s">
        <v>1844</v>
      </c>
      <c r="G42" s="75" t="s">
        <v>1845</v>
      </c>
      <c r="H42" s="76" t="s">
        <v>1833</v>
      </c>
      <c r="I42" s="76" t="s">
        <v>1801</v>
      </c>
      <c r="J42" s="76" t="s">
        <v>75</v>
      </c>
    </row>
    <row r="43" spans="1:10" ht="15.6" x14ac:dyDescent="0.3">
      <c r="A43" s="72" t="s">
        <v>1778</v>
      </c>
      <c r="B43" s="68" t="s">
        <v>36</v>
      </c>
      <c r="C43" s="71" t="s">
        <v>1776</v>
      </c>
      <c r="D43" s="71" t="s">
        <v>1763</v>
      </c>
      <c r="E43" s="73"/>
      <c r="F43" s="75" t="s">
        <v>1844</v>
      </c>
      <c r="G43" s="75" t="s">
        <v>1845</v>
      </c>
      <c r="H43" s="76" t="s">
        <v>1834</v>
      </c>
      <c r="I43" s="76" t="s">
        <v>1801</v>
      </c>
      <c r="J43" s="76" t="s">
        <v>75</v>
      </c>
    </row>
    <row r="44" spans="1:10" ht="15.6" x14ac:dyDescent="0.3">
      <c r="A44" s="72" t="s">
        <v>1778</v>
      </c>
      <c r="B44" s="67" t="s">
        <v>37</v>
      </c>
      <c r="C44" s="71" t="s">
        <v>37</v>
      </c>
      <c r="D44" s="71" t="s">
        <v>1763</v>
      </c>
      <c r="E44" s="73"/>
      <c r="F44" s="75" t="s">
        <v>1844</v>
      </c>
      <c r="G44" s="75" t="s">
        <v>1845</v>
      </c>
      <c r="H44" s="76" t="s">
        <v>1835</v>
      </c>
      <c r="I44" s="76" t="s">
        <v>1784</v>
      </c>
      <c r="J44" s="76" t="s">
        <v>75</v>
      </c>
    </row>
    <row r="45" spans="1:10" ht="15.6" x14ac:dyDescent="0.3">
      <c r="A45" s="72" t="s">
        <v>1778</v>
      </c>
      <c r="B45" s="67" t="s">
        <v>671</v>
      </c>
      <c r="C45" s="71" t="s">
        <v>1774</v>
      </c>
      <c r="D45" s="71" t="s">
        <v>1763</v>
      </c>
      <c r="E45" s="73"/>
      <c r="F45" s="75" t="s">
        <v>1844</v>
      </c>
      <c r="G45" s="75" t="s">
        <v>1845</v>
      </c>
      <c r="H45" s="76" t="s">
        <v>1836</v>
      </c>
      <c r="I45" s="76" t="s">
        <v>1801</v>
      </c>
      <c r="J45" s="76" t="s">
        <v>75</v>
      </c>
    </row>
    <row r="46" spans="1:10" ht="15.6" x14ac:dyDescent="0.3">
      <c r="A46" s="72" t="s">
        <v>1778</v>
      </c>
      <c r="B46" s="67" t="s">
        <v>672</v>
      </c>
      <c r="C46" s="71" t="s">
        <v>672</v>
      </c>
      <c r="D46" s="71" t="s">
        <v>1763</v>
      </c>
      <c r="E46" s="73"/>
      <c r="F46" s="75" t="s">
        <v>1844</v>
      </c>
      <c r="G46" s="75" t="s">
        <v>1845</v>
      </c>
      <c r="H46" s="76" t="s">
        <v>1837</v>
      </c>
      <c r="I46" s="76" t="s">
        <v>1783</v>
      </c>
      <c r="J46" s="76" t="s">
        <v>75</v>
      </c>
    </row>
    <row r="47" spans="1:10" ht="15.6" x14ac:dyDescent="0.3">
      <c r="A47" s="72" t="s">
        <v>1778</v>
      </c>
      <c r="B47" s="67" t="s">
        <v>16</v>
      </c>
      <c r="C47" s="71" t="s">
        <v>16</v>
      </c>
      <c r="D47" s="71" t="s">
        <v>1763</v>
      </c>
      <c r="E47" s="73"/>
      <c r="F47" s="75" t="s">
        <v>1844</v>
      </c>
      <c r="G47" s="75" t="s">
        <v>1845</v>
      </c>
      <c r="H47" s="76" t="s">
        <v>1838</v>
      </c>
      <c r="I47" s="76" t="s">
        <v>1801</v>
      </c>
      <c r="J47" s="76" t="s">
        <v>75</v>
      </c>
    </row>
  </sheetData>
  <mergeCells count="2">
    <mergeCell ref="A1:E1"/>
    <mergeCell ref="F1:J1"/>
  </mergeCells>
  <conditionalFormatting sqref="B3:B17 B20 B23:B43">
    <cfRule type="expression" dxfId="19" priority="4">
      <formula>#REF!="Counter"</formula>
    </cfRule>
  </conditionalFormatting>
  <conditionalFormatting sqref="B16:B17 B20 B23:B24">
    <cfRule type="expression" dxfId="18" priority="3">
      <formula>LEFT(B16,5)="ERROR"</formula>
    </cfRule>
  </conditionalFormatting>
  <conditionalFormatting sqref="C12">
    <cfRule type="expression" dxfId="17" priority="2">
      <formula>#REF!="Counter"</formula>
    </cfRule>
  </conditionalFormatting>
  <conditionalFormatting sqref="C26">
    <cfRule type="expression" dxfId="16" priority="1">
      <formula>#REF!="Counter"</formula>
    </cfRule>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8B535-0F9E-4985-8809-DAA997235AC6}">
  <sheetPr filterMode="1">
    <tabColor rgb="FFFF0000"/>
    <outlinePr summaryBelow="0" summaryRight="0"/>
  </sheetPr>
  <dimension ref="A1:AQ321"/>
  <sheetViews>
    <sheetView workbookViewId="0">
      <pane ySplit="1" topLeftCell="A6" activePane="bottomLeft" state="frozen"/>
      <selection pane="bottomLeft" activeCell="A294" sqref="A294"/>
    </sheetView>
  </sheetViews>
  <sheetFormatPr defaultColWidth="14.44140625" defaultRowHeight="15.75" customHeight="1" x14ac:dyDescent="0.25"/>
  <cols>
    <col min="1" max="1" width="38.88671875" style="79" customWidth="1"/>
    <col min="2" max="2" width="29.33203125" style="79" customWidth="1"/>
    <col min="3" max="6" width="14.44140625" style="79"/>
    <col min="7" max="7" width="30" style="79" bestFit="1" customWidth="1"/>
    <col min="8" max="11" width="14.44140625" style="79"/>
    <col min="12" max="12" width="19.6640625" style="79" customWidth="1"/>
    <col min="13" max="22" width="14.44140625" style="79"/>
    <col min="23" max="23" width="17" style="79" customWidth="1"/>
    <col min="24" max="24" width="32.6640625" style="79" customWidth="1"/>
    <col min="25" max="30" width="14.44140625" style="79"/>
    <col min="31" max="31" width="18.88671875" style="79" customWidth="1"/>
    <col min="32" max="35" width="14.44140625" style="79"/>
    <col min="36" max="36" width="16.5546875" style="79" customWidth="1"/>
    <col min="37" max="42" width="14.44140625" style="79"/>
    <col min="43" max="43" width="19.77734375" style="79" customWidth="1"/>
    <col min="44" max="16384" width="14.44140625" style="54"/>
  </cols>
  <sheetData>
    <row r="1" spans="1:43" s="89" customFormat="1" ht="19.2" customHeight="1" x14ac:dyDescent="0.25">
      <c r="A1" s="80" t="s">
        <v>5</v>
      </c>
      <c r="B1" s="81" t="s">
        <v>6</v>
      </c>
      <c r="C1" s="81" t="s">
        <v>7</v>
      </c>
      <c r="D1" s="81" t="s">
        <v>8</v>
      </c>
      <c r="E1" s="81" t="s">
        <v>9</v>
      </c>
      <c r="F1" s="82" t="s">
        <v>661</v>
      </c>
      <c r="G1" s="81" t="s">
        <v>10</v>
      </c>
      <c r="H1" s="84" t="s">
        <v>11</v>
      </c>
      <c r="I1" s="81" t="s">
        <v>13</v>
      </c>
      <c r="J1" s="84" t="s">
        <v>662</v>
      </c>
      <c r="K1" s="81" t="s">
        <v>14</v>
      </c>
      <c r="L1" s="81" t="s">
        <v>15</v>
      </c>
      <c r="M1" s="85" t="s">
        <v>663</v>
      </c>
      <c r="N1" s="85" t="s">
        <v>664</v>
      </c>
      <c r="O1" s="86" t="s">
        <v>665</v>
      </c>
      <c r="P1" s="86" t="s">
        <v>666</v>
      </c>
      <c r="Q1" s="86" t="s">
        <v>667</v>
      </c>
      <c r="R1" s="85" t="s">
        <v>17</v>
      </c>
      <c r="S1" s="85" t="s">
        <v>668</v>
      </c>
      <c r="T1" s="85" t="s">
        <v>669</v>
      </c>
      <c r="U1" s="81" t="s">
        <v>18</v>
      </c>
      <c r="V1" s="81" t="s">
        <v>19</v>
      </c>
      <c r="W1" s="81" t="s">
        <v>20</v>
      </c>
      <c r="X1" s="81" t="s">
        <v>21</v>
      </c>
      <c r="Y1" s="81" t="s">
        <v>22</v>
      </c>
      <c r="Z1" s="81" t="s">
        <v>23</v>
      </c>
      <c r="AA1" s="81" t="s">
        <v>24</v>
      </c>
      <c r="AB1" s="81" t="s">
        <v>25</v>
      </c>
      <c r="AC1" s="81" t="s">
        <v>26</v>
      </c>
      <c r="AD1" s="81" t="s">
        <v>27</v>
      </c>
      <c r="AE1" s="81" t="s">
        <v>28</v>
      </c>
      <c r="AF1" s="80" t="s">
        <v>29</v>
      </c>
      <c r="AG1" s="80" t="s">
        <v>30</v>
      </c>
      <c r="AH1" s="80" t="s">
        <v>31</v>
      </c>
      <c r="AI1" s="80" t="s">
        <v>32</v>
      </c>
      <c r="AJ1" s="81" t="s">
        <v>33</v>
      </c>
      <c r="AK1" s="81" t="s">
        <v>34</v>
      </c>
      <c r="AL1" s="81" t="s">
        <v>35</v>
      </c>
      <c r="AM1" s="81" t="s">
        <v>36</v>
      </c>
      <c r="AN1" s="80" t="s">
        <v>37</v>
      </c>
      <c r="AO1" s="83" t="s">
        <v>671</v>
      </c>
      <c r="AP1" s="87" t="s">
        <v>16</v>
      </c>
      <c r="AQ1" s="88" t="s">
        <v>673</v>
      </c>
    </row>
    <row r="2" spans="1:43" ht="16.2" hidden="1" x14ac:dyDescent="0.45">
      <c r="A2" s="55" t="s">
        <v>674</v>
      </c>
      <c r="B2" s="56" t="s">
        <v>675</v>
      </c>
      <c r="C2" s="55">
        <v>2018</v>
      </c>
      <c r="D2" s="55" t="s">
        <v>501</v>
      </c>
      <c r="E2" s="55" t="s">
        <v>78</v>
      </c>
      <c r="F2" s="57" t="s">
        <v>551</v>
      </c>
      <c r="G2" s="55" t="s">
        <v>599</v>
      </c>
      <c r="H2" s="55" t="s">
        <v>101</v>
      </c>
      <c r="I2" s="55" t="s">
        <v>676</v>
      </c>
      <c r="J2" s="57" t="s">
        <v>81</v>
      </c>
      <c r="K2" s="55" t="s">
        <v>74</v>
      </c>
      <c r="L2" s="63">
        <v>7000000</v>
      </c>
      <c r="M2" s="63">
        <v>7000000</v>
      </c>
      <c r="N2" s="63">
        <v>9968910</v>
      </c>
      <c r="O2" s="63">
        <v>7000000</v>
      </c>
      <c r="P2" s="63">
        <v>7000000</v>
      </c>
      <c r="Q2" s="63">
        <v>9968910</v>
      </c>
      <c r="R2" s="63">
        <v>7000000</v>
      </c>
      <c r="S2" s="63">
        <v>7000000</v>
      </c>
      <c r="T2" s="63">
        <v>9968910</v>
      </c>
      <c r="U2" s="55" t="s">
        <v>81</v>
      </c>
      <c r="V2" s="55" t="s">
        <v>78</v>
      </c>
      <c r="W2" s="55" t="s">
        <v>81</v>
      </c>
      <c r="X2" s="59" t="s">
        <v>78</v>
      </c>
      <c r="Y2" s="59" t="s">
        <v>81</v>
      </c>
      <c r="Z2" s="55">
        <v>0</v>
      </c>
      <c r="AA2" s="55" t="s">
        <v>78</v>
      </c>
      <c r="AB2" s="55">
        <v>0</v>
      </c>
      <c r="AC2" s="55" t="s">
        <v>78</v>
      </c>
      <c r="AD2" s="55">
        <v>0</v>
      </c>
      <c r="AE2" s="55" t="s">
        <v>78</v>
      </c>
      <c r="AF2" s="55">
        <v>0</v>
      </c>
      <c r="AG2" s="55" t="s">
        <v>81</v>
      </c>
      <c r="AH2" s="55" t="s">
        <v>78</v>
      </c>
      <c r="AI2" s="59" t="s">
        <v>75</v>
      </c>
      <c r="AJ2" s="55" t="s">
        <v>78</v>
      </c>
      <c r="AK2" s="55" t="s">
        <v>78</v>
      </c>
      <c r="AL2" s="55" t="s">
        <v>81</v>
      </c>
      <c r="AM2" s="55" t="s">
        <v>81</v>
      </c>
      <c r="AN2" s="55" t="s">
        <v>78</v>
      </c>
      <c r="AO2" s="60" t="s">
        <v>81</v>
      </c>
      <c r="AP2" s="58" t="s">
        <v>74</v>
      </c>
      <c r="AQ2" s="55" t="s">
        <v>101</v>
      </c>
    </row>
    <row r="3" spans="1:43" ht="13.2" hidden="1" x14ac:dyDescent="0.25">
      <c r="A3" s="90" t="s">
        <v>677</v>
      </c>
      <c r="B3" s="91" t="s">
        <v>678</v>
      </c>
      <c r="C3" s="90">
        <v>2018</v>
      </c>
      <c r="D3" s="90" t="s">
        <v>353</v>
      </c>
      <c r="E3" s="90" t="s">
        <v>78</v>
      </c>
      <c r="F3" s="90" t="s">
        <v>78</v>
      </c>
      <c r="G3" s="90" t="s">
        <v>587</v>
      </c>
      <c r="H3" s="90" t="s">
        <v>256</v>
      </c>
      <c r="I3" s="90" t="s">
        <v>679</v>
      </c>
      <c r="J3" s="90" t="s">
        <v>75</v>
      </c>
      <c r="K3" s="90" t="s">
        <v>104</v>
      </c>
      <c r="L3" s="92">
        <v>1500000</v>
      </c>
      <c r="M3" s="92">
        <v>1263157.894736842</v>
      </c>
      <c r="N3" s="92">
        <v>1798901.0526315786</v>
      </c>
      <c r="O3" s="92">
        <v>850885.83</v>
      </c>
      <c r="P3" s="92">
        <v>850885.83</v>
      </c>
      <c r="Q3" s="92">
        <v>1211772.0370778998</v>
      </c>
      <c r="R3" s="92">
        <v>0</v>
      </c>
      <c r="S3" s="92">
        <v>0</v>
      </c>
      <c r="T3" s="92">
        <v>0</v>
      </c>
      <c r="U3" s="90" t="s">
        <v>81</v>
      </c>
      <c r="V3" s="90" t="s">
        <v>78</v>
      </c>
      <c r="W3" s="90" t="s">
        <v>81</v>
      </c>
      <c r="X3" s="93" t="s">
        <v>78</v>
      </c>
      <c r="Y3" s="93" t="s">
        <v>81</v>
      </c>
      <c r="Z3" s="90">
        <v>0</v>
      </c>
      <c r="AA3" s="90" t="s">
        <v>78</v>
      </c>
      <c r="AB3" s="90">
        <v>0</v>
      </c>
      <c r="AC3" s="90" t="s">
        <v>78</v>
      </c>
      <c r="AD3" s="90">
        <v>0</v>
      </c>
      <c r="AE3" s="90" t="s">
        <v>78</v>
      </c>
      <c r="AF3" s="90">
        <v>0</v>
      </c>
      <c r="AG3" s="90" t="s">
        <v>81</v>
      </c>
      <c r="AH3" s="90" t="s">
        <v>78</v>
      </c>
      <c r="AI3" s="93" t="s">
        <v>81</v>
      </c>
      <c r="AJ3" s="90" t="s">
        <v>78</v>
      </c>
      <c r="AK3" s="90" t="s">
        <v>78</v>
      </c>
      <c r="AL3" s="90" t="s">
        <v>81</v>
      </c>
      <c r="AM3" s="90" t="s">
        <v>81</v>
      </c>
      <c r="AN3" s="90" t="s">
        <v>78</v>
      </c>
      <c r="AO3" s="79" t="s">
        <v>81</v>
      </c>
      <c r="AP3" s="94" t="s">
        <v>104</v>
      </c>
      <c r="AQ3" s="90" t="s">
        <v>256</v>
      </c>
    </row>
    <row r="4" spans="1:43" ht="16.2" hidden="1" x14ac:dyDescent="0.45">
      <c r="A4" s="55" t="s">
        <v>680</v>
      </c>
      <c r="B4" s="55" t="s">
        <v>681</v>
      </c>
      <c r="C4" s="55">
        <v>2018</v>
      </c>
      <c r="D4" s="55" t="s">
        <v>314</v>
      </c>
      <c r="E4" s="55" t="s">
        <v>78</v>
      </c>
      <c r="F4" s="57" t="s">
        <v>557</v>
      </c>
      <c r="G4" s="55" t="s">
        <v>115</v>
      </c>
      <c r="H4" s="55" t="s">
        <v>115</v>
      </c>
      <c r="I4" s="55" t="s">
        <v>676</v>
      </c>
      <c r="J4" s="57" t="s">
        <v>81</v>
      </c>
      <c r="K4" s="55" t="s">
        <v>74</v>
      </c>
      <c r="L4" s="63">
        <v>20050000</v>
      </c>
      <c r="M4" s="63">
        <v>20050000</v>
      </c>
      <c r="N4" s="63">
        <v>28553806.499999996</v>
      </c>
      <c r="O4" s="63">
        <v>20050000</v>
      </c>
      <c r="P4" s="63">
        <v>20050000</v>
      </c>
      <c r="Q4" s="63">
        <v>28553806.499999996</v>
      </c>
      <c r="R4" s="63">
        <v>20050000</v>
      </c>
      <c r="S4" s="63">
        <v>20050000</v>
      </c>
      <c r="T4" s="63">
        <v>28553806.499999996</v>
      </c>
      <c r="U4" s="55" t="s">
        <v>75</v>
      </c>
      <c r="V4" s="55" t="s">
        <v>682</v>
      </c>
      <c r="W4" s="55" t="s">
        <v>75</v>
      </c>
      <c r="X4" s="59" t="s">
        <v>683</v>
      </c>
      <c r="Y4" s="59" t="s">
        <v>75</v>
      </c>
      <c r="Z4" s="55">
        <v>999</v>
      </c>
      <c r="AA4" s="55" t="s">
        <v>684</v>
      </c>
      <c r="AB4" s="55">
        <v>0</v>
      </c>
      <c r="AC4" s="55" t="s">
        <v>78</v>
      </c>
      <c r="AD4" s="55">
        <v>0</v>
      </c>
      <c r="AE4" s="55" t="s">
        <v>78</v>
      </c>
      <c r="AF4" s="55">
        <v>1</v>
      </c>
      <c r="AG4" s="55" t="s">
        <v>75</v>
      </c>
      <c r="AH4" s="55" t="s">
        <v>685</v>
      </c>
      <c r="AI4" s="59" t="s">
        <v>75</v>
      </c>
      <c r="AJ4" s="55" t="s">
        <v>228</v>
      </c>
      <c r="AK4" s="55" t="s">
        <v>686</v>
      </c>
      <c r="AL4" s="55" t="s">
        <v>75</v>
      </c>
      <c r="AM4" s="55" t="s">
        <v>81</v>
      </c>
      <c r="AN4" s="55" t="s">
        <v>78</v>
      </c>
      <c r="AO4" s="60" t="s">
        <v>75</v>
      </c>
      <c r="AP4" s="58" t="s">
        <v>74</v>
      </c>
      <c r="AQ4" s="55" t="s">
        <v>115</v>
      </c>
    </row>
    <row r="5" spans="1:43" ht="16.2" hidden="1" x14ac:dyDescent="0.45">
      <c r="A5" s="55" t="s">
        <v>687</v>
      </c>
      <c r="B5" s="55" t="s">
        <v>688</v>
      </c>
      <c r="C5" s="55">
        <v>2018</v>
      </c>
      <c r="D5" s="55" t="s">
        <v>172</v>
      </c>
      <c r="E5" s="56" t="s">
        <v>78</v>
      </c>
      <c r="F5" s="57" t="s">
        <v>537</v>
      </c>
      <c r="G5" s="56" t="s">
        <v>593</v>
      </c>
      <c r="H5" s="55" t="s">
        <v>101</v>
      </c>
      <c r="I5" s="55" t="s">
        <v>689</v>
      </c>
      <c r="J5" s="57" t="s">
        <v>81</v>
      </c>
      <c r="K5" s="55" t="s">
        <v>74</v>
      </c>
      <c r="L5" s="63">
        <v>967360.92</v>
      </c>
      <c r="M5" s="63">
        <v>967360.92</v>
      </c>
      <c r="N5" s="63">
        <v>1377647.7069995999</v>
      </c>
      <c r="O5" s="63">
        <v>967360.92</v>
      </c>
      <c r="P5" s="63">
        <v>967360.92</v>
      </c>
      <c r="Q5" s="63">
        <v>1377647.7069995999</v>
      </c>
      <c r="R5" s="63">
        <v>967360.92</v>
      </c>
      <c r="S5" s="63">
        <v>967360.92</v>
      </c>
      <c r="T5" s="63">
        <v>1377647.7069995999</v>
      </c>
      <c r="U5" s="55" t="s">
        <v>81</v>
      </c>
      <c r="V5" s="55" t="s">
        <v>78</v>
      </c>
      <c r="W5" s="55" t="s">
        <v>81</v>
      </c>
      <c r="X5" s="59" t="s">
        <v>78</v>
      </c>
      <c r="Y5" s="59" t="s">
        <v>81</v>
      </c>
      <c r="Z5" s="55">
        <v>0</v>
      </c>
      <c r="AA5" s="55" t="s">
        <v>78</v>
      </c>
      <c r="AB5" s="55">
        <v>0</v>
      </c>
      <c r="AC5" s="55" t="s">
        <v>78</v>
      </c>
      <c r="AD5" s="55">
        <v>0</v>
      </c>
      <c r="AE5" s="55" t="s">
        <v>78</v>
      </c>
      <c r="AF5" s="55">
        <v>0</v>
      </c>
      <c r="AG5" s="55" t="s">
        <v>81</v>
      </c>
      <c r="AH5" s="55" t="s">
        <v>78</v>
      </c>
      <c r="AI5" s="59" t="s">
        <v>81</v>
      </c>
      <c r="AJ5" s="55" t="s">
        <v>78</v>
      </c>
      <c r="AK5" s="55" t="s">
        <v>78</v>
      </c>
      <c r="AL5" s="55" t="s">
        <v>81</v>
      </c>
      <c r="AM5" s="55" t="s">
        <v>81</v>
      </c>
      <c r="AN5" s="55" t="s">
        <v>78</v>
      </c>
      <c r="AO5" s="60" t="s">
        <v>81</v>
      </c>
      <c r="AP5" s="58" t="s">
        <v>74</v>
      </c>
      <c r="AQ5" s="55" t="s">
        <v>101</v>
      </c>
    </row>
    <row r="6" spans="1:43" ht="16.2" x14ac:dyDescent="0.45">
      <c r="A6" s="55" t="s">
        <v>690</v>
      </c>
      <c r="B6" s="56" t="s">
        <v>691</v>
      </c>
      <c r="C6" s="55">
        <v>2018</v>
      </c>
      <c r="D6" s="55" t="s">
        <v>172</v>
      </c>
      <c r="E6" s="56" t="s">
        <v>78</v>
      </c>
      <c r="F6" s="57" t="s">
        <v>537</v>
      </c>
      <c r="G6" s="56" t="s">
        <v>228</v>
      </c>
      <c r="H6" s="55" t="s">
        <v>466</v>
      </c>
      <c r="I6" s="55" t="s">
        <v>689</v>
      </c>
      <c r="J6" s="57" t="s">
        <v>81</v>
      </c>
      <c r="K6" s="55" t="s">
        <v>74</v>
      </c>
      <c r="L6" s="63">
        <v>1199000</v>
      </c>
      <c r="M6" s="63">
        <v>1199000</v>
      </c>
      <c r="N6" s="63">
        <v>1707531.8699999999</v>
      </c>
      <c r="O6" s="63">
        <v>1199000</v>
      </c>
      <c r="P6" s="63">
        <v>1199000</v>
      </c>
      <c r="Q6" s="63">
        <v>1707531.8699999999</v>
      </c>
      <c r="R6" s="63">
        <v>1199000</v>
      </c>
      <c r="S6" s="63">
        <v>1199000</v>
      </c>
      <c r="T6" s="63">
        <v>1707531.8699999999</v>
      </c>
      <c r="U6" s="55" t="s">
        <v>81</v>
      </c>
      <c r="V6" s="55" t="s">
        <v>78</v>
      </c>
      <c r="W6" s="55" t="s">
        <v>81</v>
      </c>
      <c r="X6" s="59" t="s">
        <v>78</v>
      </c>
      <c r="Y6" s="59" t="s">
        <v>81</v>
      </c>
      <c r="Z6" s="55">
        <v>0</v>
      </c>
      <c r="AA6" s="55" t="s">
        <v>78</v>
      </c>
      <c r="AB6" s="55">
        <v>0</v>
      </c>
      <c r="AC6" s="55" t="s">
        <v>78</v>
      </c>
      <c r="AD6" s="55">
        <v>0</v>
      </c>
      <c r="AE6" s="55" t="s">
        <v>78</v>
      </c>
      <c r="AF6" s="55">
        <v>0</v>
      </c>
      <c r="AG6" s="55" t="s">
        <v>81</v>
      </c>
      <c r="AH6" s="55" t="s">
        <v>78</v>
      </c>
      <c r="AI6" s="59" t="s">
        <v>81</v>
      </c>
      <c r="AJ6" s="55" t="s">
        <v>78</v>
      </c>
      <c r="AK6" s="55" t="s">
        <v>78</v>
      </c>
      <c r="AL6" s="55" t="s">
        <v>81</v>
      </c>
      <c r="AM6" s="55" t="s">
        <v>81</v>
      </c>
      <c r="AN6" s="55" t="s">
        <v>78</v>
      </c>
      <c r="AO6" s="60" t="s">
        <v>81</v>
      </c>
      <c r="AP6" s="58" t="s">
        <v>74</v>
      </c>
      <c r="AQ6" s="55" t="s">
        <v>466</v>
      </c>
    </row>
    <row r="7" spans="1:43" ht="16.2" hidden="1" x14ac:dyDescent="0.45">
      <c r="A7" s="55" t="s">
        <v>692</v>
      </c>
      <c r="B7" s="55" t="s">
        <v>693</v>
      </c>
      <c r="C7" s="55">
        <v>2018</v>
      </c>
      <c r="D7" s="55" t="s">
        <v>172</v>
      </c>
      <c r="E7" s="56" t="s">
        <v>78</v>
      </c>
      <c r="F7" s="57" t="s">
        <v>537</v>
      </c>
      <c r="G7" s="55" t="s">
        <v>596</v>
      </c>
      <c r="H7" s="55" t="s">
        <v>101</v>
      </c>
      <c r="I7" s="55" t="s">
        <v>689</v>
      </c>
      <c r="J7" s="57" t="s">
        <v>81</v>
      </c>
      <c r="K7" s="55" t="s">
        <v>104</v>
      </c>
      <c r="L7" s="63">
        <v>74619100</v>
      </c>
      <c r="M7" s="63">
        <v>62837136.842105262</v>
      </c>
      <c r="N7" s="63">
        <v>89488251.690947354</v>
      </c>
      <c r="O7" s="63">
        <v>51460711.939999998</v>
      </c>
      <c r="P7" s="63">
        <v>51460711.939999998</v>
      </c>
      <c r="Q7" s="63">
        <v>73286743.695112199</v>
      </c>
      <c r="R7" s="63">
        <v>51460711.939999998</v>
      </c>
      <c r="S7" s="63">
        <v>51460711.939999998</v>
      </c>
      <c r="T7" s="63">
        <v>73286743.695112199</v>
      </c>
      <c r="U7" s="55" t="s">
        <v>81</v>
      </c>
      <c r="V7" s="55" t="s">
        <v>78</v>
      </c>
      <c r="W7" s="55" t="s">
        <v>81</v>
      </c>
      <c r="X7" s="59" t="s">
        <v>78</v>
      </c>
      <c r="Y7" s="59" t="s">
        <v>81</v>
      </c>
      <c r="Z7" s="55">
        <v>0</v>
      </c>
      <c r="AA7" s="55" t="s">
        <v>78</v>
      </c>
      <c r="AB7" s="55">
        <v>0</v>
      </c>
      <c r="AC7" s="55" t="s">
        <v>78</v>
      </c>
      <c r="AD7" s="55">
        <v>0</v>
      </c>
      <c r="AE7" s="55" t="s">
        <v>78</v>
      </c>
      <c r="AF7" s="55">
        <v>0</v>
      </c>
      <c r="AG7" s="55" t="s">
        <v>81</v>
      </c>
      <c r="AH7" s="55" t="s">
        <v>78</v>
      </c>
      <c r="AI7" s="59" t="s">
        <v>81</v>
      </c>
      <c r="AJ7" s="55" t="s">
        <v>78</v>
      </c>
      <c r="AK7" s="55" t="s">
        <v>78</v>
      </c>
      <c r="AL7" s="55" t="s">
        <v>81</v>
      </c>
      <c r="AM7" s="55" t="s">
        <v>81</v>
      </c>
      <c r="AN7" s="55" t="s">
        <v>78</v>
      </c>
      <c r="AO7" s="60" t="s">
        <v>81</v>
      </c>
      <c r="AP7" s="58" t="s">
        <v>104</v>
      </c>
      <c r="AQ7" s="55" t="s">
        <v>101</v>
      </c>
    </row>
    <row r="8" spans="1:43" ht="16.2" hidden="1" x14ac:dyDescent="0.45">
      <c r="A8" s="55" t="s">
        <v>694</v>
      </c>
      <c r="B8" s="55" t="s">
        <v>695</v>
      </c>
      <c r="C8" s="55">
        <v>2018</v>
      </c>
      <c r="D8" s="55" t="s">
        <v>172</v>
      </c>
      <c r="E8" s="56" t="s">
        <v>78</v>
      </c>
      <c r="F8" s="57" t="s">
        <v>537</v>
      </c>
      <c r="G8" s="55" t="s">
        <v>597</v>
      </c>
      <c r="H8" s="55" t="s">
        <v>101</v>
      </c>
      <c r="I8" s="55" t="s">
        <v>689</v>
      </c>
      <c r="J8" s="57" t="s">
        <v>81</v>
      </c>
      <c r="K8" s="55" t="s">
        <v>104</v>
      </c>
      <c r="L8" s="63">
        <v>100000000</v>
      </c>
      <c r="M8" s="63">
        <v>84210526.315789476</v>
      </c>
      <c r="N8" s="63">
        <v>119926736.84210525</v>
      </c>
      <c r="O8" s="63">
        <v>82020997.379999995</v>
      </c>
      <c r="P8" s="63">
        <v>82020997.379999995</v>
      </c>
      <c r="Q8" s="63">
        <v>116808562.99877939</v>
      </c>
      <c r="R8" s="63">
        <v>82020997.379999995</v>
      </c>
      <c r="S8" s="63">
        <v>82020997.379999995</v>
      </c>
      <c r="T8" s="63">
        <v>116808562.99877939</v>
      </c>
      <c r="U8" s="55" t="s">
        <v>81</v>
      </c>
      <c r="V8" s="55" t="s">
        <v>78</v>
      </c>
      <c r="W8" s="55" t="s">
        <v>81</v>
      </c>
      <c r="X8" s="59" t="s">
        <v>78</v>
      </c>
      <c r="Y8" s="59" t="s">
        <v>81</v>
      </c>
      <c r="Z8" s="55">
        <v>0</v>
      </c>
      <c r="AA8" s="55" t="s">
        <v>78</v>
      </c>
      <c r="AB8" s="55">
        <v>0</v>
      </c>
      <c r="AC8" s="55" t="s">
        <v>78</v>
      </c>
      <c r="AD8" s="55">
        <v>0</v>
      </c>
      <c r="AE8" s="55" t="s">
        <v>78</v>
      </c>
      <c r="AF8" s="55">
        <v>0</v>
      </c>
      <c r="AG8" s="55" t="s">
        <v>81</v>
      </c>
      <c r="AH8" s="55" t="s">
        <v>78</v>
      </c>
      <c r="AI8" s="59" t="s">
        <v>81</v>
      </c>
      <c r="AJ8" s="55" t="s">
        <v>78</v>
      </c>
      <c r="AK8" s="55" t="s">
        <v>78</v>
      </c>
      <c r="AL8" s="55" t="s">
        <v>81</v>
      </c>
      <c r="AM8" s="55" t="s">
        <v>81</v>
      </c>
      <c r="AN8" s="55" t="s">
        <v>78</v>
      </c>
      <c r="AO8" s="60" t="s">
        <v>81</v>
      </c>
      <c r="AP8" s="58" t="s">
        <v>104</v>
      </c>
      <c r="AQ8" s="55" t="s">
        <v>101</v>
      </c>
    </row>
    <row r="9" spans="1:43" ht="16.2" hidden="1" x14ac:dyDescent="0.45">
      <c r="A9" s="55" t="s">
        <v>696</v>
      </c>
      <c r="B9" s="55" t="s">
        <v>697</v>
      </c>
      <c r="C9" s="55">
        <v>2018</v>
      </c>
      <c r="D9" s="55" t="s">
        <v>484</v>
      </c>
      <c r="E9" s="56" t="s">
        <v>78</v>
      </c>
      <c r="F9" s="57" t="s">
        <v>525</v>
      </c>
      <c r="G9" s="56" t="s">
        <v>115</v>
      </c>
      <c r="H9" s="55" t="s">
        <v>115</v>
      </c>
      <c r="I9" s="55" t="s">
        <v>689</v>
      </c>
      <c r="J9" s="57" t="s">
        <v>81</v>
      </c>
      <c r="K9" s="55" t="s">
        <v>74</v>
      </c>
      <c r="L9" s="63">
        <v>10300000</v>
      </c>
      <c r="M9" s="63">
        <v>10300000</v>
      </c>
      <c r="N9" s="63">
        <v>14668538.999999998</v>
      </c>
      <c r="O9" s="63">
        <v>10300000</v>
      </c>
      <c r="P9" s="63">
        <v>10300000</v>
      </c>
      <c r="Q9" s="63">
        <v>14668538.999999998</v>
      </c>
      <c r="R9" s="63">
        <v>10300000</v>
      </c>
      <c r="S9" s="63">
        <v>10300000</v>
      </c>
      <c r="T9" s="63">
        <v>14668538.999999998</v>
      </c>
      <c r="U9" s="55" t="s">
        <v>81</v>
      </c>
      <c r="V9" s="55" t="s">
        <v>78</v>
      </c>
      <c r="W9" s="55" t="s">
        <v>81</v>
      </c>
      <c r="X9" s="59" t="s">
        <v>78</v>
      </c>
      <c r="Y9" s="59" t="s">
        <v>81</v>
      </c>
      <c r="Z9" s="55">
        <v>0</v>
      </c>
      <c r="AA9" s="55" t="s">
        <v>78</v>
      </c>
      <c r="AB9" s="55">
        <v>0</v>
      </c>
      <c r="AC9" s="55" t="s">
        <v>78</v>
      </c>
      <c r="AD9" s="55">
        <v>0</v>
      </c>
      <c r="AE9" s="55" t="s">
        <v>78</v>
      </c>
      <c r="AF9" s="55">
        <v>0</v>
      </c>
      <c r="AG9" s="55" t="s">
        <v>81</v>
      </c>
      <c r="AH9" s="55" t="s">
        <v>78</v>
      </c>
      <c r="AI9" s="59" t="s">
        <v>81</v>
      </c>
      <c r="AJ9" s="55" t="s">
        <v>78</v>
      </c>
      <c r="AK9" s="55" t="s">
        <v>78</v>
      </c>
      <c r="AL9" s="55" t="s">
        <v>81</v>
      </c>
      <c r="AM9" s="55" t="s">
        <v>81</v>
      </c>
      <c r="AN9" s="55" t="s">
        <v>78</v>
      </c>
      <c r="AO9" s="60" t="s">
        <v>81</v>
      </c>
      <c r="AP9" s="58" t="s">
        <v>74</v>
      </c>
      <c r="AQ9" s="55" t="s">
        <v>115</v>
      </c>
    </row>
    <row r="10" spans="1:43" ht="16.2" hidden="1" x14ac:dyDescent="0.45">
      <c r="A10" s="55" t="s">
        <v>698</v>
      </c>
      <c r="B10" s="55" t="s">
        <v>699</v>
      </c>
      <c r="C10" s="55">
        <v>2018</v>
      </c>
      <c r="D10" s="55" t="s">
        <v>208</v>
      </c>
      <c r="E10" s="56" t="s">
        <v>78</v>
      </c>
      <c r="F10" s="57" t="s">
        <v>531</v>
      </c>
      <c r="G10" s="56" t="s">
        <v>115</v>
      </c>
      <c r="H10" s="55" t="s">
        <v>115</v>
      </c>
      <c r="I10" s="55" t="s">
        <v>689</v>
      </c>
      <c r="J10" s="57" t="s">
        <v>81</v>
      </c>
      <c r="K10" s="55" t="s">
        <v>126</v>
      </c>
      <c r="L10" s="63">
        <v>1000000</v>
      </c>
      <c r="M10" s="63">
        <v>702183.08721816132</v>
      </c>
      <c r="N10" s="63">
        <v>1000000</v>
      </c>
      <c r="O10" s="63">
        <v>723227.91</v>
      </c>
      <c r="P10" s="63">
        <v>723227.91</v>
      </c>
      <c r="Q10" s="63">
        <v>1029970.5634682999</v>
      </c>
      <c r="R10" s="63">
        <v>723227.91</v>
      </c>
      <c r="S10" s="63">
        <v>723227.91</v>
      </c>
      <c r="T10" s="63">
        <v>1029970.5634682999</v>
      </c>
      <c r="U10" s="55" t="s">
        <v>75</v>
      </c>
      <c r="V10" s="55" t="s">
        <v>700</v>
      </c>
      <c r="W10" s="55" t="s">
        <v>75</v>
      </c>
      <c r="X10" s="59" t="s">
        <v>701</v>
      </c>
      <c r="Y10" s="59" t="s">
        <v>75</v>
      </c>
      <c r="Z10" s="55">
        <v>999</v>
      </c>
      <c r="AA10" s="55" t="s">
        <v>702</v>
      </c>
      <c r="AB10" s="55">
        <v>999</v>
      </c>
      <c r="AC10" s="55" t="s">
        <v>703</v>
      </c>
      <c r="AD10" s="55">
        <v>0</v>
      </c>
      <c r="AE10" s="55" t="s">
        <v>78</v>
      </c>
      <c r="AF10" s="55">
        <v>2</v>
      </c>
      <c r="AG10" s="55" t="s">
        <v>81</v>
      </c>
      <c r="AH10" s="55" t="s">
        <v>78</v>
      </c>
      <c r="AI10" s="59" t="s">
        <v>75</v>
      </c>
      <c r="AJ10" s="55" t="s">
        <v>228</v>
      </c>
      <c r="AK10" s="55" t="s">
        <v>704</v>
      </c>
      <c r="AL10" s="55" t="s">
        <v>81</v>
      </c>
      <c r="AM10" s="55" t="s">
        <v>81</v>
      </c>
      <c r="AN10" s="55" t="s">
        <v>78</v>
      </c>
      <c r="AO10" s="60" t="s">
        <v>75</v>
      </c>
      <c r="AP10" s="58" t="s">
        <v>126</v>
      </c>
      <c r="AQ10" s="55" t="s">
        <v>115</v>
      </c>
    </row>
    <row r="11" spans="1:43" ht="16.2" hidden="1" x14ac:dyDescent="0.45">
      <c r="A11" s="55" t="s">
        <v>705</v>
      </c>
      <c r="B11" s="55" t="s">
        <v>706</v>
      </c>
      <c r="C11" s="55">
        <v>2018</v>
      </c>
      <c r="D11" s="55" t="s">
        <v>513</v>
      </c>
      <c r="E11" s="56" t="s">
        <v>78</v>
      </c>
      <c r="F11" s="57" t="s">
        <v>539</v>
      </c>
      <c r="G11" s="56" t="s">
        <v>228</v>
      </c>
      <c r="H11" s="55" t="s">
        <v>228</v>
      </c>
      <c r="I11" s="55" t="s">
        <v>676</v>
      </c>
      <c r="J11" s="57" t="s">
        <v>81</v>
      </c>
      <c r="K11" s="55" t="s">
        <v>74</v>
      </c>
      <c r="L11" s="63">
        <v>5000000</v>
      </c>
      <c r="M11" s="63">
        <v>5000000</v>
      </c>
      <c r="N11" s="63">
        <v>7120649.9999999991</v>
      </c>
      <c r="O11" s="63">
        <v>5000000</v>
      </c>
      <c r="P11" s="63">
        <v>5000000</v>
      </c>
      <c r="Q11" s="63">
        <v>7120649.9999999991</v>
      </c>
      <c r="R11" s="63">
        <v>5000000</v>
      </c>
      <c r="S11" s="63">
        <v>5000000</v>
      </c>
      <c r="T11" s="63">
        <v>7120649.9999999991</v>
      </c>
      <c r="U11" s="55" t="s">
        <v>75</v>
      </c>
      <c r="V11" s="55" t="s">
        <v>707</v>
      </c>
      <c r="W11" s="55" t="s">
        <v>81</v>
      </c>
      <c r="X11" s="59" t="s">
        <v>78</v>
      </c>
      <c r="Y11" s="59" t="s">
        <v>75</v>
      </c>
      <c r="Z11" s="55">
        <v>0</v>
      </c>
      <c r="AA11" s="55" t="s">
        <v>78</v>
      </c>
      <c r="AB11" s="55">
        <v>999</v>
      </c>
      <c r="AC11" s="55" t="s">
        <v>708</v>
      </c>
      <c r="AD11" s="55">
        <v>0</v>
      </c>
      <c r="AE11" s="55" t="s">
        <v>78</v>
      </c>
      <c r="AF11" s="55">
        <v>1</v>
      </c>
      <c r="AG11" s="55" t="s">
        <v>81</v>
      </c>
      <c r="AH11" s="55" t="s">
        <v>78</v>
      </c>
      <c r="AI11" s="59" t="s">
        <v>75</v>
      </c>
      <c r="AJ11" s="55" t="s">
        <v>228</v>
      </c>
      <c r="AK11" s="55" t="s">
        <v>78</v>
      </c>
      <c r="AL11" s="55" t="s">
        <v>81</v>
      </c>
      <c r="AM11" s="55" t="s">
        <v>81</v>
      </c>
      <c r="AN11" s="55" t="s">
        <v>78</v>
      </c>
      <c r="AO11" s="60" t="s">
        <v>81</v>
      </c>
      <c r="AP11" s="58" t="s">
        <v>74</v>
      </c>
      <c r="AQ11" s="55" t="s">
        <v>228</v>
      </c>
    </row>
    <row r="12" spans="1:43" ht="16.2" hidden="1" x14ac:dyDescent="0.45">
      <c r="A12" s="55" t="s">
        <v>709</v>
      </c>
      <c r="B12" s="55" t="s">
        <v>710</v>
      </c>
      <c r="C12" s="55">
        <v>2018</v>
      </c>
      <c r="D12" s="55" t="s">
        <v>513</v>
      </c>
      <c r="E12" s="56" t="s">
        <v>78</v>
      </c>
      <c r="F12" s="57" t="s">
        <v>539</v>
      </c>
      <c r="G12" s="56" t="s">
        <v>587</v>
      </c>
      <c r="H12" s="55" t="s">
        <v>256</v>
      </c>
      <c r="I12" s="55" t="s">
        <v>676</v>
      </c>
      <c r="J12" s="57" t="s">
        <v>81</v>
      </c>
      <c r="K12" s="55" t="s">
        <v>74</v>
      </c>
      <c r="L12" s="63">
        <v>37270000</v>
      </c>
      <c r="M12" s="63">
        <v>37270000</v>
      </c>
      <c r="N12" s="63">
        <v>53077325.099999994</v>
      </c>
      <c r="O12" s="63">
        <v>7140419.9500000002</v>
      </c>
      <c r="P12" s="63">
        <v>7140419.9500000002</v>
      </c>
      <c r="Q12" s="63">
        <v>10168886.263393499</v>
      </c>
      <c r="R12" s="63">
        <v>5500000</v>
      </c>
      <c r="S12" s="63">
        <v>5500000</v>
      </c>
      <c r="T12" s="63">
        <v>7832714.9999999991</v>
      </c>
      <c r="U12" s="55" t="s">
        <v>75</v>
      </c>
      <c r="V12" s="55" t="s">
        <v>711</v>
      </c>
      <c r="W12" s="55" t="s">
        <v>81</v>
      </c>
      <c r="X12" s="59" t="s">
        <v>78</v>
      </c>
      <c r="Y12" s="59" t="s">
        <v>75</v>
      </c>
      <c r="Z12" s="55">
        <v>999</v>
      </c>
      <c r="AA12" s="55" t="s">
        <v>712</v>
      </c>
      <c r="AB12" s="55">
        <v>999</v>
      </c>
      <c r="AC12" s="55" t="s">
        <v>713</v>
      </c>
      <c r="AD12" s="55">
        <v>0</v>
      </c>
      <c r="AE12" s="55" t="s">
        <v>78</v>
      </c>
      <c r="AF12" s="55">
        <v>2</v>
      </c>
      <c r="AG12" s="55" t="s">
        <v>75</v>
      </c>
      <c r="AH12" s="55" t="s">
        <v>714</v>
      </c>
      <c r="AI12" s="59" t="s">
        <v>75</v>
      </c>
      <c r="AJ12" s="55" t="s">
        <v>256</v>
      </c>
      <c r="AK12" s="55" t="s">
        <v>78</v>
      </c>
      <c r="AL12" s="55" t="s">
        <v>81</v>
      </c>
      <c r="AM12" s="55" t="s">
        <v>81</v>
      </c>
      <c r="AN12" s="55" t="s">
        <v>78</v>
      </c>
      <c r="AO12" s="60" t="s">
        <v>81</v>
      </c>
      <c r="AP12" s="58" t="s">
        <v>74</v>
      </c>
      <c r="AQ12" s="55" t="s">
        <v>256</v>
      </c>
    </row>
    <row r="13" spans="1:43" ht="16.2" hidden="1" x14ac:dyDescent="0.45">
      <c r="A13" s="55" t="s">
        <v>715</v>
      </c>
      <c r="B13" s="55" t="s">
        <v>716</v>
      </c>
      <c r="C13" s="55">
        <v>2018</v>
      </c>
      <c r="D13" s="55" t="s">
        <v>513</v>
      </c>
      <c r="E13" s="56" t="s">
        <v>78</v>
      </c>
      <c r="F13" s="57" t="s">
        <v>539</v>
      </c>
      <c r="G13" s="55" t="s">
        <v>597</v>
      </c>
      <c r="H13" s="55" t="s">
        <v>101</v>
      </c>
      <c r="I13" s="55" t="s">
        <v>676</v>
      </c>
      <c r="J13" s="57" t="s">
        <v>81</v>
      </c>
      <c r="K13" s="55" t="s">
        <v>74</v>
      </c>
      <c r="L13" s="63">
        <v>5000000</v>
      </c>
      <c r="M13" s="63">
        <v>5000000</v>
      </c>
      <c r="N13" s="63">
        <v>7120649.9999999991</v>
      </c>
      <c r="O13" s="63">
        <v>5000000</v>
      </c>
      <c r="P13" s="63">
        <v>5000000</v>
      </c>
      <c r="Q13" s="63">
        <v>7120649.9999999991</v>
      </c>
      <c r="R13" s="63">
        <v>5000000</v>
      </c>
      <c r="S13" s="63">
        <v>5000000</v>
      </c>
      <c r="T13" s="63">
        <v>7120649.9999999991</v>
      </c>
      <c r="U13" s="55" t="s">
        <v>81</v>
      </c>
      <c r="V13" s="55" t="s">
        <v>78</v>
      </c>
      <c r="W13" s="55" t="s">
        <v>81</v>
      </c>
      <c r="X13" s="59" t="s">
        <v>78</v>
      </c>
      <c r="Y13" s="59" t="s">
        <v>81</v>
      </c>
      <c r="Z13" s="55">
        <v>0</v>
      </c>
      <c r="AA13" s="55" t="s">
        <v>78</v>
      </c>
      <c r="AB13" s="55">
        <v>0</v>
      </c>
      <c r="AC13" s="55" t="s">
        <v>78</v>
      </c>
      <c r="AD13" s="55">
        <v>0</v>
      </c>
      <c r="AE13" s="55" t="s">
        <v>78</v>
      </c>
      <c r="AF13" s="55">
        <v>0</v>
      </c>
      <c r="AG13" s="55" t="s">
        <v>81</v>
      </c>
      <c r="AH13" s="55" t="s">
        <v>78</v>
      </c>
      <c r="AI13" s="59" t="s">
        <v>81</v>
      </c>
      <c r="AJ13" s="55" t="s">
        <v>78</v>
      </c>
      <c r="AK13" s="55" t="s">
        <v>78</v>
      </c>
      <c r="AL13" s="55" t="s">
        <v>81</v>
      </c>
      <c r="AM13" s="55" t="s">
        <v>81</v>
      </c>
      <c r="AN13" s="55" t="s">
        <v>78</v>
      </c>
      <c r="AO13" s="60" t="s">
        <v>81</v>
      </c>
      <c r="AP13" s="58" t="s">
        <v>74</v>
      </c>
      <c r="AQ13" s="55" t="s">
        <v>101</v>
      </c>
    </row>
    <row r="14" spans="1:43" ht="16.2" hidden="1" x14ac:dyDescent="0.45">
      <c r="A14" s="55" t="s">
        <v>694</v>
      </c>
      <c r="B14" s="55" t="s">
        <v>717</v>
      </c>
      <c r="C14" s="55">
        <v>2018</v>
      </c>
      <c r="D14" s="55" t="s">
        <v>498</v>
      </c>
      <c r="E14" s="56" t="s">
        <v>78</v>
      </c>
      <c r="F14" s="57" t="s">
        <v>540</v>
      </c>
      <c r="G14" s="55" t="s">
        <v>597</v>
      </c>
      <c r="H14" s="55" t="s">
        <v>101</v>
      </c>
      <c r="I14" s="55" t="s">
        <v>689</v>
      </c>
      <c r="J14" s="57" t="s">
        <v>81</v>
      </c>
      <c r="K14" s="55" t="s">
        <v>74</v>
      </c>
      <c r="L14" s="63">
        <v>10520000</v>
      </c>
      <c r="M14" s="63">
        <v>10520000</v>
      </c>
      <c r="N14" s="63">
        <v>14981847.6</v>
      </c>
      <c r="O14" s="63">
        <v>10504283.619999999</v>
      </c>
      <c r="P14" s="63">
        <v>10504283.619999999</v>
      </c>
      <c r="Q14" s="63">
        <v>14959465.431750597</v>
      </c>
      <c r="R14" s="63">
        <v>10504283.619999999</v>
      </c>
      <c r="S14" s="63">
        <v>10504283.619999999</v>
      </c>
      <c r="T14" s="63">
        <v>14959465.431750597</v>
      </c>
      <c r="U14" s="55" t="s">
        <v>81</v>
      </c>
      <c r="V14" s="55" t="s">
        <v>78</v>
      </c>
      <c r="W14" s="55" t="s">
        <v>81</v>
      </c>
      <c r="X14" s="59" t="s">
        <v>78</v>
      </c>
      <c r="Y14" s="59" t="s">
        <v>81</v>
      </c>
      <c r="Z14" s="55">
        <v>0</v>
      </c>
      <c r="AA14" s="55" t="s">
        <v>78</v>
      </c>
      <c r="AB14" s="55">
        <v>0</v>
      </c>
      <c r="AC14" s="55" t="s">
        <v>78</v>
      </c>
      <c r="AD14" s="55">
        <v>0</v>
      </c>
      <c r="AE14" s="55" t="s">
        <v>78</v>
      </c>
      <c r="AF14" s="55">
        <v>0</v>
      </c>
      <c r="AG14" s="55" t="s">
        <v>81</v>
      </c>
      <c r="AH14" s="55" t="s">
        <v>78</v>
      </c>
      <c r="AI14" s="59" t="s">
        <v>81</v>
      </c>
      <c r="AJ14" s="55" t="s">
        <v>78</v>
      </c>
      <c r="AK14" s="55" t="s">
        <v>78</v>
      </c>
      <c r="AL14" s="55" t="s">
        <v>81</v>
      </c>
      <c r="AM14" s="55" t="s">
        <v>81</v>
      </c>
      <c r="AN14" s="55" t="s">
        <v>78</v>
      </c>
      <c r="AO14" s="60" t="s">
        <v>81</v>
      </c>
      <c r="AP14" s="58" t="s">
        <v>74</v>
      </c>
      <c r="AQ14" s="55" t="s">
        <v>101</v>
      </c>
    </row>
    <row r="15" spans="1:43" ht="16.2" hidden="1" x14ac:dyDescent="0.45">
      <c r="A15" s="55" t="s">
        <v>718</v>
      </c>
      <c r="B15" s="55" t="s">
        <v>719</v>
      </c>
      <c r="C15" s="55">
        <v>2018</v>
      </c>
      <c r="D15" s="55" t="s">
        <v>498</v>
      </c>
      <c r="E15" s="56" t="s">
        <v>78</v>
      </c>
      <c r="F15" s="57" t="s">
        <v>540</v>
      </c>
      <c r="G15" s="55" t="s">
        <v>596</v>
      </c>
      <c r="H15" s="55" t="s">
        <v>101</v>
      </c>
      <c r="I15" s="55" t="s">
        <v>676</v>
      </c>
      <c r="J15" s="57" t="s">
        <v>81</v>
      </c>
      <c r="K15" s="55" t="s">
        <v>74</v>
      </c>
      <c r="L15" s="63">
        <v>6000000</v>
      </c>
      <c r="M15" s="63">
        <v>6000000</v>
      </c>
      <c r="N15" s="63">
        <v>8544780</v>
      </c>
      <c r="O15" s="63">
        <v>6000000</v>
      </c>
      <c r="P15" s="63">
        <v>6000000</v>
      </c>
      <c r="Q15" s="63">
        <v>8544780</v>
      </c>
      <c r="R15" s="63">
        <v>6000000</v>
      </c>
      <c r="S15" s="63">
        <v>6000000</v>
      </c>
      <c r="T15" s="63">
        <v>8544780</v>
      </c>
      <c r="U15" s="55" t="s">
        <v>81</v>
      </c>
      <c r="V15" s="55" t="s">
        <v>78</v>
      </c>
      <c r="W15" s="55" t="s">
        <v>81</v>
      </c>
      <c r="X15" s="59" t="s">
        <v>78</v>
      </c>
      <c r="Y15" s="59" t="s">
        <v>81</v>
      </c>
      <c r="Z15" s="55">
        <v>0</v>
      </c>
      <c r="AA15" s="55" t="s">
        <v>78</v>
      </c>
      <c r="AB15" s="55">
        <v>0</v>
      </c>
      <c r="AC15" s="55" t="s">
        <v>78</v>
      </c>
      <c r="AD15" s="55">
        <v>0</v>
      </c>
      <c r="AE15" s="55" t="s">
        <v>78</v>
      </c>
      <c r="AF15" s="55">
        <v>0</v>
      </c>
      <c r="AG15" s="55" t="s">
        <v>81</v>
      </c>
      <c r="AH15" s="55" t="s">
        <v>78</v>
      </c>
      <c r="AI15" s="59" t="s">
        <v>81</v>
      </c>
      <c r="AJ15" s="55" t="s">
        <v>78</v>
      </c>
      <c r="AK15" s="55" t="s">
        <v>78</v>
      </c>
      <c r="AL15" s="55" t="s">
        <v>81</v>
      </c>
      <c r="AM15" s="55" t="s">
        <v>81</v>
      </c>
      <c r="AN15" s="55" t="s">
        <v>78</v>
      </c>
      <c r="AO15" s="60" t="s">
        <v>81</v>
      </c>
      <c r="AP15" s="58" t="s">
        <v>74</v>
      </c>
      <c r="AQ15" s="55" t="s">
        <v>101</v>
      </c>
    </row>
    <row r="16" spans="1:43" ht="16.2" hidden="1" x14ac:dyDescent="0.45">
      <c r="A16" s="55" t="s">
        <v>720</v>
      </c>
      <c r="B16" s="55" t="s">
        <v>721</v>
      </c>
      <c r="C16" s="55">
        <v>2018</v>
      </c>
      <c r="D16" s="55" t="s">
        <v>498</v>
      </c>
      <c r="E16" s="56" t="s">
        <v>78</v>
      </c>
      <c r="F16" s="57" t="s">
        <v>540</v>
      </c>
      <c r="G16" s="56" t="s">
        <v>228</v>
      </c>
      <c r="H16" s="55" t="s">
        <v>228</v>
      </c>
      <c r="I16" s="55" t="s">
        <v>689</v>
      </c>
      <c r="J16" s="57" t="s">
        <v>81</v>
      </c>
      <c r="K16" s="55" t="s">
        <v>74</v>
      </c>
      <c r="L16" s="63">
        <v>990000</v>
      </c>
      <c r="M16" s="63">
        <v>990000</v>
      </c>
      <c r="N16" s="63">
        <v>1409888.7</v>
      </c>
      <c r="O16" s="63">
        <v>990000</v>
      </c>
      <c r="P16" s="63">
        <v>990000</v>
      </c>
      <c r="Q16" s="63">
        <v>1409888.7</v>
      </c>
      <c r="R16" s="63">
        <v>990000</v>
      </c>
      <c r="S16" s="63">
        <v>990000</v>
      </c>
      <c r="T16" s="63">
        <v>1409888.7</v>
      </c>
      <c r="U16" s="55" t="s">
        <v>81</v>
      </c>
      <c r="V16" s="55" t="s">
        <v>78</v>
      </c>
      <c r="W16" s="55" t="s">
        <v>81</v>
      </c>
      <c r="X16" s="59" t="s">
        <v>78</v>
      </c>
      <c r="Y16" s="59" t="s">
        <v>81</v>
      </c>
      <c r="Z16" s="55">
        <v>0</v>
      </c>
      <c r="AA16" s="55" t="s">
        <v>78</v>
      </c>
      <c r="AB16" s="55">
        <v>0</v>
      </c>
      <c r="AC16" s="55" t="s">
        <v>78</v>
      </c>
      <c r="AD16" s="55">
        <v>0</v>
      </c>
      <c r="AE16" s="55" t="s">
        <v>78</v>
      </c>
      <c r="AF16" s="55">
        <v>0</v>
      </c>
      <c r="AG16" s="55" t="s">
        <v>81</v>
      </c>
      <c r="AH16" s="55" t="s">
        <v>78</v>
      </c>
      <c r="AI16" s="59" t="s">
        <v>81</v>
      </c>
      <c r="AJ16" s="55" t="s">
        <v>78</v>
      </c>
      <c r="AK16" s="55" t="s">
        <v>78</v>
      </c>
      <c r="AL16" s="55" t="s">
        <v>81</v>
      </c>
      <c r="AM16" s="55" t="s">
        <v>81</v>
      </c>
      <c r="AN16" s="55" t="s">
        <v>78</v>
      </c>
      <c r="AO16" s="60" t="s">
        <v>81</v>
      </c>
      <c r="AP16" s="58" t="s">
        <v>74</v>
      </c>
      <c r="AQ16" s="55" t="s">
        <v>228</v>
      </c>
    </row>
    <row r="17" spans="1:43" ht="17.399999999999999" hidden="1" customHeight="1" x14ac:dyDescent="0.45">
      <c r="A17" s="55" t="s">
        <v>722</v>
      </c>
      <c r="B17" s="55" t="s">
        <v>723</v>
      </c>
      <c r="C17" s="55">
        <v>2018</v>
      </c>
      <c r="D17" s="55" t="s">
        <v>371</v>
      </c>
      <c r="E17" s="56" t="s">
        <v>78</v>
      </c>
      <c r="F17" s="57" t="s">
        <v>542</v>
      </c>
      <c r="G17" s="56" t="s">
        <v>228</v>
      </c>
      <c r="H17" s="55" t="s">
        <v>228</v>
      </c>
      <c r="I17" s="55" t="s">
        <v>676</v>
      </c>
      <c r="J17" s="57" t="s">
        <v>81</v>
      </c>
      <c r="K17" s="55" t="s">
        <v>74</v>
      </c>
      <c r="L17" s="63">
        <v>4560000</v>
      </c>
      <c r="M17" s="63">
        <v>4560000</v>
      </c>
      <c r="N17" s="63">
        <v>6494032.7999999998</v>
      </c>
      <c r="O17" s="63">
        <v>4215000</v>
      </c>
      <c r="P17" s="63">
        <v>4215000</v>
      </c>
      <c r="Q17" s="63">
        <v>6002707.9499999993</v>
      </c>
      <c r="R17" s="63">
        <v>4215000</v>
      </c>
      <c r="S17" s="63">
        <v>4215000</v>
      </c>
      <c r="T17" s="63">
        <v>6002707.9499999993</v>
      </c>
      <c r="U17" s="55" t="s">
        <v>75</v>
      </c>
      <c r="V17" s="55" t="s">
        <v>724</v>
      </c>
      <c r="W17" s="55" t="s">
        <v>75</v>
      </c>
      <c r="X17" s="59" t="s">
        <v>725</v>
      </c>
      <c r="Y17" s="59" t="s">
        <v>75</v>
      </c>
      <c r="Z17" s="55">
        <v>999</v>
      </c>
      <c r="AA17" s="78" t="s">
        <v>726</v>
      </c>
      <c r="AB17" s="55">
        <v>0</v>
      </c>
      <c r="AC17" s="55" t="s">
        <v>78</v>
      </c>
      <c r="AD17" s="55">
        <v>0</v>
      </c>
      <c r="AE17" s="55" t="s">
        <v>78</v>
      </c>
      <c r="AF17" s="55">
        <v>2</v>
      </c>
      <c r="AG17" s="55" t="s">
        <v>81</v>
      </c>
      <c r="AH17" s="55" t="s">
        <v>78</v>
      </c>
      <c r="AI17" s="59" t="s">
        <v>75</v>
      </c>
      <c r="AJ17" s="55" t="s">
        <v>228</v>
      </c>
      <c r="AK17" s="55" t="s">
        <v>78</v>
      </c>
      <c r="AL17" s="55" t="s">
        <v>81</v>
      </c>
      <c r="AM17" s="55" t="s">
        <v>81</v>
      </c>
      <c r="AN17" s="55" t="s">
        <v>78</v>
      </c>
      <c r="AO17" s="60" t="s">
        <v>75</v>
      </c>
      <c r="AP17" s="58" t="s">
        <v>74</v>
      </c>
      <c r="AQ17" s="55" t="s">
        <v>228</v>
      </c>
    </row>
    <row r="18" spans="1:43" ht="16.2" hidden="1" x14ac:dyDescent="0.45">
      <c r="A18" s="55" t="s">
        <v>727</v>
      </c>
      <c r="B18" s="55" t="s">
        <v>728</v>
      </c>
      <c r="C18" s="55">
        <v>2018</v>
      </c>
      <c r="D18" s="55" t="s">
        <v>371</v>
      </c>
      <c r="E18" s="56" t="s">
        <v>78</v>
      </c>
      <c r="F18" s="57" t="s">
        <v>542</v>
      </c>
      <c r="G18" s="56" t="s">
        <v>228</v>
      </c>
      <c r="H18" s="55" t="s">
        <v>228</v>
      </c>
      <c r="I18" s="55" t="s">
        <v>689</v>
      </c>
      <c r="J18" s="57" t="s">
        <v>81</v>
      </c>
      <c r="K18" s="55" t="s">
        <v>126</v>
      </c>
      <c r="L18" s="63">
        <v>1000000</v>
      </c>
      <c r="M18" s="63">
        <v>702183.08721816132</v>
      </c>
      <c r="N18" s="63">
        <v>1000000</v>
      </c>
      <c r="O18" s="63">
        <v>723227.91</v>
      </c>
      <c r="P18" s="63">
        <v>723227.91</v>
      </c>
      <c r="Q18" s="63">
        <v>1029970.5634682999</v>
      </c>
      <c r="R18" s="63">
        <v>723227.91</v>
      </c>
      <c r="S18" s="63">
        <v>723227.91</v>
      </c>
      <c r="T18" s="63">
        <v>1029970.5634682999</v>
      </c>
      <c r="U18" s="55" t="s">
        <v>75</v>
      </c>
      <c r="V18" s="55" t="s">
        <v>729</v>
      </c>
      <c r="W18" s="55" t="s">
        <v>81</v>
      </c>
      <c r="X18" s="59" t="s">
        <v>78</v>
      </c>
      <c r="Y18" s="59" t="s">
        <v>81</v>
      </c>
      <c r="Z18" s="55">
        <v>0</v>
      </c>
      <c r="AA18" s="55" t="s">
        <v>78</v>
      </c>
      <c r="AB18" s="55">
        <v>0</v>
      </c>
      <c r="AC18" s="55" t="s">
        <v>78</v>
      </c>
      <c r="AD18" s="55">
        <v>0</v>
      </c>
      <c r="AE18" s="55" t="s">
        <v>78</v>
      </c>
      <c r="AF18" s="55">
        <v>0</v>
      </c>
      <c r="AG18" s="55" t="s">
        <v>81</v>
      </c>
      <c r="AH18" s="55" t="s">
        <v>78</v>
      </c>
      <c r="AI18" s="59" t="s">
        <v>81</v>
      </c>
      <c r="AJ18" s="55" t="s">
        <v>78</v>
      </c>
      <c r="AK18" s="55" t="s">
        <v>78</v>
      </c>
      <c r="AL18" s="55" t="s">
        <v>81</v>
      </c>
      <c r="AM18" s="55" t="s">
        <v>81</v>
      </c>
      <c r="AN18" s="55" t="s">
        <v>78</v>
      </c>
      <c r="AO18" s="60" t="s">
        <v>81</v>
      </c>
      <c r="AP18" s="58" t="s">
        <v>126</v>
      </c>
      <c r="AQ18" s="55" t="s">
        <v>228</v>
      </c>
    </row>
    <row r="19" spans="1:43" ht="16.2" hidden="1" x14ac:dyDescent="0.45">
      <c r="A19" s="55" t="s">
        <v>730</v>
      </c>
      <c r="B19" s="55" t="s">
        <v>731</v>
      </c>
      <c r="C19" s="55">
        <v>2018</v>
      </c>
      <c r="D19" s="55" t="s">
        <v>377</v>
      </c>
      <c r="E19" s="56" t="s">
        <v>78</v>
      </c>
      <c r="F19" s="57" t="s">
        <v>544</v>
      </c>
      <c r="G19" s="55" t="s">
        <v>597</v>
      </c>
      <c r="H19" s="55" t="s">
        <v>101</v>
      </c>
      <c r="I19" s="55" t="s">
        <v>689</v>
      </c>
      <c r="J19" s="57" t="s">
        <v>81</v>
      </c>
      <c r="K19" s="55" t="s">
        <v>74</v>
      </c>
      <c r="L19" s="63">
        <v>7000000</v>
      </c>
      <c r="M19" s="63">
        <v>7000000</v>
      </c>
      <c r="N19" s="63">
        <v>9968910</v>
      </c>
      <c r="O19" s="63">
        <v>7000000</v>
      </c>
      <c r="P19" s="63">
        <v>7000000</v>
      </c>
      <c r="Q19" s="63">
        <v>9968910</v>
      </c>
      <c r="R19" s="63">
        <v>7000000</v>
      </c>
      <c r="S19" s="63">
        <v>7000000</v>
      </c>
      <c r="T19" s="63">
        <v>9968910</v>
      </c>
      <c r="U19" s="55" t="s">
        <v>81</v>
      </c>
      <c r="V19" s="55" t="s">
        <v>78</v>
      </c>
      <c r="W19" s="55" t="s">
        <v>81</v>
      </c>
      <c r="X19" s="59" t="s">
        <v>78</v>
      </c>
      <c r="Y19" s="59" t="s">
        <v>81</v>
      </c>
      <c r="Z19" s="55">
        <v>0</v>
      </c>
      <c r="AA19" s="55" t="s">
        <v>78</v>
      </c>
      <c r="AB19" s="55">
        <v>0</v>
      </c>
      <c r="AC19" s="55" t="s">
        <v>78</v>
      </c>
      <c r="AD19" s="55">
        <v>0</v>
      </c>
      <c r="AE19" s="55" t="s">
        <v>78</v>
      </c>
      <c r="AF19" s="55">
        <v>0</v>
      </c>
      <c r="AG19" s="55" t="s">
        <v>81</v>
      </c>
      <c r="AH19" s="55" t="s">
        <v>78</v>
      </c>
      <c r="AI19" s="59" t="s">
        <v>81</v>
      </c>
      <c r="AJ19" s="55" t="s">
        <v>78</v>
      </c>
      <c r="AK19" s="55" t="s">
        <v>78</v>
      </c>
      <c r="AL19" s="55" t="s">
        <v>81</v>
      </c>
      <c r="AM19" s="55" t="s">
        <v>81</v>
      </c>
      <c r="AN19" s="55" t="s">
        <v>78</v>
      </c>
      <c r="AO19" s="60" t="s">
        <v>81</v>
      </c>
      <c r="AP19" s="58" t="s">
        <v>74</v>
      </c>
      <c r="AQ19" s="55" t="s">
        <v>101</v>
      </c>
    </row>
    <row r="20" spans="1:43" ht="16.2" x14ac:dyDescent="0.45">
      <c r="A20" s="55" t="s">
        <v>732</v>
      </c>
      <c r="B20" s="55" t="s">
        <v>733</v>
      </c>
      <c r="C20" s="55">
        <v>2018</v>
      </c>
      <c r="D20" s="55" t="s">
        <v>502</v>
      </c>
      <c r="E20" s="56" t="s">
        <v>78</v>
      </c>
      <c r="F20" s="57" t="s">
        <v>548</v>
      </c>
      <c r="G20" s="56" t="s">
        <v>573</v>
      </c>
      <c r="H20" s="55" t="s">
        <v>466</v>
      </c>
      <c r="I20" s="55" t="s">
        <v>676</v>
      </c>
      <c r="J20" s="57" t="s">
        <v>81</v>
      </c>
      <c r="K20" s="55" t="s">
        <v>74</v>
      </c>
      <c r="L20" s="63">
        <v>10500000</v>
      </c>
      <c r="M20" s="63">
        <v>10500000</v>
      </c>
      <c r="N20" s="63">
        <v>14953364.999999998</v>
      </c>
      <c r="O20" s="63">
        <v>10000000</v>
      </c>
      <c r="P20" s="63">
        <v>10000000</v>
      </c>
      <c r="Q20" s="63">
        <v>14241299.999999998</v>
      </c>
      <c r="R20" s="63">
        <v>10000000</v>
      </c>
      <c r="S20" s="63">
        <v>10000000</v>
      </c>
      <c r="T20" s="63">
        <v>14241299.999999998</v>
      </c>
      <c r="U20" s="55" t="s">
        <v>81</v>
      </c>
      <c r="V20" s="55" t="s">
        <v>78</v>
      </c>
      <c r="W20" s="55" t="s">
        <v>81</v>
      </c>
      <c r="X20" s="59" t="s">
        <v>78</v>
      </c>
      <c r="Y20" s="59" t="s">
        <v>81</v>
      </c>
      <c r="Z20" s="55">
        <v>0</v>
      </c>
      <c r="AA20" s="55" t="s">
        <v>78</v>
      </c>
      <c r="AB20" s="55">
        <v>0</v>
      </c>
      <c r="AC20" s="55" t="s">
        <v>78</v>
      </c>
      <c r="AD20" s="55">
        <v>0</v>
      </c>
      <c r="AE20" s="55" t="s">
        <v>78</v>
      </c>
      <c r="AF20" s="55">
        <v>0</v>
      </c>
      <c r="AG20" s="55" t="s">
        <v>81</v>
      </c>
      <c r="AH20" s="55" t="s">
        <v>78</v>
      </c>
      <c r="AI20" s="59" t="s">
        <v>81</v>
      </c>
      <c r="AJ20" s="55" t="s">
        <v>78</v>
      </c>
      <c r="AK20" s="55" t="s">
        <v>78</v>
      </c>
      <c r="AL20" s="55" t="s">
        <v>81</v>
      </c>
      <c r="AM20" s="55" t="s">
        <v>81</v>
      </c>
      <c r="AN20" s="55" t="s">
        <v>78</v>
      </c>
      <c r="AO20" s="60" t="s">
        <v>81</v>
      </c>
      <c r="AP20" s="58" t="s">
        <v>74</v>
      </c>
      <c r="AQ20" s="55" t="s">
        <v>466</v>
      </c>
    </row>
    <row r="21" spans="1:43" ht="16.2" hidden="1" x14ac:dyDescent="0.45">
      <c r="A21" s="55" t="s">
        <v>734</v>
      </c>
      <c r="B21" s="55" t="s">
        <v>735</v>
      </c>
      <c r="C21" s="55">
        <v>2018</v>
      </c>
      <c r="D21" s="55" t="s">
        <v>502</v>
      </c>
      <c r="E21" s="56" t="s">
        <v>78</v>
      </c>
      <c r="F21" s="57" t="s">
        <v>548</v>
      </c>
      <c r="G21" s="56" t="s">
        <v>599</v>
      </c>
      <c r="H21" s="55" t="s">
        <v>101</v>
      </c>
      <c r="I21" s="55" t="s">
        <v>689</v>
      </c>
      <c r="J21" s="57" t="s">
        <v>81</v>
      </c>
      <c r="K21" s="55" t="s">
        <v>74</v>
      </c>
      <c r="L21" s="63">
        <v>11000000</v>
      </c>
      <c r="M21" s="63">
        <v>11000000</v>
      </c>
      <c r="N21" s="63">
        <v>15665429.999999998</v>
      </c>
      <c r="O21" s="63">
        <v>10000000</v>
      </c>
      <c r="P21" s="63">
        <v>10000000</v>
      </c>
      <c r="Q21" s="63">
        <v>14241299.999999998</v>
      </c>
      <c r="R21" s="63">
        <v>10000000</v>
      </c>
      <c r="S21" s="63">
        <v>10000000</v>
      </c>
      <c r="T21" s="63">
        <v>14241299.999999998</v>
      </c>
      <c r="U21" s="55" t="s">
        <v>81</v>
      </c>
      <c r="V21" s="55" t="s">
        <v>78</v>
      </c>
      <c r="W21" s="55" t="s">
        <v>81</v>
      </c>
      <c r="X21" s="59" t="s">
        <v>78</v>
      </c>
      <c r="Y21" s="59" t="s">
        <v>81</v>
      </c>
      <c r="Z21" s="55">
        <v>0</v>
      </c>
      <c r="AA21" s="55" t="s">
        <v>78</v>
      </c>
      <c r="AB21" s="55">
        <v>0</v>
      </c>
      <c r="AC21" s="55" t="s">
        <v>78</v>
      </c>
      <c r="AD21" s="55">
        <v>0</v>
      </c>
      <c r="AE21" s="55" t="s">
        <v>78</v>
      </c>
      <c r="AF21" s="55">
        <v>0</v>
      </c>
      <c r="AG21" s="55" t="s">
        <v>81</v>
      </c>
      <c r="AH21" s="55" t="s">
        <v>78</v>
      </c>
      <c r="AI21" s="59" t="s">
        <v>81</v>
      </c>
      <c r="AJ21" s="55" t="s">
        <v>78</v>
      </c>
      <c r="AK21" s="55" t="s">
        <v>78</v>
      </c>
      <c r="AL21" s="55" t="s">
        <v>81</v>
      </c>
      <c r="AM21" s="55" t="s">
        <v>81</v>
      </c>
      <c r="AN21" s="55" t="s">
        <v>78</v>
      </c>
      <c r="AO21" s="60" t="s">
        <v>81</v>
      </c>
      <c r="AP21" s="58" t="s">
        <v>74</v>
      </c>
      <c r="AQ21" s="55" t="s">
        <v>101</v>
      </c>
    </row>
    <row r="22" spans="1:43" ht="16.2" hidden="1" x14ac:dyDescent="0.45">
      <c r="A22" s="55" t="s">
        <v>736</v>
      </c>
      <c r="B22" s="55" t="s">
        <v>737</v>
      </c>
      <c r="C22" s="55">
        <v>2018</v>
      </c>
      <c r="D22" s="55" t="s">
        <v>502</v>
      </c>
      <c r="E22" s="56" t="s">
        <v>78</v>
      </c>
      <c r="F22" s="57" t="s">
        <v>548</v>
      </c>
      <c r="G22" s="55" t="s">
        <v>597</v>
      </c>
      <c r="H22" s="55" t="s">
        <v>101</v>
      </c>
      <c r="I22" s="55" t="s">
        <v>689</v>
      </c>
      <c r="J22" s="57" t="s">
        <v>81</v>
      </c>
      <c r="K22" s="55" t="s">
        <v>74</v>
      </c>
      <c r="L22" s="63">
        <v>9000000</v>
      </c>
      <c r="M22" s="63">
        <v>9000000</v>
      </c>
      <c r="N22" s="63">
        <v>12817169.999999998</v>
      </c>
      <c r="O22" s="63">
        <v>9000000</v>
      </c>
      <c r="P22" s="63">
        <v>9000000</v>
      </c>
      <c r="Q22" s="63">
        <v>12817169.999999998</v>
      </c>
      <c r="R22" s="63">
        <v>9000000</v>
      </c>
      <c r="S22" s="63">
        <v>9000000</v>
      </c>
      <c r="T22" s="63">
        <v>12817169.999999998</v>
      </c>
      <c r="U22" s="55" t="s">
        <v>81</v>
      </c>
      <c r="V22" s="55" t="s">
        <v>78</v>
      </c>
      <c r="W22" s="55" t="s">
        <v>81</v>
      </c>
      <c r="X22" s="59" t="s">
        <v>78</v>
      </c>
      <c r="Y22" s="59" t="s">
        <v>81</v>
      </c>
      <c r="Z22" s="55">
        <v>0</v>
      </c>
      <c r="AA22" s="55" t="s">
        <v>78</v>
      </c>
      <c r="AB22" s="55">
        <v>0</v>
      </c>
      <c r="AC22" s="55" t="s">
        <v>78</v>
      </c>
      <c r="AD22" s="55">
        <v>0</v>
      </c>
      <c r="AE22" s="55" t="s">
        <v>78</v>
      </c>
      <c r="AF22" s="55">
        <v>0</v>
      </c>
      <c r="AG22" s="55" t="s">
        <v>81</v>
      </c>
      <c r="AH22" s="55" t="s">
        <v>78</v>
      </c>
      <c r="AI22" s="59" t="s">
        <v>81</v>
      </c>
      <c r="AJ22" s="55" t="s">
        <v>78</v>
      </c>
      <c r="AK22" s="55" t="s">
        <v>78</v>
      </c>
      <c r="AL22" s="55" t="s">
        <v>81</v>
      </c>
      <c r="AM22" s="55" t="s">
        <v>81</v>
      </c>
      <c r="AN22" s="55" t="s">
        <v>78</v>
      </c>
      <c r="AO22" s="60" t="s">
        <v>81</v>
      </c>
      <c r="AP22" s="58" t="s">
        <v>74</v>
      </c>
      <c r="AQ22" s="55" t="s">
        <v>101</v>
      </c>
    </row>
    <row r="23" spans="1:43" ht="16.2" hidden="1" x14ac:dyDescent="0.45">
      <c r="A23" s="55" t="s">
        <v>738</v>
      </c>
      <c r="B23" s="55" t="s">
        <v>739</v>
      </c>
      <c r="C23" s="55">
        <v>2018</v>
      </c>
      <c r="D23" s="55" t="s">
        <v>502</v>
      </c>
      <c r="E23" s="56" t="s">
        <v>78</v>
      </c>
      <c r="F23" s="57" t="s">
        <v>548</v>
      </c>
      <c r="G23" s="55" t="s">
        <v>597</v>
      </c>
      <c r="H23" s="55" t="s">
        <v>101</v>
      </c>
      <c r="I23" s="55" t="s">
        <v>676</v>
      </c>
      <c r="J23" s="57" t="s">
        <v>81</v>
      </c>
      <c r="K23" s="55" t="s">
        <v>74</v>
      </c>
      <c r="L23" s="63">
        <v>23150600</v>
      </c>
      <c r="M23" s="63">
        <v>23150600</v>
      </c>
      <c r="N23" s="63">
        <v>32969463.977999996</v>
      </c>
      <c r="O23" s="63">
        <v>23150600</v>
      </c>
      <c r="P23" s="63">
        <v>23150600</v>
      </c>
      <c r="Q23" s="63">
        <v>32969463.977999996</v>
      </c>
      <c r="R23" s="63">
        <v>23150600</v>
      </c>
      <c r="S23" s="63">
        <v>23150600</v>
      </c>
      <c r="T23" s="63">
        <v>32969463.977999996</v>
      </c>
      <c r="U23" s="55" t="s">
        <v>81</v>
      </c>
      <c r="V23" s="55" t="s">
        <v>78</v>
      </c>
      <c r="W23" s="55" t="s">
        <v>81</v>
      </c>
      <c r="X23" s="59" t="s">
        <v>78</v>
      </c>
      <c r="Y23" s="59" t="s">
        <v>81</v>
      </c>
      <c r="Z23" s="55">
        <v>0</v>
      </c>
      <c r="AA23" s="55" t="s">
        <v>78</v>
      </c>
      <c r="AB23" s="55">
        <v>0</v>
      </c>
      <c r="AC23" s="55" t="s">
        <v>78</v>
      </c>
      <c r="AD23" s="55">
        <v>0</v>
      </c>
      <c r="AE23" s="55" t="s">
        <v>78</v>
      </c>
      <c r="AF23" s="55">
        <v>0</v>
      </c>
      <c r="AG23" s="55" t="s">
        <v>81</v>
      </c>
      <c r="AH23" s="55" t="s">
        <v>78</v>
      </c>
      <c r="AI23" s="59" t="s">
        <v>81</v>
      </c>
      <c r="AJ23" s="55" t="s">
        <v>78</v>
      </c>
      <c r="AK23" s="55" t="s">
        <v>78</v>
      </c>
      <c r="AL23" s="55" t="s">
        <v>81</v>
      </c>
      <c r="AM23" s="55" t="s">
        <v>81</v>
      </c>
      <c r="AN23" s="55" t="s">
        <v>78</v>
      </c>
      <c r="AO23" s="60" t="s">
        <v>81</v>
      </c>
      <c r="AP23" s="58" t="s">
        <v>74</v>
      </c>
      <c r="AQ23" s="55" t="s">
        <v>101</v>
      </c>
    </row>
    <row r="24" spans="1:43" ht="16.2" hidden="1" x14ac:dyDescent="0.45">
      <c r="A24" s="55" t="s">
        <v>740</v>
      </c>
      <c r="B24" s="55" t="s">
        <v>741</v>
      </c>
      <c r="C24" s="55">
        <v>2018</v>
      </c>
      <c r="D24" s="55" t="s">
        <v>273</v>
      </c>
      <c r="E24" s="56" t="s">
        <v>78</v>
      </c>
      <c r="F24" s="57" t="s">
        <v>549</v>
      </c>
      <c r="G24" s="56" t="s">
        <v>115</v>
      </c>
      <c r="H24" s="55" t="s">
        <v>115</v>
      </c>
      <c r="I24" s="55" t="s">
        <v>676</v>
      </c>
      <c r="J24" s="57" t="s">
        <v>81</v>
      </c>
      <c r="K24" s="55" t="s">
        <v>74</v>
      </c>
      <c r="L24" s="63">
        <v>5645360</v>
      </c>
      <c r="M24" s="63">
        <v>5645360</v>
      </c>
      <c r="N24" s="63">
        <v>8039726.536799999</v>
      </c>
      <c r="O24" s="63">
        <v>3145360</v>
      </c>
      <c r="P24" s="63">
        <v>3145360</v>
      </c>
      <c r="Q24" s="63">
        <v>4479401.5367999999</v>
      </c>
      <c r="R24" s="63">
        <v>3145360</v>
      </c>
      <c r="S24" s="63">
        <v>3145360</v>
      </c>
      <c r="T24" s="63">
        <v>4479401.5367999999</v>
      </c>
      <c r="U24" s="55" t="s">
        <v>81</v>
      </c>
      <c r="V24" s="55" t="s">
        <v>78</v>
      </c>
      <c r="W24" s="55" t="s">
        <v>81</v>
      </c>
      <c r="X24" s="59" t="s">
        <v>78</v>
      </c>
      <c r="Y24" s="59" t="s">
        <v>81</v>
      </c>
      <c r="Z24" s="55">
        <v>0</v>
      </c>
      <c r="AA24" s="55" t="s">
        <v>78</v>
      </c>
      <c r="AB24" s="55">
        <v>0</v>
      </c>
      <c r="AC24" s="55" t="s">
        <v>78</v>
      </c>
      <c r="AD24" s="55">
        <v>0</v>
      </c>
      <c r="AE24" s="55" t="s">
        <v>78</v>
      </c>
      <c r="AF24" s="55">
        <v>0</v>
      </c>
      <c r="AG24" s="55" t="s">
        <v>81</v>
      </c>
      <c r="AH24" s="55" t="s">
        <v>78</v>
      </c>
      <c r="AI24" s="59" t="s">
        <v>81</v>
      </c>
      <c r="AJ24" s="55" t="s">
        <v>78</v>
      </c>
      <c r="AK24" s="55" t="s">
        <v>78</v>
      </c>
      <c r="AL24" s="55" t="s">
        <v>81</v>
      </c>
      <c r="AM24" s="55" t="s">
        <v>81</v>
      </c>
      <c r="AN24" s="55" t="s">
        <v>78</v>
      </c>
      <c r="AO24" s="60" t="s">
        <v>81</v>
      </c>
      <c r="AP24" s="58" t="s">
        <v>74</v>
      </c>
      <c r="AQ24" s="55" t="s">
        <v>115</v>
      </c>
    </row>
    <row r="25" spans="1:43" ht="16.2" hidden="1" x14ac:dyDescent="0.45">
      <c r="A25" s="55" t="s">
        <v>742</v>
      </c>
      <c r="B25" s="55" t="s">
        <v>743</v>
      </c>
      <c r="C25" s="55">
        <v>2018</v>
      </c>
      <c r="D25" s="55" t="s">
        <v>273</v>
      </c>
      <c r="E25" s="56" t="s">
        <v>78</v>
      </c>
      <c r="F25" s="57" t="s">
        <v>549</v>
      </c>
      <c r="G25" s="56" t="s">
        <v>596</v>
      </c>
      <c r="H25" s="55" t="s">
        <v>101</v>
      </c>
      <c r="I25" s="55" t="s">
        <v>689</v>
      </c>
      <c r="J25" s="57" t="s">
        <v>81</v>
      </c>
      <c r="K25" s="55" t="s">
        <v>74</v>
      </c>
      <c r="L25" s="63">
        <v>6700640</v>
      </c>
      <c r="M25" s="63">
        <v>6700640</v>
      </c>
      <c r="N25" s="63">
        <v>9542582.4431999996</v>
      </c>
      <c r="O25" s="63">
        <v>6700640</v>
      </c>
      <c r="P25" s="63">
        <v>6700640</v>
      </c>
      <c r="Q25" s="63">
        <v>9542582.4431999996</v>
      </c>
      <c r="R25" s="63">
        <v>6700640</v>
      </c>
      <c r="S25" s="63">
        <v>6700640</v>
      </c>
      <c r="T25" s="63">
        <v>9542582.4431999996</v>
      </c>
      <c r="U25" s="55" t="s">
        <v>81</v>
      </c>
      <c r="V25" s="55" t="s">
        <v>78</v>
      </c>
      <c r="W25" s="55" t="s">
        <v>81</v>
      </c>
      <c r="X25" s="59" t="s">
        <v>78</v>
      </c>
      <c r="Y25" s="59" t="s">
        <v>81</v>
      </c>
      <c r="Z25" s="55">
        <v>0</v>
      </c>
      <c r="AA25" s="55" t="s">
        <v>78</v>
      </c>
      <c r="AB25" s="55">
        <v>0</v>
      </c>
      <c r="AC25" s="55" t="s">
        <v>78</v>
      </c>
      <c r="AD25" s="55">
        <v>0</v>
      </c>
      <c r="AE25" s="55" t="s">
        <v>78</v>
      </c>
      <c r="AF25" s="55">
        <v>0</v>
      </c>
      <c r="AG25" s="55" t="s">
        <v>81</v>
      </c>
      <c r="AH25" s="55" t="s">
        <v>78</v>
      </c>
      <c r="AI25" s="59" t="s">
        <v>81</v>
      </c>
      <c r="AJ25" s="55" t="s">
        <v>78</v>
      </c>
      <c r="AK25" s="55" t="s">
        <v>78</v>
      </c>
      <c r="AL25" s="55" t="s">
        <v>81</v>
      </c>
      <c r="AM25" s="55" t="s">
        <v>81</v>
      </c>
      <c r="AN25" s="55" t="s">
        <v>78</v>
      </c>
      <c r="AO25" s="60" t="s">
        <v>81</v>
      </c>
      <c r="AP25" s="58" t="s">
        <v>74</v>
      </c>
      <c r="AQ25" s="55" t="s">
        <v>101</v>
      </c>
    </row>
    <row r="26" spans="1:43" ht="16.2" hidden="1" x14ac:dyDescent="0.45">
      <c r="A26" s="55" t="s">
        <v>744</v>
      </c>
      <c r="B26" s="55" t="s">
        <v>745</v>
      </c>
      <c r="C26" s="55">
        <v>2018</v>
      </c>
      <c r="D26" s="55" t="s">
        <v>282</v>
      </c>
      <c r="E26" s="56" t="s">
        <v>78</v>
      </c>
      <c r="F26" s="57" t="s">
        <v>553</v>
      </c>
      <c r="G26" s="55" t="s">
        <v>597</v>
      </c>
      <c r="H26" s="55" t="s">
        <v>101</v>
      </c>
      <c r="I26" s="55" t="s">
        <v>676</v>
      </c>
      <c r="J26" s="57" t="s">
        <v>81</v>
      </c>
      <c r="K26" s="55" t="s">
        <v>74</v>
      </c>
      <c r="L26" s="63">
        <v>20000000</v>
      </c>
      <c r="M26" s="63">
        <v>20000000</v>
      </c>
      <c r="N26" s="63">
        <v>28482599.999999996</v>
      </c>
      <c r="O26" s="63">
        <v>20000000</v>
      </c>
      <c r="P26" s="63">
        <v>20000000</v>
      </c>
      <c r="Q26" s="63">
        <v>28482599.999999996</v>
      </c>
      <c r="R26" s="63">
        <v>20000000</v>
      </c>
      <c r="S26" s="63">
        <v>20000000</v>
      </c>
      <c r="T26" s="63">
        <v>28482599.999999996</v>
      </c>
      <c r="U26" s="55" t="s">
        <v>75</v>
      </c>
      <c r="V26" s="55" t="s">
        <v>746</v>
      </c>
      <c r="W26" s="55" t="s">
        <v>81</v>
      </c>
      <c r="X26" s="59" t="s">
        <v>78</v>
      </c>
      <c r="Y26" s="59" t="s">
        <v>75</v>
      </c>
      <c r="Z26" s="55">
        <v>0</v>
      </c>
      <c r="AA26" s="55" t="s">
        <v>78</v>
      </c>
      <c r="AB26" s="55">
        <v>999</v>
      </c>
      <c r="AC26" s="55" t="s">
        <v>747</v>
      </c>
      <c r="AD26" s="55">
        <v>0</v>
      </c>
      <c r="AE26" s="55" t="s">
        <v>78</v>
      </c>
      <c r="AF26" s="55">
        <v>1</v>
      </c>
      <c r="AG26" s="55" t="s">
        <v>81</v>
      </c>
      <c r="AH26" s="55" t="s">
        <v>78</v>
      </c>
      <c r="AI26" s="59" t="s">
        <v>75</v>
      </c>
      <c r="AJ26" s="55" t="s">
        <v>228</v>
      </c>
      <c r="AK26" s="55" t="s">
        <v>78</v>
      </c>
      <c r="AL26" s="55" t="s">
        <v>81</v>
      </c>
      <c r="AM26" s="55" t="s">
        <v>81</v>
      </c>
      <c r="AN26" s="55" t="s">
        <v>78</v>
      </c>
      <c r="AO26" s="60" t="s">
        <v>81</v>
      </c>
      <c r="AP26" s="58" t="s">
        <v>74</v>
      </c>
      <c r="AQ26" s="55" t="s">
        <v>101</v>
      </c>
    </row>
    <row r="27" spans="1:43" ht="16.2" hidden="1" x14ac:dyDescent="0.45">
      <c r="A27" s="55" t="s">
        <v>748</v>
      </c>
      <c r="B27" s="55" t="s">
        <v>749</v>
      </c>
      <c r="C27" s="55">
        <v>2018</v>
      </c>
      <c r="D27" s="55" t="s">
        <v>184</v>
      </c>
      <c r="E27" s="56" t="s">
        <v>78</v>
      </c>
      <c r="F27" s="57" t="s">
        <v>554</v>
      </c>
      <c r="G27" s="55" t="s">
        <v>597</v>
      </c>
      <c r="H27" s="55" t="s">
        <v>101</v>
      </c>
      <c r="I27" s="55" t="s">
        <v>689</v>
      </c>
      <c r="J27" s="57" t="s">
        <v>81</v>
      </c>
      <c r="K27" s="55" t="s">
        <v>74</v>
      </c>
      <c r="L27" s="63">
        <v>11166000</v>
      </c>
      <c r="M27" s="63">
        <v>11166000</v>
      </c>
      <c r="N27" s="63">
        <v>15901835.579999998</v>
      </c>
      <c r="O27" s="63">
        <v>10000000</v>
      </c>
      <c r="P27" s="63">
        <v>10000000</v>
      </c>
      <c r="Q27" s="63">
        <v>14241299.999999998</v>
      </c>
      <c r="R27" s="63">
        <v>10000000</v>
      </c>
      <c r="S27" s="63">
        <v>10000000</v>
      </c>
      <c r="T27" s="63">
        <v>14241299.999999998</v>
      </c>
      <c r="U27" s="55" t="s">
        <v>81</v>
      </c>
      <c r="V27" s="55" t="s">
        <v>78</v>
      </c>
      <c r="W27" s="55" t="s">
        <v>81</v>
      </c>
      <c r="X27" s="59" t="s">
        <v>78</v>
      </c>
      <c r="Y27" s="59" t="s">
        <v>81</v>
      </c>
      <c r="Z27" s="55">
        <v>0</v>
      </c>
      <c r="AA27" s="55" t="s">
        <v>78</v>
      </c>
      <c r="AB27" s="55">
        <v>0</v>
      </c>
      <c r="AC27" s="55" t="s">
        <v>78</v>
      </c>
      <c r="AD27" s="55">
        <v>0</v>
      </c>
      <c r="AE27" s="55" t="s">
        <v>78</v>
      </c>
      <c r="AF27" s="55">
        <v>0</v>
      </c>
      <c r="AG27" s="55" t="s">
        <v>81</v>
      </c>
      <c r="AH27" s="55" t="s">
        <v>78</v>
      </c>
      <c r="AI27" s="59" t="s">
        <v>81</v>
      </c>
      <c r="AJ27" s="55" t="s">
        <v>78</v>
      </c>
      <c r="AK27" s="55" t="s">
        <v>78</v>
      </c>
      <c r="AL27" s="55" t="s">
        <v>81</v>
      </c>
      <c r="AM27" s="55" t="s">
        <v>81</v>
      </c>
      <c r="AN27" s="55" t="s">
        <v>78</v>
      </c>
      <c r="AO27" s="60" t="s">
        <v>81</v>
      </c>
      <c r="AP27" s="58" t="s">
        <v>74</v>
      </c>
      <c r="AQ27" s="55" t="s">
        <v>101</v>
      </c>
    </row>
    <row r="28" spans="1:43" ht="16.2" hidden="1" x14ac:dyDescent="0.45">
      <c r="A28" s="55" t="s">
        <v>750</v>
      </c>
      <c r="B28" s="55" t="s">
        <v>751</v>
      </c>
      <c r="C28" s="55">
        <v>2018</v>
      </c>
      <c r="D28" s="55" t="s">
        <v>184</v>
      </c>
      <c r="E28" s="56" t="s">
        <v>78</v>
      </c>
      <c r="F28" s="57" t="s">
        <v>554</v>
      </c>
      <c r="G28" s="56" t="s">
        <v>574</v>
      </c>
      <c r="H28" s="55" t="s">
        <v>72</v>
      </c>
      <c r="I28" s="55" t="s">
        <v>689</v>
      </c>
      <c r="J28" s="57" t="s">
        <v>81</v>
      </c>
      <c r="K28" s="55" t="s">
        <v>126</v>
      </c>
      <c r="L28" s="63">
        <v>72000000</v>
      </c>
      <c r="M28" s="63">
        <v>50557182.279707618</v>
      </c>
      <c r="N28" s="63">
        <v>72000000</v>
      </c>
      <c r="O28" s="63">
        <v>14464558.220000001</v>
      </c>
      <c r="P28" s="63">
        <v>14464558.220000001</v>
      </c>
      <c r="Q28" s="63">
        <v>20599411.297848601</v>
      </c>
      <c r="R28" s="63">
        <v>14464558.220000001</v>
      </c>
      <c r="S28" s="63">
        <v>14464558.220000001</v>
      </c>
      <c r="T28" s="63">
        <v>20599411.297848601</v>
      </c>
      <c r="U28" s="55" t="s">
        <v>81</v>
      </c>
      <c r="V28" s="55" t="s">
        <v>78</v>
      </c>
      <c r="W28" s="55" t="s">
        <v>81</v>
      </c>
      <c r="X28" s="59" t="s">
        <v>78</v>
      </c>
      <c r="Y28" s="59" t="s">
        <v>81</v>
      </c>
      <c r="Z28" s="55">
        <v>0</v>
      </c>
      <c r="AA28" s="55" t="s">
        <v>78</v>
      </c>
      <c r="AB28" s="55">
        <v>0</v>
      </c>
      <c r="AC28" s="55" t="s">
        <v>78</v>
      </c>
      <c r="AD28" s="55">
        <v>0</v>
      </c>
      <c r="AE28" s="55" t="s">
        <v>78</v>
      </c>
      <c r="AF28" s="55">
        <v>0</v>
      </c>
      <c r="AG28" s="55" t="s">
        <v>81</v>
      </c>
      <c r="AH28" s="55" t="s">
        <v>78</v>
      </c>
      <c r="AI28" s="59" t="s">
        <v>81</v>
      </c>
      <c r="AJ28" s="55" t="s">
        <v>78</v>
      </c>
      <c r="AK28" s="55" t="s">
        <v>78</v>
      </c>
      <c r="AL28" s="55" t="s">
        <v>81</v>
      </c>
      <c r="AM28" s="55" t="s">
        <v>81</v>
      </c>
      <c r="AN28" s="55" t="s">
        <v>78</v>
      </c>
      <c r="AO28" s="60" t="s">
        <v>81</v>
      </c>
      <c r="AP28" s="58" t="s">
        <v>126</v>
      </c>
      <c r="AQ28" s="55" t="s">
        <v>72</v>
      </c>
    </row>
    <row r="29" spans="1:43" ht="28.8" hidden="1" x14ac:dyDescent="0.45">
      <c r="A29" s="55" t="s">
        <v>752</v>
      </c>
      <c r="B29" s="55" t="s">
        <v>753</v>
      </c>
      <c r="C29" s="55">
        <v>2018</v>
      </c>
      <c r="D29" s="55" t="s">
        <v>184</v>
      </c>
      <c r="E29" s="56" t="s">
        <v>78</v>
      </c>
      <c r="F29" s="57" t="s">
        <v>554</v>
      </c>
      <c r="G29" s="56" t="s">
        <v>584</v>
      </c>
      <c r="H29" s="55" t="s">
        <v>228</v>
      </c>
      <c r="I29" s="55" t="s">
        <v>689</v>
      </c>
      <c r="J29" s="57" t="s">
        <v>81</v>
      </c>
      <c r="K29" s="55" t="s">
        <v>126</v>
      </c>
      <c r="L29" s="63">
        <v>170000000</v>
      </c>
      <c r="M29" s="63">
        <v>119371124.82708742</v>
      </c>
      <c r="N29" s="63">
        <v>170000000</v>
      </c>
      <c r="O29" s="63">
        <v>54242093.310000002</v>
      </c>
      <c r="P29" s="63">
        <v>54242093.310000002</v>
      </c>
      <c r="Q29" s="63">
        <v>77247792.345570296</v>
      </c>
      <c r="R29" s="63">
        <v>54242093.310000002</v>
      </c>
      <c r="S29" s="63">
        <v>54242093.310000002</v>
      </c>
      <c r="T29" s="63">
        <v>77247792.345570296</v>
      </c>
      <c r="U29" s="55" t="s">
        <v>75</v>
      </c>
      <c r="V29" s="55" t="s">
        <v>754</v>
      </c>
      <c r="W29" s="55" t="s">
        <v>75</v>
      </c>
      <c r="X29" s="59" t="s">
        <v>755</v>
      </c>
      <c r="Y29" s="59" t="s">
        <v>75</v>
      </c>
      <c r="Z29" s="55">
        <v>0</v>
      </c>
      <c r="AA29" s="55" t="s">
        <v>78</v>
      </c>
      <c r="AB29" s="55">
        <v>999</v>
      </c>
      <c r="AC29" s="55" t="s">
        <v>756</v>
      </c>
      <c r="AD29" s="55">
        <v>999</v>
      </c>
      <c r="AE29" s="78" t="s">
        <v>757</v>
      </c>
      <c r="AF29" s="55">
        <v>2</v>
      </c>
      <c r="AG29" s="55" t="s">
        <v>75</v>
      </c>
      <c r="AH29" s="55" t="s">
        <v>758</v>
      </c>
      <c r="AI29" s="59" t="s">
        <v>75</v>
      </c>
      <c r="AJ29" s="55" t="s">
        <v>228</v>
      </c>
      <c r="AK29" s="55" t="s">
        <v>78</v>
      </c>
      <c r="AL29" s="55" t="s">
        <v>81</v>
      </c>
      <c r="AM29" s="55" t="s">
        <v>81</v>
      </c>
      <c r="AN29" s="55" t="s">
        <v>78</v>
      </c>
      <c r="AO29" s="60" t="s">
        <v>75</v>
      </c>
      <c r="AP29" s="58" t="s">
        <v>126</v>
      </c>
      <c r="AQ29" s="55" t="s">
        <v>228</v>
      </c>
    </row>
    <row r="30" spans="1:43" ht="16.2" hidden="1" x14ac:dyDescent="0.45">
      <c r="A30" s="55" t="s">
        <v>759</v>
      </c>
      <c r="B30" s="56" t="s">
        <v>760</v>
      </c>
      <c r="C30" s="55">
        <v>2018</v>
      </c>
      <c r="D30" s="55" t="s">
        <v>184</v>
      </c>
      <c r="E30" s="56" t="s">
        <v>78</v>
      </c>
      <c r="F30" s="57" t="s">
        <v>554</v>
      </c>
      <c r="G30" s="56" t="s">
        <v>585</v>
      </c>
      <c r="H30" s="55" t="s">
        <v>228</v>
      </c>
      <c r="I30" s="55" t="s">
        <v>689</v>
      </c>
      <c r="J30" s="57" t="s">
        <v>81</v>
      </c>
      <c r="K30" s="55" t="s">
        <v>74</v>
      </c>
      <c r="L30" s="63">
        <v>11890000</v>
      </c>
      <c r="M30" s="63">
        <v>11890000</v>
      </c>
      <c r="N30" s="63">
        <v>16932905.699999999</v>
      </c>
      <c r="O30" s="63">
        <v>11890000</v>
      </c>
      <c r="P30" s="63">
        <v>11890000</v>
      </c>
      <c r="Q30" s="63">
        <v>16932905.699999999</v>
      </c>
      <c r="R30" s="63">
        <v>11890000</v>
      </c>
      <c r="S30" s="63">
        <v>11890000</v>
      </c>
      <c r="T30" s="63">
        <v>16932905.699999999</v>
      </c>
      <c r="U30" s="55" t="s">
        <v>81</v>
      </c>
      <c r="V30" s="55" t="s">
        <v>78</v>
      </c>
      <c r="W30" s="55" t="s">
        <v>81</v>
      </c>
      <c r="X30" s="59" t="s">
        <v>78</v>
      </c>
      <c r="Y30" s="59" t="s">
        <v>81</v>
      </c>
      <c r="Z30" s="55">
        <v>0</v>
      </c>
      <c r="AA30" s="55" t="s">
        <v>78</v>
      </c>
      <c r="AB30" s="55">
        <v>0</v>
      </c>
      <c r="AC30" s="55" t="s">
        <v>78</v>
      </c>
      <c r="AD30" s="55">
        <v>0</v>
      </c>
      <c r="AE30" s="55" t="s">
        <v>78</v>
      </c>
      <c r="AF30" s="55">
        <v>0</v>
      </c>
      <c r="AG30" s="55" t="s">
        <v>81</v>
      </c>
      <c r="AH30" s="55" t="s">
        <v>78</v>
      </c>
      <c r="AI30" s="59" t="s">
        <v>81</v>
      </c>
      <c r="AJ30" s="55" t="s">
        <v>78</v>
      </c>
      <c r="AK30" s="55" t="s">
        <v>78</v>
      </c>
      <c r="AL30" s="55" t="s">
        <v>81</v>
      </c>
      <c r="AM30" s="55" t="s">
        <v>81</v>
      </c>
      <c r="AN30" s="55" t="s">
        <v>78</v>
      </c>
      <c r="AO30" s="60" t="s">
        <v>81</v>
      </c>
      <c r="AP30" s="58" t="s">
        <v>74</v>
      </c>
      <c r="AQ30" s="55" t="s">
        <v>228</v>
      </c>
    </row>
    <row r="31" spans="1:43" ht="16.2" hidden="1" x14ac:dyDescent="0.45">
      <c r="A31" s="55" t="s">
        <v>761</v>
      </c>
      <c r="B31" s="55" t="s">
        <v>762</v>
      </c>
      <c r="C31" s="55">
        <v>2018</v>
      </c>
      <c r="D31" s="55" t="s">
        <v>508</v>
      </c>
      <c r="E31" s="56" t="s">
        <v>78</v>
      </c>
      <c r="F31" s="57" t="s">
        <v>558</v>
      </c>
      <c r="G31" s="56" t="s">
        <v>587</v>
      </c>
      <c r="H31" s="55" t="s">
        <v>256</v>
      </c>
      <c r="I31" s="55" t="s">
        <v>689</v>
      </c>
      <c r="J31" s="57" t="s">
        <v>81</v>
      </c>
      <c r="K31" s="55" t="s">
        <v>74</v>
      </c>
      <c r="L31" s="63">
        <v>188050000</v>
      </c>
      <c r="M31" s="63">
        <v>188050000</v>
      </c>
      <c r="N31" s="63">
        <v>267807646.49999997</v>
      </c>
      <c r="O31" s="63">
        <v>10000000</v>
      </c>
      <c r="P31" s="63">
        <v>10000000</v>
      </c>
      <c r="Q31" s="63">
        <v>14241299.999999998</v>
      </c>
      <c r="R31" s="63">
        <v>10000000</v>
      </c>
      <c r="S31" s="63">
        <v>10000000</v>
      </c>
      <c r="T31" s="63">
        <v>14241299.999999998</v>
      </c>
      <c r="U31" s="55" t="s">
        <v>75</v>
      </c>
      <c r="V31" s="55" t="s">
        <v>763</v>
      </c>
      <c r="W31" s="55" t="s">
        <v>81</v>
      </c>
      <c r="X31" s="59" t="s">
        <v>78</v>
      </c>
      <c r="Y31" s="59" t="s">
        <v>75</v>
      </c>
      <c r="Z31" s="55">
        <v>999</v>
      </c>
      <c r="AA31" s="55" t="s">
        <v>764</v>
      </c>
      <c r="AB31" s="55">
        <v>999</v>
      </c>
      <c r="AC31" s="55" t="s">
        <v>765</v>
      </c>
      <c r="AD31" s="55">
        <v>0</v>
      </c>
      <c r="AE31" s="55" t="s">
        <v>78</v>
      </c>
      <c r="AF31" s="55">
        <v>3</v>
      </c>
      <c r="AG31" s="55" t="s">
        <v>81</v>
      </c>
      <c r="AH31" s="55" t="s">
        <v>78</v>
      </c>
      <c r="AI31" s="59" t="s">
        <v>81</v>
      </c>
      <c r="AJ31" s="55" t="s">
        <v>78</v>
      </c>
      <c r="AK31" s="55" t="s">
        <v>78</v>
      </c>
      <c r="AL31" s="55" t="s">
        <v>81</v>
      </c>
      <c r="AM31" s="55" t="s">
        <v>81</v>
      </c>
      <c r="AN31" s="55" t="s">
        <v>78</v>
      </c>
      <c r="AO31" s="60" t="s">
        <v>81</v>
      </c>
      <c r="AP31" s="58" t="s">
        <v>74</v>
      </c>
      <c r="AQ31" s="55" t="s">
        <v>256</v>
      </c>
    </row>
    <row r="32" spans="1:43" ht="16.2" hidden="1" x14ac:dyDescent="0.45">
      <c r="A32" s="55" t="s">
        <v>766</v>
      </c>
      <c r="B32" s="55" t="s">
        <v>767</v>
      </c>
      <c r="C32" s="55">
        <v>2018</v>
      </c>
      <c r="D32" s="55" t="s">
        <v>155</v>
      </c>
      <c r="E32" s="56" t="s">
        <v>78</v>
      </c>
      <c r="F32" s="57" t="s">
        <v>559</v>
      </c>
      <c r="G32" s="55" t="s">
        <v>596</v>
      </c>
      <c r="H32" s="55" t="s">
        <v>101</v>
      </c>
      <c r="I32" s="55" t="s">
        <v>689</v>
      </c>
      <c r="J32" s="57" t="s">
        <v>81</v>
      </c>
      <c r="K32" s="55" t="s">
        <v>74</v>
      </c>
      <c r="L32" s="63">
        <v>100000000</v>
      </c>
      <c r="M32" s="63">
        <v>100000000</v>
      </c>
      <c r="N32" s="63">
        <v>142413000</v>
      </c>
      <c r="O32" s="63">
        <v>49212598.43</v>
      </c>
      <c r="P32" s="63">
        <v>49212598.43</v>
      </c>
      <c r="Q32" s="63">
        <v>70085137.802115887</v>
      </c>
      <c r="R32" s="63">
        <v>49212598.43</v>
      </c>
      <c r="S32" s="63">
        <v>49212598.43</v>
      </c>
      <c r="T32" s="63">
        <v>70085137.802115887</v>
      </c>
      <c r="U32" s="55" t="s">
        <v>75</v>
      </c>
      <c r="V32" s="55" t="s">
        <v>768</v>
      </c>
      <c r="W32" s="55" t="s">
        <v>81</v>
      </c>
      <c r="X32" s="59" t="s">
        <v>78</v>
      </c>
      <c r="Y32" s="59" t="s">
        <v>75</v>
      </c>
      <c r="Z32" s="55">
        <v>999</v>
      </c>
      <c r="AA32" s="55" t="s">
        <v>769</v>
      </c>
      <c r="AB32" s="55">
        <v>999</v>
      </c>
      <c r="AC32" s="55" t="s">
        <v>770</v>
      </c>
      <c r="AD32" s="55">
        <v>0</v>
      </c>
      <c r="AE32" s="55" t="s">
        <v>78</v>
      </c>
      <c r="AF32" s="55">
        <v>3</v>
      </c>
      <c r="AG32" s="55" t="s">
        <v>75</v>
      </c>
      <c r="AH32" s="55" t="s">
        <v>771</v>
      </c>
      <c r="AI32" s="59" t="s">
        <v>81</v>
      </c>
      <c r="AJ32" s="55" t="s">
        <v>78</v>
      </c>
      <c r="AK32" s="55" t="s">
        <v>78</v>
      </c>
      <c r="AL32" s="55" t="s">
        <v>81</v>
      </c>
      <c r="AM32" s="55" t="s">
        <v>81</v>
      </c>
      <c r="AN32" s="55" t="s">
        <v>78</v>
      </c>
      <c r="AO32" s="60" t="s">
        <v>81</v>
      </c>
      <c r="AP32" s="58" t="s">
        <v>74</v>
      </c>
      <c r="AQ32" s="55" t="s">
        <v>101</v>
      </c>
    </row>
    <row r="33" spans="1:43" ht="16.2" hidden="1" x14ac:dyDescent="0.45">
      <c r="A33" s="55" t="s">
        <v>772</v>
      </c>
      <c r="B33" s="55" t="s">
        <v>773</v>
      </c>
      <c r="C33" s="55">
        <v>2018</v>
      </c>
      <c r="D33" s="55" t="s">
        <v>433</v>
      </c>
      <c r="E33" s="56" t="s">
        <v>78</v>
      </c>
      <c r="F33" s="57" t="s">
        <v>564</v>
      </c>
      <c r="G33" s="56" t="s">
        <v>228</v>
      </c>
      <c r="H33" s="55" t="s">
        <v>228</v>
      </c>
      <c r="I33" s="55" t="s">
        <v>676</v>
      </c>
      <c r="J33" s="57" t="s">
        <v>81</v>
      </c>
      <c r="K33" s="55" t="s">
        <v>74</v>
      </c>
      <c r="L33" s="63">
        <v>49440000</v>
      </c>
      <c r="M33" s="63">
        <v>49440000</v>
      </c>
      <c r="N33" s="63">
        <v>70408987.199999988</v>
      </c>
      <c r="O33" s="63">
        <v>20995000</v>
      </c>
      <c r="P33" s="63">
        <v>20995000</v>
      </c>
      <c r="Q33" s="63">
        <v>29899609.349999998</v>
      </c>
      <c r="R33" s="63">
        <v>20995000</v>
      </c>
      <c r="S33" s="63">
        <v>20995000</v>
      </c>
      <c r="T33" s="63">
        <v>29899609.349999998</v>
      </c>
      <c r="U33" s="55" t="s">
        <v>75</v>
      </c>
      <c r="V33" s="55" t="s">
        <v>774</v>
      </c>
      <c r="W33" s="55" t="s">
        <v>75</v>
      </c>
      <c r="X33" s="59" t="s">
        <v>775</v>
      </c>
      <c r="Y33" s="59" t="s">
        <v>75</v>
      </c>
      <c r="Z33" s="55">
        <v>999</v>
      </c>
      <c r="AA33" s="55" t="s">
        <v>776</v>
      </c>
      <c r="AB33" s="55">
        <v>999</v>
      </c>
      <c r="AC33" s="55" t="s">
        <v>777</v>
      </c>
      <c r="AD33" s="55">
        <v>0</v>
      </c>
      <c r="AE33" s="55" t="s">
        <v>78</v>
      </c>
      <c r="AF33" s="55">
        <v>2</v>
      </c>
      <c r="AG33" s="55" t="s">
        <v>81</v>
      </c>
      <c r="AH33" s="55" t="s">
        <v>78</v>
      </c>
      <c r="AI33" s="59" t="s">
        <v>75</v>
      </c>
      <c r="AJ33" s="55" t="s">
        <v>228</v>
      </c>
      <c r="AK33" s="55" t="s">
        <v>78</v>
      </c>
      <c r="AL33" s="55" t="s">
        <v>81</v>
      </c>
      <c r="AM33" s="55" t="s">
        <v>81</v>
      </c>
      <c r="AN33" s="55" t="s">
        <v>78</v>
      </c>
      <c r="AO33" s="60" t="s">
        <v>75</v>
      </c>
      <c r="AP33" s="58" t="s">
        <v>74</v>
      </c>
      <c r="AQ33" s="55" t="s">
        <v>228</v>
      </c>
    </row>
    <row r="34" spans="1:43" ht="16.2" hidden="1" x14ac:dyDescent="0.45">
      <c r="A34" s="55" t="s">
        <v>778</v>
      </c>
      <c r="B34" s="56" t="s">
        <v>779</v>
      </c>
      <c r="C34" s="55">
        <v>2018</v>
      </c>
      <c r="D34" s="55" t="s">
        <v>151</v>
      </c>
      <c r="E34" s="56" t="s">
        <v>78</v>
      </c>
      <c r="F34" s="57" t="s">
        <v>546</v>
      </c>
      <c r="G34" s="55" t="s">
        <v>596</v>
      </c>
      <c r="H34" s="55" t="s">
        <v>101</v>
      </c>
      <c r="I34" s="55" t="s">
        <v>689</v>
      </c>
      <c r="J34" s="57" t="s">
        <v>81</v>
      </c>
      <c r="K34" s="55" t="s">
        <v>74</v>
      </c>
      <c r="L34" s="63">
        <v>410000</v>
      </c>
      <c r="M34" s="63">
        <v>410000</v>
      </c>
      <c r="N34" s="63">
        <v>583893.29999999993</v>
      </c>
      <c r="O34" s="63">
        <v>410000</v>
      </c>
      <c r="P34" s="63">
        <v>410000</v>
      </c>
      <c r="Q34" s="63">
        <v>583893.29999999993</v>
      </c>
      <c r="R34" s="63">
        <v>410000</v>
      </c>
      <c r="S34" s="63">
        <v>410000</v>
      </c>
      <c r="T34" s="63">
        <v>583893.29999999993</v>
      </c>
      <c r="U34" s="55" t="s">
        <v>81</v>
      </c>
      <c r="V34" s="55" t="s">
        <v>78</v>
      </c>
      <c r="W34" s="55" t="s">
        <v>81</v>
      </c>
      <c r="X34" s="59" t="s">
        <v>78</v>
      </c>
      <c r="Y34" s="59" t="s">
        <v>81</v>
      </c>
      <c r="Z34" s="55">
        <v>0</v>
      </c>
      <c r="AA34" s="55" t="s">
        <v>78</v>
      </c>
      <c r="AB34" s="55">
        <v>0</v>
      </c>
      <c r="AC34" s="55" t="s">
        <v>78</v>
      </c>
      <c r="AD34" s="55">
        <v>0</v>
      </c>
      <c r="AE34" s="55" t="s">
        <v>78</v>
      </c>
      <c r="AF34" s="55">
        <v>0</v>
      </c>
      <c r="AG34" s="55" t="s">
        <v>81</v>
      </c>
      <c r="AH34" s="55" t="s">
        <v>78</v>
      </c>
      <c r="AI34" s="59" t="s">
        <v>81</v>
      </c>
      <c r="AJ34" s="55" t="s">
        <v>78</v>
      </c>
      <c r="AK34" s="55" t="s">
        <v>78</v>
      </c>
      <c r="AL34" s="55" t="s">
        <v>81</v>
      </c>
      <c r="AM34" s="55" t="s">
        <v>81</v>
      </c>
      <c r="AN34" s="55" t="s">
        <v>78</v>
      </c>
      <c r="AO34" s="60" t="s">
        <v>81</v>
      </c>
      <c r="AP34" s="58" t="s">
        <v>74</v>
      </c>
      <c r="AQ34" s="55" t="s">
        <v>101</v>
      </c>
    </row>
    <row r="35" spans="1:43" ht="16.2" x14ac:dyDescent="0.45">
      <c r="A35" s="55" t="s">
        <v>780</v>
      </c>
      <c r="B35" s="55" t="s">
        <v>781</v>
      </c>
      <c r="C35" s="55">
        <v>2018</v>
      </c>
      <c r="D35" s="55" t="s">
        <v>113</v>
      </c>
      <c r="E35" s="56" t="s">
        <v>78</v>
      </c>
      <c r="F35" s="57" t="s">
        <v>565</v>
      </c>
      <c r="G35" s="56" t="s">
        <v>466</v>
      </c>
      <c r="H35" s="55" t="s">
        <v>466</v>
      </c>
      <c r="I35" s="55" t="s">
        <v>689</v>
      </c>
      <c r="J35" s="57" t="s">
        <v>81</v>
      </c>
      <c r="K35" s="55" t="s">
        <v>104</v>
      </c>
      <c r="L35" s="63">
        <v>144000000</v>
      </c>
      <c r="M35" s="63">
        <v>121263157.89473684</v>
      </c>
      <c r="N35" s="63">
        <v>172694501.05263156</v>
      </c>
      <c r="O35" s="63">
        <v>59055118.109999999</v>
      </c>
      <c r="P35" s="63">
        <v>59055118.109999999</v>
      </c>
      <c r="Q35" s="63">
        <v>84102165.353994295</v>
      </c>
      <c r="R35" s="63">
        <v>59055118.109999999</v>
      </c>
      <c r="S35" s="63">
        <v>59055118.109999999</v>
      </c>
      <c r="T35" s="63">
        <v>84102165.353994295</v>
      </c>
      <c r="U35" s="55" t="s">
        <v>81</v>
      </c>
      <c r="V35" s="55" t="s">
        <v>78</v>
      </c>
      <c r="W35" s="55" t="s">
        <v>81</v>
      </c>
      <c r="X35" s="59" t="s">
        <v>78</v>
      </c>
      <c r="Y35" s="59" t="s">
        <v>81</v>
      </c>
      <c r="Z35" s="55">
        <v>0</v>
      </c>
      <c r="AA35" s="55" t="s">
        <v>78</v>
      </c>
      <c r="AB35" s="55">
        <v>0</v>
      </c>
      <c r="AC35" s="55" t="s">
        <v>78</v>
      </c>
      <c r="AD35" s="55">
        <v>0</v>
      </c>
      <c r="AE35" s="55" t="s">
        <v>78</v>
      </c>
      <c r="AF35" s="55">
        <v>0</v>
      </c>
      <c r="AG35" s="55" t="s">
        <v>81</v>
      </c>
      <c r="AH35" s="55" t="s">
        <v>78</v>
      </c>
      <c r="AI35" s="59" t="s">
        <v>81</v>
      </c>
      <c r="AJ35" s="55" t="s">
        <v>78</v>
      </c>
      <c r="AK35" s="55" t="s">
        <v>78</v>
      </c>
      <c r="AL35" s="55" t="s">
        <v>81</v>
      </c>
      <c r="AM35" s="55" t="s">
        <v>81</v>
      </c>
      <c r="AN35" s="55" t="s">
        <v>78</v>
      </c>
      <c r="AO35" s="60" t="s">
        <v>81</v>
      </c>
      <c r="AP35" s="58" t="s">
        <v>104</v>
      </c>
      <c r="AQ35" s="55" t="s">
        <v>466</v>
      </c>
    </row>
    <row r="36" spans="1:43" ht="16.2" x14ac:dyDescent="0.45">
      <c r="A36" s="55" t="s">
        <v>782</v>
      </c>
      <c r="B36" s="55" t="s">
        <v>783</v>
      </c>
      <c r="C36" s="55">
        <v>2018</v>
      </c>
      <c r="D36" s="55" t="s">
        <v>113</v>
      </c>
      <c r="E36" s="56" t="s">
        <v>78</v>
      </c>
      <c r="F36" s="57" t="s">
        <v>565</v>
      </c>
      <c r="G36" s="56" t="s">
        <v>466</v>
      </c>
      <c r="H36" s="55" t="s">
        <v>466</v>
      </c>
      <c r="I36" s="55" t="s">
        <v>689</v>
      </c>
      <c r="J36" s="57" t="s">
        <v>81</v>
      </c>
      <c r="K36" s="55" t="s">
        <v>126</v>
      </c>
      <c r="L36" s="63">
        <v>1000000</v>
      </c>
      <c r="M36" s="63">
        <v>702183.08721816132</v>
      </c>
      <c r="N36" s="63">
        <v>1000000</v>
      </c>
      <c r="O36" s="63">
        <v>723227.91</v>
      </c>
      <c r="P36" s="63">
        <v>723227.91</v>
      </c>
      <c r="Q36" s="63">
        <v>1029970.5634682999</v>
      </c>
      <c r="R36" s="63">
        <v>723227.91</v>
      </c>
      <c r="S36" s="63">
        <v>723227.91</v>
      </c>
      <c r="T36" s="63">
        <v>1029970.5634682999</v>
      </c>
      <c r="U36" s="55" t="s">
        <v>81</v>
      </c>
      <c r="V36" s="55" t="s">
        <v>78</v>
      </c>
      <c r="W36" s="55" t="s">
        <v>81</v>
      </c>
      <c r="X36" s="59" t="s">
        <v>78</v>
      </c>
      <c r="Y36" s="59" t="s">
        <v>81</v>
      </c>
      <c r="Z36" s="55">
        <v>0</v>
      </c>
      <c r="AA36" s="55" t="s">
        <v>78</v>
      </c>
      <c r="AB36" s="55">
        <v>0</v>
      </c>
      <c r="AC36" s="55" t="s">
        <v>78</v>
      </c>
      <c r="AD36" s="55">
        <v>0</v>
      </c>
      <c r="AE36" s="55" t="s">
        <v>78</v>
      </c>
      <c r="AF36" s="55">
        <v>0</v>
      </c>
      <c r="AG36" s="55" t="s">
        <v>81</v>
      </c>
      <c r="AH36" s="55" t="s">
        <v>78</v>
      </c>
      <c r="AI36" s="59" t="s">
        <v>81</v>
      </c>
      <c r="AJ36" s="55" t="s">
        <v>78</v>
      </c>
      <c r="AK36" s="55" t="s">
        <v>78</v>
      </c>
      <c r="AL36" s="55" t="s">
        <v>81</v>
      </c>
      <c r="AM36" s="55" t="s">
        <v>81</v>
      </c>
      <c r="AN36" s="55" t="s">
        <v>78</v>
      </c>
      <c r="AO36" s="60" t="s">
        <v>81</v>
      </c>
      <c r="AP36" s="58" t="s">
        <v>126</v>
      </c>
      <c r="AQ36" s="55" t="s">
        <v>466</v>
      </c>
    </row>
    <row r="37" spans="1:43" ht="16.2" hidden="1" x14ac:dyDescent="0.45">
      <c r="A37" s="55" t="s">
        <v>784</v>
      </c>
      <c r="B37" s="55" t="s">
        <v>785</v>
      </c>
      <c r="C37" s="55">
        <v>2018</v>
      </c>
      <c r="D37" s="55" t="s">
        <v>254</v>
      </c>
      <c r="E37" s="56" t="s">
        <v>78</v>
      </c>
      <c r="F37" s="57" t="s">
        <v>555</v>
      </c>
      <c r="G37" s="56" t="s">
        <v>587</v>
      </c>
      <c r="H37" s="55" t="s">
        <v>256</v>
      </c>
      <c r="I37" s="55" t="s">
        <v>689</v>
      </c>
      <c r="J37" s="57" t="s">
        <v>81</v>
      </c>
      <c r="K37" s="55" t="s">
        <v>104</v>
      </c>
      <c r="L37" s="63">
        <v>135717000</v>
      </c>
      <c r="M37" s="63">
        <v>114288000</v>
      </c>
      <c r="N37" s="63">
        <v>162760969.44</v>
      </c>
      <c r="O37" s="63">
        <v>94378280.840000004</v>
      </c>
      <c r="P37" s="63">
        <v>94378280.840000004</v>
      </c>
      <c r="Q37" s="63">
        <v>134406941.09266919</v>
      </c>
      <c r="R37" s="63">
        <v>93722112.859999999</v>
      </c>
      <c r="S37" s="63">
        <v>93722112.859999999</v>
      </c>
      <c r="T37" s="63">
        <v>133472472.58731179</v>
      </c>
      <c r="U37" s="55" t="s">
        <v>75</v>
      </c>
      <c r="V37" s="55" t="s">
        <v>78</v>
      </c>
      <c r="W37" s="55" t="s">
        <v>81</v>
      </c>
      <c r="X37" s="59" t="s">
        <v>78</v>
      </c>
      <c r="Y37" s="59" t="s">
        <v>75</v>
      </c>
      <c r="Z37" s="55">
        <v>0</v>
      </c>
      <c r="AA37" s="55" t="s">
        <v>78</v>
      </c>
      <c r="AB37" s="55">
        <v>999</v>
      </c>
      <c r="AC37" s="55" t="s">
        <v>786</v>
      </c>
      <c r="AD37" s="55">
        <v>0</v>
      </c>
      <c r="AE37" s="55" t="s">
        <v>78</v>
      </c>
      <c r="AF37" s="55">
        <v>2</v>
      </c>
      <c r="AG37" s="55" t="s">
        <v>75</v>
      </c>
      <c r="AH37" s="55" t="s">
        <v>787</v>
      </c>
      <c r="AI37" s="59" t="s">
        <v>81</v>
      </c>
      <c r="AJ37" s="55" t="s">
        <v>78</v>
      </c>
      <c r="AK37" s="55" t="s">
        <v>78</v>
      </c>
      <c r="AL37" s="55" t="s">
        <v>81</v>
      </c>
      <c r="AM37" s="55" t="s">
        <v>81</v>
      </c>
      <c r="AN37" s="55" t="s">
        <v>78</v>
      </c>
      <c r="AO37" s="60" t="s">
        <v>81</v>
      </c>
      <c r="AP37" s="58" t="s">
        <v>104</v>
      </c>
      <c r="AQ37" s="55" t="s">
        <v>256</v>
      </c>
    </row>
    <row r="38" spans="1:43" ht="16.2" hidden="1" x14ac:dyDescent="0.45">
      <c r="A38" s="55" t="s">
        <v>788</v>
      </c>
      <c r="B38" s="55" t="s">
        <v>789</v>
      </c>
      <c r="C38" s="55">
        <v>2018</v>
      </c>
      <c r="D38" s="55" t="s">
        <v>509</v>
      </c>
      <c r="E38" s="56" t="s">
        <v>78</v>
      </c>
      <c r="F38" s="57" t="s">
        <v>560</v>
      </c>
      <c r="G38" s="55" t="s">
        <v>580</v>
      </c>
      <c r="H38" s="55" t="s">
        <v>115</v>
      </c>
      <c r="I38" s="55" t="s">
        <v>689</v>
      </c>
      <c r="J38" s="57" t="s">
        <v>81</v>
      </c>
      <c r="K38" s="55" t="s">
        <v>126</v>
      </c>
      <c r="L38" s="63">
        <v>1000000</v>
      </c>
      <c r="M38" s="63">
        <v>702183.08721816132</v>
      </c>
      <c r="N38" s="63">
        <v>1000000</v>
      </c>
      <c r="O38" s="63">
        <v>723227.91</v>
      </c>
      <c r="P38" s="63">
        <v>723227.91</v>
      </c>
      <c r="Q38" s="63">
        <v>1029970.5634682999</v>
      </c>
      <c r="R38" s="63">
        <v>723227.91</v>
      </c>
      <c r="S38" s="63">
        <v>723227.91</v>
      </c>
      <c r="T38" s="63">
        <v>1029970.5634682999</v>
      </c>
      <c r="U38" s="55" t="s">
        <v>75</v>
      </c>
      <c r="V38" s="55" t="s">
        <v>790</v>
      </c>
      <c r="W38" s="55" t="s">
        <v>75</v>
      </c>
      <c r="X38" s="59" t="s">
        <v>791</v>
      </c>
      <c r="Y38" s="59" t="s">
        <v>75</v>
      </c>
      <c r="Z38" s="55">
        <v>0</v>
      </c>
      <c r="AA38" s="55" t="s">
        <v>78</v>
      </c>
      <c r="AB38" s="55">
        <v>999</v>
      </c>
      <c r="AC38" s="55" t="s">
        <v>792</v>
      </c>
      <c r="AD38" s="55">
        <v>999</v>
      </c>
      <c r="AE38" s="55" t="s">
        <v>793</v>
      </c>
      <c r="AF38" s="55">
        <v>3</v>
      </c>
      <c r="AG38" s="55" t="s">
        <v>75</v>
      </c>
      <c r="AH38" s="55" t="s">
        <v>794</v>
      </c>
      <c r="AI38" s="59" t="s">
        <v>75</v>
      </c>
      <c r="AJ38" s="55" t="s">
        <v>795</v>
      </c>
      <c r="AK38" s="55" t="s">
        <v>796</v>
      </c>
      <c r="AL38" s="55" t="s">
        <v>81</v>
      </c>
      <c r="AM38" s="55" t="s">
        <v>81</v>
      </c>
      <c r="AN38" s="55" t="s">
        <v>78</v>
      </c>
      <c r="AO38" s="60" t="s">
        <v>75</v>
      </c>
      <c r="AP38" s="58" t="s">
        <v>126</v>
      </c>
      <c r="AQ38" s="55" t="s">
        <v>115</v>
      </c>
    </row>
    <row r="39" spans="1:43" ht="16.2" hidden="1" x14ac:dyDescent="0.45">
      <c r="A39" s="55" t="s">
        <v>797</v>
      </c>
      <c r="B39" s="55" t="s">
        <v>798</v>
      </c>
      <c r="C39" s="55">
        <v>2018</v>
      </c>
      <c r="D39" s="55" t="s">
        <v>314</v>
      </c>
      <c r="E39" s="56" t="s">
        <v>78</v>
      </c>
      <c r="F39" s="57" t="s">
        <v>557</v>
      </c>
      <c r="G39" s="56" t="s">
        <v>585</v>
      </c>
      <c r="H39" s="55" t="s">
        <v>228</v>
      </c>
      <c r="I39" s="55" t="s">
        <v>676</v>
      </c>
      <c r="J39" s="57" t="s">
        <v>81</v>
      </c>
      <c r="K39" s="55" t="s">
        <v>74</v>
      </c>
      <c r="L39" s="63">
        <v>32743103</v>
      </c>
      <c r="M39" s="63">
        <v>32743103</v>
      </c>
      <c r="N39" s="63">
        <v>46630435.275389999</v>
      </c>
      <c r="O39" s="63">
        <v>28950000</v>
      </c>
      <c r="P39" s="63">
        <v>28950000</v>
      </c>
      <c r="Q39" s="63">
        <v>41228563.5</v>
      </c>
      <c r="R39" s="63">
        <v>28950000</v>
      </c>
      <c r="S39" s="63">
        <v>28950000</v>
      </c>
      <c r="T39" s="63">
        <v>41228563.5</v>
      </c>
      <c r="U39" s="55" t="s">
        <v>75</v>
      </c>
      <c r="V39" s="55" t="s">
        <v>799</v>
      </c>
      <c r="W39" s="55" t="s">
        <v>81</v>
      </c>
      <c r="X39" s="59" t="s">
        <v>78</v>
      </c>
      <c r="Y39" s="59" t="s">
        <v>81</v>
      </c>
      <c r="Z39" s="55">
        <v>0</v>
      </c>
      <c r="AA39" s="55" t="s">
        <v>78</v>
      </c>
      <c r="AB39" s="55">
        <v>0</v>
      </c>
      <c r="AC39" s="55" t="s">
        <v>78</v>
      </c>
      <c r="AD39" s="55">
        <v>0</v>
      </c>
      <c r="AE39" s="55" t="s">
        <v>78</v>
      </c>
      <c r="AF39" s="55">
        <v>0</v>
      </c>
      <c r="AG39" s="55" t="s">
        <v>81</v>
      </c>
      <c r="AH39" s="55" t="s">
        <v>78</v>
      </c>
      <c r="AI39" s="59" t="s">
        <v>81</v>
      </c>
      <c r="AJ39" s="55" t="s">
        <v>78</v>
      </c>
      <c r="AK39" s="55" t="s">
        <v>78</v>
      </c>
      <c r="AL39" s="55" t="s">
        <v>81</v>
      </c>
      <c r="AM39" s="55" t="s">
        <v>81</v>
      </c>
      <c r="AN39" s="55" t="s">
        <v>78</v>
      </c>
      <c r="AO39" s="60" t="s">
        <v>81</v>
      </c>
      <c r="AP39" s="58" t="s">
        <v>74</v>
      </c>
      <c r="AQ39" s="55" t="s">
        <v>228</v>
      </c>
    </row>
    <row r="40" spans="1:43" ht="16.2" hidden="1" x14ac:dyDescent="0.45">
      <c r="A40" s="55" t="s">
        <v>800</v>
      </c>
      <c r="B40" s="55" t="s">
        <v>801</v>
      </c>
      <c r="C40" s="55">
        <v>2018</v>
      </c>
      <c r="D40" s="55" t="s">
        <v>314</v>
      </c>
      <c r="E40" s="56" t="s">
        <v>78</v>
      </c>
      <c r="F40" s="57" t="s">
        <v>557</v>
      </c>
      <c r="G40" s="56" t="s">
        <v>115</v>
      </c>
      <c r="H40" s="55" t="s">
        <v>115</v>
      </c>
      <c r="I40" s="55" t="s">
        <v>689</v>
      </c>
      <c r="J40" s="57" t="s">
        <v>81</v>
      </c>
      <c r="K40" s="55" t="s">
        <v>126</v>
      </c>
      <c r="L40" s="63">
        <v>1000000</v>
      </c>
      <c r="M40" s="63">
        <v>702183.08721816132</v>
      </c>
      <c r="N40" s="63">
        <v>1000000</v>
      </c>
      <c r="O40" s="63">
        <v>723227.91</v>
      </c>
      <c r="P40" s="63">
        <v>723227.91</v>
      </c>
      <c r="Q40" s="63">
        <v>1029970.5634682999</v>
      </c>
      <c r="R40" s="63">
        <v>723227.91</v>
      </c>
      <c r="S40" s="63">
        <v>723227.91</v>
      </c>
      <c r="T40" s="63">
        <v>1029970.5634682999</v>
      </c>
      <c r="U40" s="55" t="s">
        <v>75</v>
      </c>
      <c r="V40" s="55" t="s">
        <v>802</v>
      </c>
      <c r="W40" s="55" t="s">
        <v>81</v>
      </c>
      <c r="X40" s="59" t="s">
        <v>78</v>
      </c>
      <c r="Y40" s="59" t="s">
        <v>75</v>
      </c>
      <c r="Z40" s="55">
        <v>0</v>
      </c>
      <c r="AA40" s="55" t="s">
        <v>78</v>
      </c>
      <c r="AB40" s="55">
        <v>999</v>
      </c>
      <c r="AC40" s="55" t="s">
        <v>803</v>
      </c>
      <c r="AD40" s="55">
        <v>999</v>
      </c>
      <c r="AE40" s="55" t="s">
        <v>804</v>
      </c>
      <c r="AF40" s="55">
        <v>2</v>
      </c>
      <c r="AG40" s="55" t="s">
        <v>81</v>
      </c>
      <c r="AH40" s="55" t="s">
        <v>78</v>
      </c>
      <c r="AI40" s="59" t="s">
        <v>81</v>
      </c>
      <c r="AJ40" s="55" t="s">
        <v>78</v>
      </c>
      <c r="AK40" s="55" t="s">
        <v>78</v>
      </c>
      <c r="AL40" s="55" t="s">
        <v>81</v>
      </c>
      <c r="AM40" s="55" t="s">
        <v>81</v>
      </c>
      <c r="AN40" s="55" t="s">
        <v>78</v>
      </c>
      <c r="AO40" s="60" t="s">
        <v>81</v>
      </c>
      <c r="AP40" s="58" t="s">
        <v>126</v>
      </c>
      <c r="AQ40" s="55" t="s">
        <v>115</v>
      </c>
    </row>
    <row r="41" spans="1:43" ht="16.2" hidden="1" x14ac:dyDescent="0.45">
      <c r="A41" s="55" t="s">
        <v>805</v>
      </c>
      <c r="B41" s="55" t="s">
        <v>806</v>
      </c>
      <c r="C41" s="55">
        <v>2018</v>
      </c>
      <c r="D41" s="55" t="s">
        <v>297</v>
      </c>
      <c r="E41" s="56" t="s">
        <v>78</v>
      </c>
      <c r="F41" s="57" t="s">
        <v>566</v>
      </c>
      <c r="G41" s="56" t="s">
        <v>228</v>
      </c>
      <c r="H41" s="55" t="s">
        <v>228</v>
      </c>
      <c r="I41" s="55" t="s">
        <v>676</v>
      </c>
      <c r="J41" s="57" t="s">
        <v>81</v>
      </c>
      <c r="K41" s="55" t="s">
        <v>74</v>
      </c>
      <c r="L41" s="63">
        <v>35000000</v>
      </c>
      <c r="M41" s="63">
        <v>35000000</v>
      </c>
      <c r="N41" s="63">
        <v>49844550</v>
      </c>
      <c r="O41" s="63">
        <v>23664558.219999999</v>
      </c>
      <c r="P41" s="63">
        <v>23664558.219999999</v>
      </c>
      <c r="Q41" s="63">
        <v>33701407.297848597</v>
      </c>
      <c r="R41" s="63">
        <v>9200000</v>
      </c>
      <c r="S41" s="63">
        <v>9200000</v>
      </c>
      <c r="T41" s="63">
        <v>13101995.999999998</v>
      </c>
      <c r="U41" s="55" t="s">
        <v>75</v>
      </c>
      <c r="V41" s="55" t="s">
        <v>807</v>
      </c>
      <c r="W41" s="55" t="s">
        <v>75</v>
      </c>
      <c r="X41" s="59" t="s">
        <v>808</v>
      </c>
      <c r="Y41" s="59" t="s">
        <v>75</v>
      </c>
      <c r="Z41" s="55">
        <v>999</v>
      </c>
      <c r="AA41" s="55" t="s">
        <v>809</v>
      </c>
      <c r="AB41" s="55">
        <v>999</v>
      </c>
      <c r="AC41" s="55" t="s">
        <v>810</v>
      </c>
      <c r="AD41" s="55">
        <v>999</v>
      </c>
      <c r="AE41" s="55" t="s">
        <v>811</v>
      </c>
      <c r="AF41" s="55">
        <v>5</v>
      </c>
      <c r="AG41" s="55" t="s">
        <v>81</v>
      </c>
      <c r="AH41" s="55" t="s">
        <v>78</v>
      </c>
      <c r="AI41" s="59" t="s">
        <v>81</v>
      </c>
      <c r="AJ41" s="55" t="s">
        <v>78</v>
      </c>
      <c r="AK41" s="55" t="s">
        <v>78</v>
      </c>
      <c r="AL41" s="55" t="s">
        <v>81</v>
      </c>
      <c r="AM41" s="55" t="s">
        <v>81</v>
      </c>
      <c r="AN41" s="55" t="s">
        <v>78</v>
      </c>
      <c r="AO41" s="60" t="s">
        <v>75</v>
      </c>
      <c r="AP41" s="58" t="s">
        <v>74</v>
      </c>
      <c r="AQ41" s="55" t="s">
        <v>228</v>
      </c>
    </row>
    <row r="42" spans="1:43" ht="16.2" hidden="1" x14ac:dyDescent="0.45">
      <c r="A42" s="55" t="s">
        <v>812</v>
      </c>
      <c r="B42" s="55" t="s">
        <v>813</v>
      </c>
      <c r="C42" s="55">
        <v>2018</v>
      </c>
      <c r="D42" s="55" t="s">
        <v>297</v>
      </c>
      <c r="E42" s="56" t="s">
        <v>78</v>
      </c>
      <c r="F42" s="57" t="s">
        <v>566</v>
      </c>
      <c r="G42" s="55" t="s">
        <v>597</v>
      </c>
      <c r="H42" s="55" t="s">
        <v>101</v>
      </c>
      <c r="I42" s="55" t="s">
        <v>676</v>
      </c>
      <c r="J42" s="57" t="s">
        <v>81</v>
      </c>
      <c r="K42" s="55" t="s">
        <v>74</v>
      </c>
      <c r="L42" s="63">
        <v>40000000</v>
      </c>
      <c r="M42" s="63">
        <v>40000000</v>
      </c>
      <c r="N42" s="63">
        <v>56965199.999999993</v>
      </c>
      <c r="O42" s="63">
        <v>40000000</v>
      </c>
      <c r="P42" s="63">
        <v>40000000</v>
      </c>
      <c r="Q42" s="63">
        <v>56965199.999999993</v>
      </c>
      <c r="R42" s="63">
        <v>40000000</v>
      </c>
      <c r="S42" s="63">
        <v>40000000</v>
      </c>
      <c r="T42" s="63">
        <v>56965199.999999993</v>
      </c>
      <c r="U42" s="55" t="s">
        <v>81</v>
      </c>
      <c r="V42" s="55" t="s">
        <v>78</v>
      </c>
      <c r="W42" s="55" t="s">
        <v>81</v>
      </c>
      <c r="X42" s="59" t="s">
        <v>78</v>
      </c>
      <c r="Y42" s="59" t="s">
        <v>81</v>
      </c>
      <c r="Z42" s="55">
        <v>0</v>
      </c>
      <c r="AA42" s="55" t="s">
        <v>78</v>
      </c>
      <c r="AB42" s="55">
        <v>0</v>
      </c>
      <c r="AC42" s="55" t="s">
        <v>78</v>
      </c>
      <c r="AD42" s="55">
        <v>0</v>
      </c>
      <c r="AE42" s="55" t="s">
        <v>78</v>
      </c>
      <c r="AF42" s="55">
        <v>0</v>
      </c>
      <c r="AG42" s="55" t="s">
        <v>81</v>
      </c>
      <c r="AH42" s="55" t="s">
        <v>78</v>
      </c>
      <c r="AI42" s="59" t="s">
        <v>81</v>
      </c>
      <c r="AJ42" s="55" t="s">
        <v>78</v>
      </c>
      <c r="AK42" s="55" t="s">
        <v>78</v>
      </c>
      <c r="AL42" s="55" t="s">
        <v>81</v>
      </c>
      <c r="AM42" s="55" t="s">
        <v>81</v>
      </c>
      <c r="AN42" s="55" t="s">
        <v>78</v>
      </c>
      <c r="AO42" s="60" t="s">
        <v>81</v>
      </c>
      <c r="AP42" s="58" t="s">
        <v>74</v>
      </c>
      <c r="AQ42" s="55" t="s">
        <v>101</v>
      </c>
    </row>
    <row r="43" spans="1:43" ht="16.2" hidden="1" x14ac:dyDescent="0.45">
      <c r="A43" s="55" t="s">
        <v>814</v>
      </c>
      <c r="B43" s="55" t="s">
        <v>815</v>
      </c>
      <c r="C43" s="55">
        <v>2018</v>
      </c>
      <c r="D43" s="55" t="s">
        <v>514</v>
      </c>
      <c r="E43" s="56" t="s">
        <v>78</v>
      </c>
      <c r="F43" s="57" t="s">
        <v>567</v>
      </c>
      <c r="G43" s="56" t="s">
        <v>587</v>
      </c>
      <c r="H43" s="55" t="s">
        <v>256</v>
      </c>
      <c r="I43" s="55" t="s">
        <v>676</v>
      </c>
      <c r="J43" s="57" t="s">
        <v>81</v>
      </c>
      <c r="K43" s="55" t="s">
        <v>74</v>
      </c>
      <c r="L43" s="63">
        <v>48900000</v>
      </c>
      <c r="M43" s="63">
        <v>48900000</v>
      </c>
      <c r="N43" s="63">
        <v>69639957</v>
      </c>
      <c r="O43" s="63">
        <v>44000000</v>
      </c>
      <c r="P43" s="63">
        <v>44000000</v>
      </c>
      <c r="Q43" s="63">
        <v>62661719.999999993</v>
      </c>
      <c r="R43" s="63">
        <v>44000000</v>
      </c>
      <c r="S43" s="63">
        <v>44000000</v>
      </c>
      <c r="T43" s="63">
        <v>62661719.999999993</v>
      </c>
      <c r="U43" s="55" t="s">
        <v>75</v>
      </c>
      <c r="V43" s="55" t="s">
        <v>816</v>
      </c>
      <c r="W43" s="55" t="s">
        <v>81</v>
      </c>
      <c r="X43" s="59" t="s">
        <v>78</v>
      </c>
      <c r="Y43" s="59" t="s">
        <v>75</v>
      </c>
      <c r="Z43" s="55">
        <v>999</v>
      </c>
      <c r="AA43" s="55" t="s">
        <v>817</v>
      </c>
      <c r="AB43" s="55">
        <v>999</v>
      </c>
      <c r="AC43" s="55" t="s">
        <v>818</v>
      </c>
      <c r="AD43" s="55">
        <v>0</v>
      </c>
      <c r="AE43" s="55" t="s">
        <v>78</v>
      </c>
      <c r="AF43" s="55">
        <v>3</v>
      </c>
      <c r="AG43" s="55" t="s">
        <v>81</v>
      </c>
      <c r="AH43" s="55" t="s">
        <v>78</v>
      </c>
      <c r="AI43" s="59" t="s">
        <v>75</v>
      </c>
      <c r="AJ43" s="55" t="s">
        <v>256</v>
      </c>
      <c r="AK43" s="55" t="s">
        <v>796</v>
      </c>
      <c r="AL43" s="55" t="s">
        <v>81</v>
      </c>
      <c r="AM43" s="55" t="s">
        <v>81</v>
      </c>
      <c r="AN43" s="55" t="s">
        <v>78</v>
      </c>
      <c r="AO43" s="60" t="s">
        <v>81</v>
      </c>
      <c r="AP43" s="58" t="s">
        <v>74</v>
      </c>
      <c r="AQ43" s="55" t="s">
        <v>256</v>
      </c>
    </row>
    <row r="44" spans="1:43" ht="16.2" hidden="1" x14ac:dyDescent="0.45">
      <c r="A44" s="55" t="s">
        <v>819</v>
      </c>
      <c r="B44" s="55" t="s">
        <v>820</v>
      </c>
      <c r="C44" s="55">
        <v>2018</v>
      </c>
      <c r="D44" s="55" t="s">
        <v>445</v>
      </c>
      <c r="E44" s="56" t="s">
        <v>78</v>
      </c>
      <c r="F44" s="57" t="s">
        <v>552</v>
      </c>
      <c r="G44" s="56" t="s">
        <v>581</v>
      </c>
      <c r="H44" s="55" t="s">
        <v>228</v>
      </c>
      <c r="I44" s="55" t="s">
        <v>676</v>
      </c>
      <c r="J44" s="57" t="s">
        <v>81</v>
      </c>
      <c r="K44" s="55" t="s">
        <v>74</v>
      </c>
      <c r="L44" s="63">
        <v>5000000</v>
      </c>
      <c r="M44" s="63">
        <v>5000000</v>
      </c>
      <c r="N44" s="63">
        <v>7120649.9999999991</v>
      </c>
      <c r="O44" s="63">
        <v>4940000</v>
      </c>
      <c r="P44" s="63">
        <v>4940000</v>
      </c>
      <c r="Q44" s="63">
        <v>7035202.1999999993</v>
      </c>
      <c r="R44" s="63">
        <v>4940000</v>
      </c>
      <c r="S44" s="63">
        <v>4940000</v>
      </c>
      <c r="T44" s="63">
        <v>7035202.1999999993</v>
      </c>
      <c r="U44" s="55" t="s">
        <v>81</v>
      </c>
      <c r="V44" s="55" t="s">
        <v>78</v>
      </c>
      <c r="W44" s="55" t="s">
        <v>81</v>
      </c>
      <c r="X44" s="59" t="s">
        <v>78</v>
      </c>
      <c r="Y44" s="59" t="s">
        <v>81</v>
      </c>
      <c r="Z44" s="55">
        <v>0</v>
      </c>
      <c r="AA44" s="55" t="s">
        <v>78</v>
      </c>
      <c r="AB44" s="55">
        <v>0</v>
      </c>
      <c r="AC44" s="55" t="s">
        <v>78</v>
      </c>
      <c r="AD44" s="55">
        <v>0</v>
      </c>
      <c r="AE44" s="55" t="s">
        <v>78</v>
      </c>
      <c r="AF44" s="55">
        <v>0</v>
      </c>
      <c r="AG44" s="55" t="s">
        <v>81</v>
      </c>
      <c r="AH44" s="55" t="s">
        <v>78</v>
      </c>
      <c r="AI44" s="59" t="s">
        <v>81</v>
      </c>
      <c r="AJ44" s="55" t="s">
        <v>78</v>
      </c>
      <c r="AK44" s="55" t="s">
        <v>78</v>
      </c>
      <c r="AL44" s="55" t="s">
        <v>81</v>
      </c>
      <c r="AM44" s="55" t="s">
        <v>81</v>
      </c>
      <c r="AN44" s="55" t="s">
        <v>78</v>
      </c>
      <c r="AO44" s="60" t="s">
        <v>81</v>
      </c>
      <c r="AP44" s="58" t="s">
        <v>74</v>
      </c>
      <c r="AQ44" s="55" t="s">
        <v>228</v>
      </c>
    </row>
    <row r="45" spans="1:43" ht="16.2" hidden="1" x14ac:dyDescent="0.45">
      <c r="A45" s="55" t="s">
        <v>821</v>
      </c>
      <c r="B45" s="55" t="s">
        <v>822</v>
      </c>
      <c r="C45" s="55">
        <v>2018</v>
      </c>
      <c r="D45" s="55" t="s">
        <v>445</v>
      </c>
      <c r="E45" s="56" t="s">
        <v>78</v>
      </c>
      <c r="F45" s="57" t="s">
        <v>552</v>
      </c>
      <c r="G45" s="56" t="s">
        <v>228</v>
      </c>
      <c r="H45" s="55" t="s">
        <v>228</v>
      </c>
      <c r="I45" s="55" t="s">
        <v>676</v>
      </c>
      <c r="J45" s="57" t="s">
        <v>81</v>
      </c>
      <c r="K45" s="55" t="s">
        <v>74</v>
      </c>
      <c r="L45" s="63">
        <v>13000000</v>
      </c>
      <c r="M45" s="63">
        <v>13000000</v>
      </c>
      <c r="N45" s="63">
        <v>18513690</v>
      </c>
      <c r="O45" s="63">
        <v>11000000</v>
      </c>
      <c r="P45" s="63">
        <v>11000000</v>
      </c>
      <c r="Q45" s="63">
        <v>15665429.999999998</v>
      </c>
      <c r="R45" s="63">
        <v>11000000</v>
      </c>
      <c r="S45" s="63">
        <v>11000000</v>
      </c>
      <c r="T45" s="63">
        <v>15665429.999999998</v>
      </c>
      <c r="U45" s="55" t="s">
        <v>75</v>
      </c>
      <c r="V45" s="55" t="s">
        <v>823</v>
      </c>
      <c r="W45" s="55" t="s">
        <v>81</v>
      </c>
      <c r="X45" s="59" t="s">
        <v>78</v>
      </c>
      <c r="Y45" s="59" t="s">
        <v>75</v>
      </c>
      <c r="Z45" s="55">
        <v>999</v>
      </c>
      <c r="AA45" s="55" t="s">
        <v>824</v>
      </c>
      <c r="AB45" s="55">
        <v>999</v>
      </c>
      <c r="AC45" s="55" t="s">
        <v>825</v>
      </c>
      <c r="AD45" s="55">
        <v>0</v>
      </c>
      <c r="AE45" s="55" t="s">
        <v>78</v>
      </c>
      <c r="AF45" s="55">
        <v>2</v>
      </c>
      <c r="AG45" s="55" t="s">
        <v>75</v>
      </c>
      <c r="AH45" s="55" t="s">
        <v>826</v>
      </c>
      <c r="AI45" s="59" t="s">
        <v>81</v>
      </c>
      <c r="AJ45" s="55" t="s">
        <v>78</v>
      </c>
      <c r="AK45" s="55" t="s">
        <v>78</v>
      </c>
      <c r="AL45" s="55" t="s">
        <v>81</v>
      </c>
      <c r="AM45" s="55" t="s">
        <v>81</v>
      </c>
      <c r="AN45" s="55" t="s">
        <v>78</v>
      </c>
      <c r="AO45" s="60" t="s">
        <v>81</v>
      </c>
      <c r="AP45" s="58" t="s">
        <v>74</v>
      </c>
      <c r="AQ45" s="55" t="s">
        <v>228</v>
      </c>
    </row>
    <row r="46" spans="1:43" ht="16.2" x14ac:dyDescent="0.45">
      <c r="A46" s="55" t="s">
        <v>827</v>
      </c>
      <c r="B46" s="56" t="s">
        <v>828</v>
      </c>
      <c r="C46" s="55">
        <v>2018</v>
      </c>
      <c r="D46" s="55" t="s">
        <v>493</v>
      </c>
      <c r="E46" s="56" t="s">
        <v>78</v>
      </c>
      <c r="F46" s="57" t="s">
        <v>533</v>
      </c>
      <c r="G46" s="56" t="s">
        <v>466</v>
      </c>
      <c r="H46" s="56" t="s">
        <v>466</v>
      </c>
      <c r="I46" s="56" t="s">
        <v>689</v>
      </c>
      <c r="J46" s="61" t="s">
        <v>81</v>
      </c>
      <c r="K46" s="55" t="s">
        <v>126</v>
      </c>
      <c r="L46" s="63">
        <v>1000000</v>
      </c>
      <c r="M46" s="63">
        <v>702183.08721816132</v>
      </c>
      <c r="N46" s="63">
        <v>1000000</v>
      </c>
      <c r="O46" s="63">
        <v>723227.91</v>
      </c>
      <c r="P46" s="63">
        <v>723227.91</v>
      </c>
      <c r="Q46" s="63">
        <v>1029970.5634682999</v>
      </c>
      <c r="R46" s="63">
        <v>723227.91</v>
      </c>
      <c r="S46" s="63">
        <v>723227.91</v>
      </c>
      <c r="T46" s="63">
        <v>1029970.5634682999</v>
      </c>
      <c r="U46" s="55" t="s">
        <v>81</v>
      </c>
      <c r="V46" s="55" t="s">
        <v>78</v>
      </c>
      <c r="W46" s="55" t="s">
        <v>81</v>
      </c>
      <c r="X46" s="59" t="s">
        <v>78</v>
      </c>
      <c r="Y46" s="59" t="s">
        <v>81</v>
      </c>
      <c r="Z46" s="55">
        <v>0</v>
      </c>
      <c r="AA46" s="55" t="s">
        <v>78</v>
      </c>
      <c r="AB46" s="55">
        <v>0</v>
      </c>
      <c r="AC46" s="55" t="s">
        <v>78</v>
      </c>
      <c r="AD46" s="55">
        <v>0</v>
      </c>
      <c r="AE46" s="55" t="s">
        <v>78</v>
      </c>
      <c r="AF46" s="55">
        <v>0</v>
      </c>
      <c r="AG46" s="55" t="s">
        <v>81</v>
      </c>
      <c r="AH46" s="55" t="s">
        <v>78</v>
      </c>
      <c r="AI46" s="59" t="s">
        <v>81</v>
      </c>
      <c r="AJ46" s="55" t="s">
        <v>78</v>
      </c>
      <c r="AK46" s="55" t="s">
        <v>78</v>
      </c>
      <c r="AL46" s="55" t="s">
        <v>81</v>
      </c>
      <c r="AM46" s="55" t="s">
        <v>81</v>
      </c>
      <c r="AN46" s="55" t="s">
        <v>78</v>
      </c>
      <c r="AO46" s="60" t="s">
        <v>81</v>
      </c>
      <c r="AP46" s="58" t="s">
        <v>126</v>
      </c>
      <c r="AQ46" s="56" t="s">
        <v>466</v>
      </c>
    </row>
    <row r="47" spans="1:43" ht="16.2" hidden="1" x14ac:dyDescent="0.45">
      <c r="A47" s="55" t="s">
        <v>829</v>
      </c>
      <c r="B47" s="56" t="s">
        <v>830</v>
      </c>
      <c r="C47" s="55">
        <v>2018</v>
      </c>
      <c r="D47" s="55" t="s">
        <v>498</v>
      </c>
      <c r="E47" s="56" t="s">
        <v>78</v>
      </c>
      <c r="F47" s="57" t="s">
        <v>540</v>
      </c>
      <c r="G47" s="56" t="s">
        <v>599</v>
      </c>
      <c r="H47" s="55" t="s">
        <v>101</v>
      </c>
      <c r="I47" s="55" t="s">
        <v>676</v>
      </c>
      <c r="J47" s="57" t="s">
        <v>81</v>
      </c>
      <c r="K47" s="55" t="s">
        <v>74</v>
      </c>
      <c r="L47" s="63">
        <v>1000000</v>
      </c>
      <c r="M47" s="63">
        <v>1000000</v>
      </c>
      <c r="N47" s="63">
        <v>1424130</v>
      </c>
      <c r="O47" s="63">
        <v>1000000</v>
      </c>
      <c r="P47" s="63">
        <v>1000000</v>
      </c>
      <c r="Q47" s="63">
        <v>1424130</v>
      </c>
      <c r="R47" s="63">
        <v>1000000</v>
      </c>
      <c r="S47" s="63">
        <v>1000000</v>
      </c>
      <c r="T47" s="63">
        <v>1424130</v>
      </c>
      <c r="U47" s="55" t="s">
        <v>81</v>
      </c>
      <c r="V47" s="55" t="s">
        <v>78</v>
      </c>
      <c r="W47" s="55" t="s">
        <v>81</v>
      </c>
      <c r="X47" s="59" t="s">
        <v>78</v>
      </c>
      <c r="Y47" s="59" t="s">
        <v>81</v>
      </c>
      <c r="Z47" s="55">
        <v>0</v>
      </c>
      <c r="AA47" s="55" t="s">
        <v>78</v>
      </c>
      <c r="AB47" s="55">
        <v>0</v>
      </c>
      <c r="AC47" s="55" t="s">
        <v>78</v>
      </c>
      <c r="AD47" s="55">
        <v>0</v>
      </c>
      <c r="AE47" s="55" t="s">
        <v>78</v>
      </c>
      <c r="AF47" s="55">
        <v>0</v>
      </c>
      <c r="AG47" s="55" t="s">
        <v>81</v>
      </c>
      <c r="AH47" s="55" t="s">
        <v>78</v>
      </c>
      <c r="AI47" s="59" t="s">
        <v>81</v>
      </c>
      <c r="AJ47" s="55" t="s">
        <v>78</v>
      </c>
      <c r="AK47" s="55" t="s">
        <v>78</v>
      </c>
      <c r="AL47" s="55" t="s">
        <v>81</v>
      </c>
      <c r="AM47" s="55" t="s">
        <v>81</v>
      </c>
      <c r="AN47" s="55" t="s">
        <v>78</v>
      </c>
      <c r="AO47" s="60" t="s">
        <v>81</v>
      </c>
      <c r="AP47" s="58" t="s">
        <v>74</v>
      </c>
      <c r="AQ47" s="55" t="s">
        <v>101</v>
      </c>
    </row>
    <row r="48" spans="1:43" ht="16.2" hidden="1" x14ac:dyDescent="0.45">
      <c r="A48" s="55" t="s">
        <v>831</v>
      </c>
      <c r="B48" s="56" t="s">
        <v>832</v>
      </c>
      <c r="C48" s="55">
        <v>2018</v>
      </c>
      <c r="D48" s="55" t="s">
        <v>145</v>
      </c>
      <c r="E48" s="56" t="s">
        <v>78</v>
      </c>
      <c r="F48" s="57" t="s">
        <v>543</v>
      </c>
      <c r="G48" s="55" t="s">
        <v>596</v>
      </c>
      <c r="H48" s="56" t="s">
        <v>101</v>
      </c>
      <c r="I48" s="56" t="s">
        <v>689</v>
      </c>
      <c r="J48" s="61" t="s">
        <v>81</v>
      </c>
      <c r="K48" s="55" t="s">
        <v>74</v>
      </c>
      <c r="L48" s="63">
        <v>1200000</v>
      </c>
      <c r="M48" s="63">
        <v>1200000</v>
      </c>
      <c r="N48" s="63">
        <v>1708955.9999999998</v>
      </c>
      <c r="O48" s="63">
        <v>1200000</v>
      </c>
      <c r="P48" s="63">
        <v>1200000</v>
      </c>
      <c r="Q48" s="63">
        <v>1708955.9999999998</v>
      </c>
      <c r="R48" s="63">
        <v>1200000</v>
      </c>
      <c r="S48" s="63">
        <v>1200000</v>
      </c>
      <c r="T48" s="63">
        <v>1708955.9999999998</v>
      </c>
      <c r="U48" s="55" t="s">
        <v>81</v>
      </c>
      <c r="V48" s="55" t="s">
        <v>78</v>
      </c>
      <c r="W48" s="55" t="s">
        <v>81</v>
      </c>
      <c r="X48" s="59" t="s">
        <v>78</v>
      </c>
      <c r="Y48" s="59" t="s">
        <v>81</v>
      </c>
      <c r="Z48" s="55">
        <v>0</v>
      </c>
      <c r="AA48" s="55" t="s">
        <v>78</v>
      </c>
      <c r="AB48" s="55">
        <v>0</v>
      </c>
      <c r="AC48" s="55" t="s">
        <v>78</v>
      </c>
      <c r="AD48" s="55">
        <v>0</v>
      </c>
      <c r="AE48" s="55" t="s">
        <v>78</v>
      </c>
      <c r="AF48" s="55">
        <v>0</v>
      </c>
      <c r="AG48" s="55" t="s">
        <v>81</v>
      </c>
      <c r="AH48" s="55" t="s">
        <v>78</v>
      </c>
      <c r="AI48" s="59" t="s">
        <v>81</v>
      </c>
      <c r="AJ48" s="55" t="s">
        <v>78</v>
      </c>
      <c r="AK48" s="55" t="s">
        <v>78</v>
      </c>
      <c r="AL48" s="55" t="s">
        <v>81</v>
      </c>
      <c r="AM48" s="55" t="s">
        <v>81</v>
      </c>
      <c r="AN48" s="55" t="s">
        <v>78</v>
      </c>
      <c r="AO48" s="60" t="s">
        <v>81</v>
      </c>
      <c r="AP48" s="58" t="s">
        <v>74</v>
      </c>
      <c r="AQ48" s="56" t="s">
        <v>101</v>
      </c>
    </row>
    <row r="49" spans="1:43" ht="16.2" hidden="1" x14ac:dyDescent="0.45">
      <c r="A49" s="55" t="s">
        <v>833</v>
      </c>
      <c r="B49" s="56" t="s">
        <v>834</v>
      </c>
      <c r="C49" s="55">
        <v>2018</v>
      </c>
      <c r="D49" s="55" t="s">
        <v>377</v>
      </c>
      <c r="E49" s="56" t="s">
        <v>78</v>
      </c>
      <c r="F49" s="57" t="s">
        <v>544</v>
      </c>
      <c r="G49" s="55" t="s">
        <v>596</v>
      </c>
      <c r="H49" s="55" t="s">
        <v>101</v>
      </c>
      <c r="I49" s="55" t="s">
        <v>676</v>
      </c>
      <c r="J49" s="57" t="s">
        <v>81</v>
      </c>
      <c r="K49" s="55" t="s">
        <v>74</v>
      </c>
      <c r="L49" s="63">
        <v>1000000</v>
      </c>
      <c r="M49" s="63">
        <v>1000000</v>
      </c>
      <c r="N49" s="63">
        <v>1424130</v>
      </c>
      <c r="O49" s="63">
        <v>1000000</v>
      </c>
      <c r="P49" s="63">
        <v>1000000</v>
      </c>
      <c r="Q49" s="63">
        <v>1424130</v>
      </c>
      <c r="R49" s="63">
        <v>1000000</v>
      </c>
      <c r="S49" s="63">
        <v>1000000</v>
      </c>
      <c r="T49" s="63">
        <v>1424130</v>
      </c>
      <c r="U49" s="55" t="s">
        <v>81</v>
      </c>
      <c r="V49" s="55" t="s">
        <v>78</v>
      </c>
      <c r="W49" s="55" t="s">
        <v>81</v>
      </c>
      <c r="X49" s="59" t="s">
        <v>78</v>
      </c>
      <c r="Y49" s="59" t="s">
        <v>81</v>
      </c>
      <c r="Z49" s="55">
        <v>0</v>
      </c>
      <c r="AA49" s="55" t="s">
        <v>78</v>
      </c>
      <c r="AB49" s="55">
        <v>0</v>
      </c>
      <c r="AC49" s="55" t="s">
        <v>78</v>
      </c>
      <c r="AD49" s="55">
        <v>0</v>
      </c>
      <c r="AE49" s="55" t="s">
        <v>78</v>
      </c>
      <c r="AF49" s="55">
        <v>0</v>
      </c>
      <c r="AG49" s="55" t="s">
        <v>81</v>
      </c>
      <c r="AH49" s="55" t="s">
        <v>78</v>
      </c>
      <c r="AI49" s="59" t="s">
        <v>81</v>
      </c>
      <c r="AJ49" s="55" t="s">
        <v>78</v>
      </c>
      <c r="AK49" s="55" t="s">
        <v>78</v>
      </c>
      <c r="AL49" s="55" t="s">
        <v>81</v>
      </c>
      <c r="AM49" s="55" t="s">
        <v>81</v>
      </c>
      <c r="AN49" s="55" t="s">
        <v>78</v>
      </c>
      <c r="AO49" s="60" t="s">
        <v>81</v>
      </c>
      <c r="AP49" s="58" t="s">
        <v>74</v>
      </c>
      <c r="AQ49" s="55" t="s">
        <v>101</v>
      </c>
    </row>
    <row r="50" spans="1:43" ht="16.2" hidden="1" x14ac:dyDescent="0.45">
      <c r="A50" s="55" t="s">
        <v>835</v>
      </c>
      <c r="B50" s="56" t="s">
        <v>836</v>
      </c>
      <c r="C50" s="55">
        <v>2018</v>
      </c>
      <c r="D50" s="55" t="s">
        <v>273</v>
      </c>
      <c r="E50" s="56" t="s">
        <v>78</v>
      </c>
      <c r="F50" s="57" t="s">
        <v>549</v>
      </c>
      <c r="G50" s="56" t="s">
        <v>581</v>
      </c>
      <c r="H50" s="56" t="s">
        <v>228</v>
      </c>
      <c r="I50" s="56" t="s">
        <v>837</v>
      </c>
      <c r="J50" s="61" t="s">
        <v>81</v>
      </c>
      <c r="K50" s="55" t="s">
        <v>74</v>
      </c>
      <c r="L50" s="63">
        <v>15000000</v>
      </c>
      <c r="M50" s="63">
        <v>15000000</v>
      </c>
      <c r="N50" s="63">
        <v>21361950</v>
      </c>
      <c r="O50" s="63">
        <v>13000000</v>
      </c>
      <c r="P50" s="63">
        <v>13000000</v>
      </c>
      <c r="Q50" s="63">
        <v>18513690</v>
      </c>
      <c r="R50" s="63">
        <v>7000000</v>
      </c>
      <c r="S50" s="63">
        <v>7000000</v>
      </c>
      <c r="T50" s="63">
        <v>9968910</v>
      </c>
      <c r="U50" s="55" t="s">
        <v>75</v>
      </c>
      <c r="V50" s="55" t="s">
        <v>838</v>
      </c>
      <c r="W50" s="55" t="s">
        <v>81</v>
      </c>
      <c r="X50" s="59" t="s">
        <v>78</v>
      </c>
      <c r="Y50" s="59" t="s">
        <v>75</v>
      </c>
      <c r="Z50" s="55">
        <v>0</v>
      </c>
      <c r="AA50" s="55" t="s">
        <v>78</v>
      </c>
      <c r="AB50" s="55">
        <v>999</v>
      </c>
      <c r="AC50" s="55" t="s">
        <v>839</v>
      </c>
      <c r="AD50" s="55">
        <v>999</v>
      </c>
      <c r="AE50" s="55" t="s">
        <v>840</v>
      </c>
      <c r="AF50" s="55">
        <v>3</v>
      </c>
      <c r="AG50" s="55" t="s">
        <v>81</v>
      </c>
      <c r="AH50" s="55" t="s">
        <v>78</v>
      </c>
      <c r="AI50" s="59" t="s">
        <v>81</v>
      </c>
      <c r="AJ50" s="55" t="s">
        <v>78</v>
      </c>
      <c r="AK50" s="55" t="s">
        <v>78</v>
      </c>
      <c r="AL50" s="55" t="s">
        <v>81</v>
      </c>
      <c r="AM50" s="55" t="s">
        <v>81</v>
      </c>
      <c r="AN50" s="55" t="s">
        <v>78</v>
      </c>
      <c r="AO50" s="60" t="s">
        <v>81</v>
      </c>
      <c r="AP50" s="58" t="s">
        <v>74</v>
      </c>
      <c r="AQ50" s="56" t="s">
        <v>228</v>
      </c>
    </row>
    <row r="51" spans="1:43" ht="16.2" hidden="1" x14ac:dyDescent="0.45">
      <c r="A51" s="55" t="s">
        <v>841</v>
      </c>
      <c r="B51" s="56" t="s">
        <v>842</v>
      </c>
      <c r="C51" s="55">
        <v>2018</v>
      </c>
      <c r="D51" s="55" t="s">
        <v>445</v>
      </c>
      <c r="E51" s="56" t="s">
        <v>78</v>
      </c>
      <c r="F51" s="57" t="s">
        <v>552</v>
      </c>
      <c r="G51" s="56" t="s">
        <v>228</v>
      </c>
      <c r="H51" s="55" t="s">
        <v>228</v>
      </c>
      <c r="I51" s="55" t="s">
        <v>676</v>
      </c>
      <c r="J51" s="57" t="s">
        <v>81</v>
      </c>
      <c r="K51" s="55" t="s">
        <v>74</v>
      </c>
      <c r="L51" s="63">
        <v>11000000</v>
      </c>
      <c r="M51" s="63">
        <v>11000000</v>
      </c>
      <c r="N51" s="63">
        <v>15665429.999999998</v>
      </c>
      <c r="O51" s="63">
        <v>10000000</v>
      </c>
      <c r="P51" s="63">
        <v>10000000</v>
      </c>
      <c r="Q51" s="63">
        <v>14241299.999999998</v>
      </c>
      <c r="R51" s="63">
        <v>10000000</v>
      </c>
      <c r="S51" s="63">
        <v>10000000</v>
      </c>
      <c r="T51" s="63">
        <v>14241299.999999998</v>
      </c>
      <c r="U51" s="55" t="s">
        <v>81</v>
      </c>
      <c r="V51" s="55" t="s">
        <v>78</v>
      </c>
      <c r="W51" s="55" t="s">
        <v>81</v>
      </c>
      <c r="X51" s="59" t="s">
        <v>78</v>
      </c>
      <c r="Y51" s="59" t="s">
        <v>81</v>
      </c>
      <c r="Z51" s="55">
        <v>0</v>
      </c>
      <c r="AA51" s="55" t="s">
        <v>78</v>
      </c>
      <c r="AB51" s="55">
        <v>0</v>
      </c>
      <c r="AC51" s="55" t="s">
        <v>78</v>
      </c>
      <c r="AD51" s="55">
        <v>0</v>
      </c>
      <c r="AE51" s="55" t="s">
        <v>78</v>
      </c>
      <c r="AF51" s="55">
        <v>0</v>
      </c>
      <c r="AG51" s="55" t="s">
        <v>75</v>
      </c>
      <c r="AH51" s="55" t="s">
        <v>826</v>
      </c>
      <c r="AI51" s="59" t="s">
        <v>81</v>
      </c>
      <c r="AJ51" s="55" t="s">
        <v>78</v>
      </c>
      <c r="AK51" s="55" t="s">
        <v>78</v>
      </c>
      <c r="AL51" s="55" t="s">
        <v>81</v>
      </c>
      <c r="AM51" s="55" t="s">
        <v>81</v>
      </c>
      <c r="AN51" s="55" t="s">
        <v>78</v>
      </c>
      <c r="AO51" s="60" t="s">
        <v>81</v>
      </c>
      <c r="AP51" s="58" t="s">
        <v>74</v>
      </c>
      <c r="AQ51" s="55" t="s">
        <v>228</v>
      </c>
    </row>
    <row r="52" spans="1:43" ht="16.2" hidden="1" x14ac:dyDescent="0.45">
      <c r="A52" s="55" t="s">
        <v>843</v>
      </c>
      <c r="B52" s="56" t="s">
        <v>844</v>
      </c>
      <c r="C52" s="55">
        <v>2018</v>
      </c>
      <c r="D52" s="55" t="s">
        <v>282</v>
      </c>
      <c r="E52" s="56" t="s">
        <v>78</v>
      </c>
      <c r="F52" s="57" t="s">
        <v>553</v>
      </c>
      <c r="G52" s="55" t="s">
        <v>596</v>
      </c>
      <c r="H52" s="55" t="s">
        <v>101</v>
      </c>
      <c r="I52" s="55" t="s">
        <v>689</v>
      </c>
      <c r="J52" s="57" t="s">
        <v>81</v>
      </c>
      <c r="K52" s="55" t="s">
        <v>74</v>
      </c>
      <c r="L52" s="63">
        <v>1000000</v>
      </c>
      <c r="M52" s="63">
        <v>1000000</v>
      </c>
      <c r="N52" s="63">
        <v>1424130</v>
      </c>
      <c r="O52" s="63">
        <v>1000000</v>
      </c>
      <c r="P52" s="63">
        <v>1000000</v>
      </c>
      <c r="Q52" s="63">
        <v>1424130</v>
      </c>
      <c r="R52" s="63">
        <v>1000000</v>
      </c>
      <c r="S52" s="63">
        <v>1000000</v>
      </c>
      <c r="T52" s="63">
        <v>1424130</v>
      </c>
      <c r="U52" s="55" t="s">
        <v>81</v>
      </c>
      <c r="V52" s="55" t="s">
        <v>78</v>
      </c>
      <c r="W52" s="55" t="s">
        <v>81</v>
      </c>
      <c r="X52" s="59" t="s">
        <v>78</v>
      </c>
      <c r="Y52" s="59" t="s">
        <v>81</v>
      </c>
      <c r="Z52" s="55">
        <v>0</v>
      </c>
      <c r="AA52" s="55" t="s">
        <v>78</v>
      </c>
      <c r="AB52" s="55">
        <v>0</v>
      </c>
      <c r="AC52" s="55" t="s">
        <v>78</v>
      </c>
      <c r="AD52" s="55">
        <v>0</v>
      </c>
      <c r="AE52" s="55" t="s">
        <v>78</v>
      </c>
      <c r="AF52" s="55">
        <v>0</v>
      </c>
      <c r="AG52" s="55" t="s">
        <v>81</v>
      </c>
      <c r="AH52" s="55" t="s">
        <v>78</v>
      </c>
      <c r="AI52" s="59" t="s">
        <v>81</v>
      </c>
      <c r="AJ52" s="55" t="s">
        <v>78</v>
      </c>
      <c r="AK52" s="55" t="s">
        <v>78</v>
      </c>
      <c r="AL52" s="55" t="s">
        <v>81</v>
      </c>
      <c r="AM52" s="55" t="s">
        <v>81</v>
      </c>
      <c r="AN52" s="55" t="s">
        <v>78</v>
      </c>
      <c r="AO52" s="60" t="s">
        <v>81</v>
      </c>
      <c r="AP52" s="58" t="s">
        <v>74</v>
      </c>
      <c r="AQ52" s="55" t="s">
        <v>101</v>
      </c>
    </row>
    <row r="53" spans="1:43" ht="16.2" hidden="1" x14ac:dyDescent="0.45">
      <c r="A53" s="55" t="s">
        <v>845</v>
      </c>
      <c r="B53" s="56" t="s">
        <v>846</v>
      </c>
      <c r="C53" s="55">
        <v>2018</v>
      </c>
      <c r="D53" s="55" t="s">
        <v>254</v>
      </c>
      <c r="E53" s="56" t="s">
        <v>78</v>
      </c>
      <c r="F53" s="57" t="s">
        <v>555</v>
      </c>
      <c r="G53" s="56" t="s">
        <v>587</v>
      </c>
      <c r="H53" s="56" t="s">
        <v>256</v>
      </c>
      <c r="I53" s="56" t="s">
        <v>676</v>
      </c>
      <c r="J53" s="61" t="s">
        <v>81</v>
      </c>
      <c r="K53" s="55" t="s">
        <v>126</v>
      </c>
      <c r="L53" s="63">
        <v>1969830.55</v>
      </c>
      <c r="M53" s="63">
        <v>1383181.6968956487</v>
      </c>
      <c r="N53" s="63">
        <v>1969830.55</v>
      </c>
      <c r="O53" s="63">
        <v>15674999.460000001</v>
      </c>
      <c r="P53" s="63">
        <v>15674999.460000001</v>
      </c>
      <c r="Q53" s="63">
        <v>22323236.980969798</v>
      </c>
      <c r="R53" s="63">
        <v>13705168.91</v>
      </c>
      <c r="S53" s="63">
        <v>13705168.91</v>
      </c>
      <c r="T53" s="63">
        <v>19517942.199798297</v>
      </c>
      <c r="U53" s="55" t="s">
        <v>75</v>
      </c>
      <c r="V53" s="55" t="s">
        <v>847</v>
      </c>
      <c r="W53" s="55" t="s">
        <v>81</v>
      </c>
      <c r="X53" s="59" t="s">
        <v>78</v>
      </c>
      <c r="Y53" s="59" t="s">
        <v>75</v>
      </c>
      <c r="Z53" s="55">
        <v>999</v>
      </c>
      <c r="AA53" s="55" t="s">
        <v>848</v>
      </c>
      <c r="AB53" s="55">
        <v>999</v>
      </c>
      <c r="AC53" s="55" t="s">
        <v>849</v>
      </c>
      <c r="AD53" s="55">
        <v>0</v>
      </c>
      <c r="AE53" s="55" t="s">
        <v>78</v>
      </c>
      <c r="AF53" s="55">
        <v>3</v>
      </c>
      <c r="AG53" s="55" t="s">
        <v>75</v>
      </c>
      <c r="AH53" s="55" t="s">
        <v>787</v>
      </c>
      <c r="AI53" s="59" t="s">
        <v>75</v>
      </c>
      <c r="AJ53" s="55" t="s">
        <v>256</v>
      </c>
      <c r="AK53" s="55" t="s">
        <v>796</v>
      </c>
      <c r="AL53" s="55" t="s">
        <v>81</v>
      </c>
      <c r="AM53" s="55" t="s">
        <v>81</v>
      </c>
      <c r="AN53" s="55" t="s">
        <v>78</v>
      </c>
      <c r="AO53" s="60" t="s">
        <v>81</v>
      </c>
      <c r="AP53" s="58" t="s">
        <v>126</v>
      </c>
      <c r="AQ53" s="56" t="s">
        <v>256</v>
      </c>
    </row>
    <row r="54" spans="1:43" ht="16.2" hidden="1" x14ac:dyDescent="0.45">
      <c r="A54" s="55" t="s">
        <v>850</v>
      </c>
      <c r="B54" s="56" t="s">
        <v>851</v>
      </c>
      <c r="C54" s="55">
        <v>2018</v>
      </c>
      <c r="D54" s="55" t="s">
        <v>314</v>
      </c>
      <c r="E54" s="56" t="s">
        <v>78</v>
      </c>
      <c r="F54" s="57" t="s">
        <v>557</v>
      </c>
      <c r="G54" s="56" t="s">
        <v>585</v>
      </c>
      <c r="H54" s="55" t="s">
        <v>228</v>
      </c>
      <c r="I54" s="55" t="s">
        <v>689</v>
      </c>
      <c r="J54" s="57" t="s">
        <v>81</v>
      </c>
      <c r="K54" s="55" t="s">
        <v>126</v>
      </c>
      <c r="L54" s="63">
        <v>100000000</v>
      </c>
      <c r="M54" s="63">
        <v>70218308.721816137</v>
      </c>
      <c r="N54" s="63">
        <v>100000000.00000001</v>
      </c>
      <c r="O54" s="63">
        <v>28929116.43</v>
      </c>
      <c r="P54" s="63">
        <v>28929116.43</v>
      </c>
      <c r="Q54" s="63">
        <v>41198822.581455894</v>
      </c>
      <c r="R54" s="63">
        <v>28929116.43</v>
      </c>
      <c r="S54" s="63">
        <v>28929116.43</v>
      </c>
      <c r="T54" s="63">
        <v>41198822.581455894</v>
      </c>
      <c r="U54" s="55" t="s">
        <v>81</v>
      </c>
      <c r="V54" s="55" t="s">
        <v>78</v>
      </c>
      <c r="W54" s="55" t="s">
        <v>81</v>
      </c>
      <c r="X54" s="59" t="s">
        <v>78</v>
      </c>
      <c r="Y54" s="59" t="s">
        <v>81</v>
      </c>
      <c r="Z54" s="55">
        <v>0</v>
      </c>
      <c r="AA54" s="55" t="s">
        <v>78</v>
      </c>
      <c r="AB54" s="55">
        <v>0</v>
      </c>
      <c r="AC54" s="55" t="s">
        <v>78</v>
      </c>
      <c r="AD54" s="55">
        <v>0</v>
      </c>
      <c r="AE54" s="55" t="s">
        <v>78</v>
      </c>
      <c r="AF54" s="55">
        <v>0</v>
      </c>
      <c r="AG54" s="55" t="s">
        <v>81</v>
      </c>
      <c r="AH54" s="55" t="s">
        <v>78</v>
      </c>
      <c r="AI54" s="59" t="s">
        <v>81</v>
      </c>
      <c r="AJ54" s="55" t="s">
        <v>78</v>
      </c>
      <c r="AK54" s="55" t="s">
        <v>78</v>
      </c>
      <c r="AL54" s="55" t="s">
        <v>81</v>
      </c>
      <c r="AM54" s="55" t="s">
        <v>81</v>
      </c>
      <c r="AN54" s="55" t="s">
        <v>78</v>
      </c>
      <c r="AO54" s="60" t="s">
        <v>81</v>
      </c>
      <c r="AP54" s="58" t="s">
        <v>126</v>
      </c>
      <c r="AQ54" s="55" t="s">
        <v>228</v>
      </c>
    </row>
    <row r="55" spans="1:43" ht="16.2" hidden="1" x14ac:dyDescent="0.45">
      <c r="A55" s="55" t="s">
        <v>852</v>
      </c>
      <c r="B55" s="56" t="s">
        <v>853</v>
      </c>
      <c r="C55" s="55">
        <v>2018</v>
      </c>
      <c r="D55" s="55" t="s">
        <v>419</v>
      </c>
      <c r="E55" s="56" t="s">
        <v>78</v>
      </c>
      <c r="F55" s="57" t="s">
        <v>563</v>
      </c>
      <c r="G55" s="56" t="s">
        <v>588</v>
      </c>
      <c r="H55" s="55" t="s">
        <v>256</v>
      </c>
      <c r="I55" s="55" t="s">
        <v>689</v>
      </c>
      <c r="J55" s="57" t="s">
        <v>81</v>
      </c>
      <c r="K55" s="55" t="s">
        <v>616</v>
      </c>
      <c r="L55" s="63">
        <v>807528000</v>
      </c>
      <c r="M55" s="63">
        <v>46080471.117248617</v>
      </c>
      <c r="N55" s="63">
        <v>65624581.33220727</v>
      </c>
      <c r="O55" s="63">
        <v>36321518.869999997</v>
      </c>
      <c r="P55" s="63">
        <v>36321518.869999997</v>
      </c>
      <c r="Q55" s="63">
        <v>51726564.668333091</v>
      </c>
      <c r="R55" s="63">
        <v>36321518.869999997</v>
      </c>
      <c r="S55" s="63">
        <v>36321518.869999997</v>
      </c>
      <c r="T55" s="63">
        <v>51726564.668333091</v>
      </c>
      <c r="U55" s="55" t="s">
        <v>75</v>
      </c>
      <c r="V55" s="55" t="s">
        <v>854</v>
      </c>
      <c r="W55" s="55" t="s">
        <v>75</v>
      </c>
      <c r="X55" s="59" t="s">
        <v>855</v>
      </c>
      <c r="Y55" s="59" t="s">
        <v>75</v>
      </c>
      <c r="Z55" s="55">
        <v>0</v>
      </c>
      <c r="AA55" s="58" t="s">
        <v>78</v>
      </c>
      <c r="AB55" s="55">
        <v>999</v>
      </c>
      <c r="AC55" s="55" t="s">
        <v>856</v>
      </c>
      <c r="AD55" s="55">
        <v>999</v>
      </c>
      <c r="AE55" s="55" t="s">
        <v>857</v>
      </c>
      <c r="AF55" s="58">
        <v>2</v>
      </c>
      <c r="AG55" s="55" t="s">
        <v>75</v>
      </c>
      <c r="AH55" s="55" t="s">
        <v>826</v>
      </c>
      <c r="AI55" s="59" t="s">
        <v>75</v>
      </c>
      <c r="AJ55" s="55" t="s">
        <v>795</v>
      </c>
      <c r="AK55" s="55" t="s">
        <v>78</v>
      </c>
      <c r="AL55" s="55" t="s">
        <v>81</v>
      </c>
      <c r="AM55" s="55" t="s">
        <v>81</v>
      </c>
      <c r="AN55" s="55" t="s">
        <v>78</v>
      </c>
      <c r="AO55" s="60" t="s">
        <v>75</v>
      </c>
      <c r="AP55" s="58" t="s">
        <v>616</v>
      </c>
      <c r="AQ55" s="55" t="s">
        <v>256</v>
      </c>
    </row>
    <row r="56" spans="1:43" ht="16.2" hidden="1" x14ac:dyDescent="0.45">
      <c r="A56" s="58" t="s">
        <v>858</v>
      </c>
      <c r="B56" s="58" t="s">
        <v>859</v>
      </c>
      <c r="C56" s="58">
        <v>2018</v>
      </c>
      <c r="D56" s="55" t="s">
        <v>70</v>
      </c>
      <c r="E56" s="58" t="s">
        <v>78</v>
      </c>
      <c r="F56" s="57" t="s">
        <v>570</v>
      </c>
      <c r="G56" s="55" t="s">
        <v>596</v>
      </c>
      <c r="H56" s="58" t="s">
        <v>101</v>
      </c>
      <c r="I56" s="58" t="s">
        <v>676</v>
      </c>
      <c r="J56" s="62" t="s">
        <v>81</v>
      </c>
      <c r="K56" s="55" t="s">
        <v>74</v>
      </c>
      <c r="L56" s="63">
        <v>1000000</v>
      </c>
      <c r="M56" s="63">
        <v>1000000</v>
      </c>
      <c r="N56" s="63">
        <v>1424130</v>
      </c>
      <c r="O56" s="63">
        <v>1102058</v>
      </c>
      <c r="P56" s="63">
        <v>1102058</v>
      </c>
      <c r="Q56" s="63">
        <v>1569473.8595399999</v>
      </c>
      <c r="R56" s="63">
        <v>1102058</v>
      </c>
      <c r="S56" s="63">
        <v>1102058</v>
      </c>
      <c r="T56" s="63">
        <v>1569473.8595399999</v>
      </c>
      <c r="U56" s="58" t="s">
        <v>75</v>
      </c>
      <c r="V56" s="58" t="s">
        <v>860</v>
      </c>
      <c r="W56" s="58" t="s">
        <v>81</v>
      </c>
      <c r="X56" s="59" t="s">
        <v>78</v>
      </c>
      <c r="Y56" s="59" t="s">
        <v>75</v>
      </c>
      <c r="Z56" s="58">
        <v>999</v>
      </c>
      <c r="AA56" s="58" t="s">
        <v>861</v>
      </c>
      <c r="AB56" s="55">
        <v>0</v>
      </c>
      <c r="AC56" s="55" t="s">
        <v>78</v>
      </c>
      <c r="AD56" s="58">
        <v>0</v>
      </c>
      <c r="AE56" s="55" t="s">
        <v>78</v>
      </c>
      <c r="AF56" s="58">
        <v>1</v>
      </c>
      <c r="AG56" s="55" t="s">
        <v>75</v>
      </c>
      <c r="AH56" s="58" t="s">
        <v>862</v>
      </c>
      <c r="AI56" s="59" t="s">
        <v>75</v>
      </c>
      <c r="AJ56" s="58" t="s">
        <v>466</v>
      </c>
      <c r="AK56" s="55" t="s">
        <v>704</v>
      </c>
      <c r="AL56" s="55" t="s">
        <v>81</v>
      </c>
      <c r="AM56" s="55" t="s">
        <v>81</v>
      </c>
      <c r="AN56" s="55" t="s">
        <v>78</v>
      </c>
      <c r="AO56" s="60" t="s">
        <v>81</v>
      </c>
      <c r="AP56" s="58" t="s">
        <v>74</v>
      </c>
      <c r="AQ56" s="58" t="s">
        <v>101</v>
      </c>
    </row>
    <row r="57" spans="1:43" ht="16.2" hidden="1" x14ac:dyDescent="0.45">
      <c r="A57" s="55" t="s">
        <v>863</v>
      </c>
      <c r="B57" s="56" t="s">
        <v>864</v>
      </c>
      <c r="C57" s="55">
        <v>2018</v>
      </c>
      <c r="D57" s="55" t="s">
        <v>87</v>
      </c>
      <c r="E57" s="55" t="s">
        <v>500</v>
      </c>
      <c r="F57" s="57" t="s">
        <v>1848</v>
      </c>
      <c r="G57" s="56" t="s">
        <v>594</v>
      </c>
      <c r="H57" s="55" t="s">
        <v>101</v>
      </c>
      <c r="I57" s="55" t="s">
        <v>676</v>
      </c>
      <c r="J57" s="57" t="s">
        <v>81</v>
      </c>
      <c r="K57" s="55" t="s">
        <v>74</v>
      </c>
      <c r="L57" s="63">
        <v>112280000</v>
      </c>
      <c r="M57" s="63">
        <v>112280000</v>
      </c>
      <c r="N57" s="63">
        <v>159901316.39999998</v>
      </c>
      <c r="O57" s="63">
        <v>94532230.969999999</v>
      </c>
      <c r="P57" s="63">
        <v>94532230.969999999</v>
      </c>
      <c r="Q57" s="63">
        <v>134626186.09130609</v>
      </c>
      <c r="R57" s="63">
        <v>62380000</v>
      </c>
      <c r="S57" s="63">
        <v>62380000</v>
      </c>
      <c r="T57" s="63">
        <v>88837229.399999991</v>
      </c>
      <c r="U57" s="55" t="s">
        <v>81</v>
      </c>
      <c r="V57" s="55" t="s">
        <v>78</v>
      </c>
      <c r="W57" s="55" t="s">
        <v>81</v>
      </c>
      <c r="X57" s="59" t="s">
        <v>78</v>
      </c>
      <c r="Y57" s="59" t="s">
        <v>81</v>
      </c>
      <c r="Z57" s="55">
        <v>0</v>
      </c>
      <c r="AA57" s="55" t="s">
        <v>78</v>
      </c>
      <c r="AB57" s="55">
        <v>0</v>
      </c>
      <c r="AC57" s="55" t="s">
        <v>78</v>
      </c>
      <c r="AD57" s="55">
        <v>0</v>
      </c>
      <c r="AE57" s="55" t="s">
        <v>78</v>
      </c>
      <c r="AF57" s="55">
        <v>0</v>
      </c>
      <c r="AG57" s="55" t="s">
        <v>81</v>
      </c>
      <c r="AH57" s="55" t="s">
        <v>78</v>
      </c>
      <c r="AI57" s="59" t="s">
        <v>81</v>
      </c>
      <c r="AJ57" s="55" t="s">
        <v>78</v>
      </c>
      <c r="AK57" s="55" t="s">
        <v>78</v>
      </c>
      <c r="AL57" s="55" t="s">
        <v>81</v>
      </c>
      <c r="AM57" s="55" t="s">
        <v>81</v>
      </c>
      <c r="AN57" s="55" t="s">
        <v>78</v>
      </c>
      <c r="AO57" s="60" t="s">
        <v>81</v>
      </c>
      <c r="AP57" s="58" t="s">
        <v>74</v>
      </c>
      <c r="AQ57" s="55" t="s">
        <v>101</v>
      </c>
    </row>
    <row r="58" spans="1:43" ht="16.2" hidden="1" x14ac:dyDescent="0.45">
      <c r="A58" s="55" t="s">
        <v>865</v>
      </c>
      <c r="B58" s="56" t="s">
        <v>866</v>
      </c>
      <c r="C58" s="55">
        <v>2018</v>
      </c>
      <c r="D58" s="55" t="s">
        <v>87</v>
      </c>
      <c r="E58" s="55" t="s">
        <v>867</v>
      </c>
      <c r="F58" s="57" t="s">
        <v>1848</v>
      </c>
      <c r="G58" s="56" t="s">
        <v>580</v>
      </c>
      <c r="H58" s="55" t="s">
        <v>115</v>
      </c>
      <c r="I58" s="55" t="s">
        <v>676</v>
      </c>
      <c r="J58" s="57" t="s">
        <v>81</v>
      </c>
      <c r="K58" s="55" t="s">
        <v>74</v>
      </c>
      <c r="L58" s="63">
        <v>25000000</v>
      </c>
      <c r="M58" s="63">
        <v>25000000</v>
      </c>
      <c r="N58" s="63">
        <v>35603250</v>
      </c>
      <c r="O58" s="63">
        <v>2500000</v>
      </c>
      <c r="P58" s="63">
        <v>2500000</v>
      </c>
      <c r="Q58" s="63">
        <v>3560324.9999999995</v>
      </c>
      <c r="R58" s="63">
        <v>2500000</v>
      </c>
      <c r="S58" s="63">
        <v>2500000</v>
      </c>
      <c r="T58" s="63">
        <v>3560324.9999999995</v>
      </c>
      <c r="U58" s="55" t="s">
        <v>81</v>
      </c>
      <c r="V58" s="55" t="s">
        <v>78</v>
      </c>
      <c r="W58" s="55" t="s">
        <v>81</v>
      </c>
      <c r="X58" s="59" t="s">
        <v>78</v>
      </c>
      <c r="Y58" s="59" t="s">
        <v>81</v>
      </c>
      <c r="Z58" s="55">
        <v>0</v>
      </c>
      <c r="AA58" s="55" t="s">
        <v>78</v>
      </c>
      <c r="AB58" s="55">
        <v>0</v>
      </c>
      <c r="AC58" s="55" t="s">
        <v>78</v>
      </c>
      <c r="AD58" s="55">
        <v>0</v>
      </c>
      <c r="AE58" s="55" t="s">
        <v>78</v>
      </c>
      <c r="AF58" s="55">
        <v>0</v>
      </c>
      <c r="AG58" s="55" t="s">
        <v>81</v>
      </c>
      <c r="AH58" s="55" t="s">
        <v>78</v>
      </c>
      <c r="AI58" s="59" t="s">
        <v>81</v>
      </c>
      <c r="AJ58" s="55" t="s">
        <v>78</v>
      </c>
      <c r="AK58" s="55" t="s">
        <v>78</v>
      </c>
      <c r="AL58" s="55" t="s">
        <v>81</v>
      </c>
      <c r="AM58" s="55" t="s">
        <v>81</v>
      </c>
      <c r="AN58" s="55" t="s">
        <v>78</v>
      </c>
      <c r="AO58" s="60" t="s">
        <v>81</v>
      </c>
      <c r="AP58" s="58" t="s">
        <v>74</v>
      </c>
      <c r="AQ58" s="55" t="s">
        <v>115</v>
      </c>
    </row>
    <row r="59" spans="1:43" ht="16.2" hidden="1" x14ac:dyDescent="0.45">
      <c r="A59" s="55" t="s">
        <v>868</v>
      </c>
      <c r="B59" s="56" t="s">
        <v>869</v>
      </c>
      <c r="C59" s="55">
        <v>2018</v>
      </c>
      <c r="D59" s="55" t="s">
        <v>87</v>
      </c>
      <c r="E59" s="55" t="s">
        <v>870</v>
      </c>
      <c r="F59" s="57" t="s">
        <v>1848</v>
      </c>
      <c r="G59" s="56" t="s">
        <v>115</v>
      </c>
      <c r="H59" s="55" t="s">
        <v>115</v>
      </c>
      <c r="I59" s="55" t="s">
        <v>676</v>
      </c>
      <c r="J59" s="57" t="s">
        <v>81</v>
      </c>
      <c r="K59" s="55" t="s">
        <v>74</v>
      </c>
      <c r="L59" s="63">
        <v>6740000</v>
      </c>
      <c r="M59" s="63">
        <v>6740000</v>
      </c>
      <c r="N59" s="63">
        <v>9598636.1999999993</v>
      </c>
      <c r="O59" s="63">
        <v>6740000</v>
      </c>
      <c r="P59" s="63">
        <v>6740000</v>
      </c>
      <c r="Q59" s="63">
        <v>9598636.1999999993</v>
      </c>
      <c r="R59" s="63">
        <v>6740000</v>
      </c>
      <c r="S59" s="63">
        <v>6740000</v>
      </c>
      <c r="T59" s="63">
        <v>9598636.1999999993</v>
      </c>
      <c r="U59" s="55" t="s">
        <v>81</v>
      </c>
      <c r="V59" s="55" t="s">
        <v>78</v>
      </c>
      <c r="W59" s="55" t="s">
        <v>81</v>
      </c>
      <c r="X59" s="59" t="s">
        <v>78</v>
      </c>
      <c r="Y59" s="59" t="s">
        <v>81</v>
      </c>
      <c r="Z59" s="55">
        <v>0</v>
      </c>
      <c r="AA59" s="55" t="s">
        <v>78</v>
      </c>
      <c r="AB59" s="55">
        <v>0</v>
      </c>
      <c r="AC59" s="55" t="s">
        <v>78</v>
      </c>
      <c r="AD59" s="55">
        <v>0</v>
      </c>
      <c r="AE59" s="55" t="s">
        <v>78</v>
      </c>
      <c r="AF59" s="55">
        <v>0</v>
      </c>
      <c r="AG59" s="55" t="s">
        <v>81</v>
      </c>
      <c r="AH59" s="55" t="s">
        <v>78</v>
      </c>
      <c r="AI59" s="59" t="s">
        <v>81</v>
      </c>
      <c r="AJ59" s="55" t="s">
        <v>78</v>
      </c>
      <c r="AK59" s="55" t="s">
        <v>78</v>
      </c>
      <c r="AL59" s="55" t="s">
        <v>81</v>
      </c>
      <c r="AM59" s="55" t="s">
        <v>81</v>
      </c>
      <c r="AN59" s="55" t="s">
        <v>78</v>
      </c>
      <c r="AO59" s="60" t="s">
        <v>81</v>
      </c>
      <c r="AP59" s="58" t="s">
        <v>74</v>
      </c>
      <c r="AQ59" s="55" t="s">
        <v>115</v>
      </c>
    </row>
    <row r="60" spans="1:43" ht="16.2" hidden="1" x14ac:dyDescent="0.45">
      <c r="A60" s="55" t="s">
        <v>871</v>
      </c>
      <c r="B60" s="56" t="s">
        <v>872</v>
      </c>
      <c r="C60" s="55">
        <v>2018</v>
      </c>
      <c r="D60" s="55" t="s">
        <v>87</v>
      </c>
      <c r="E60" s="55" t="s">
        <v>873</v>
      </c>
      <c r="F60" s="57" t="s">
        <v>1848</v>
      </c>
      <c r="G60" s="56" t="s">
        <v>594</v>
      </c>
      <c r="H60" s="55" t="s">
        <v>101</v>
      </c>
      <c r="I60" s="55" t="s">
        <v>676</v>
      </c>
      <c r="J60" s="57" t="s">
        <v>75</v>
      </c>
      <c r="K60" s="55" t="s">
        <v>126</v>
      </c>
      <c r="L60" s="63">
        <v>1500000</v>
      </c>
      <c r="M60" s="63">
        <v>1053274.630827242</v>
      </c>
      <c r="N60" s="63">
        <v>1500000</v>
      </c>
      <c r="O60" s="63">
        <v>1084841.8700000001</v>
      </c>
      <c r="P60" s="63">
        <v>1084841.8700000001</v>
      </c>
      <c r="Q60" s="63">
        <v>1544955.8523231</v>
      </c>
      <c r="R60" s="63">
        <v>0</v>
      </c>
      <c r="S60" s="63">
        <v>0</v>
      </c>
      <c r="T60" s="63">
        <v>0</v>
      </c>
      <c r="U60" s="55" t="s">
        <v>75</v>
      </c>
      <c r="V60" s="55" t="s">
        <v>874</v>
      </c>
      <c r="W60" s="55" t="s">
        <v>81</v>
      </c>
      <c r="X60" s="59" t="s">
        <v>78</v>
      </c>
      <c r="Y60" s="59" t="s">
        <v>75</v>
      </c>
      <c r="Z60" s="55">
        <v>999</v>
      </c>
      <c r="AA60" s="55" t="s">
        <v>875</v>
      </c>
      <c r="AB60" s="55">
        <v>0</v>
      </c>
      <c r="AC60" s="55" t="s">
        <v>78</v>
      </c>
      <c r="AD60" s="55">
        <v>0</v>
      </c>
      <c r="AE60" s="55" t="s">
        <v>78</v>
      </c>
      <c r="AF60" s="55">
        <v>1</v>
      </c>
      <c r="AG60" s="55" t="s">
        <v>81</v>
      </c>
      <c r="AH60" s="55" t="s">
        <v>78</v>
      </c>
      <c r="AI60" s="59" t="s">
        <v>75</v>
      </c>
      <c r="AJ60" s="55" t="s">
        <v>795</v>
      </c>
      <c r="AK60" s="55" t="s">
        <v>78</v>
      </c>
      <c r="AL60" s="55" t="s">
        <v>81</v>
      </c>
      <c r="AM60" s="55" t="s">
        <v>81</v>
      </c>
      <c r="AN60" s="55" t="s">
        <v>78</v>
      </c>
      <c r="AO60" s="60" t="s">
        <v>81</v>
      </c>
      <c r="AP60" s="58" t="s">
        <v>126</v>
      </c>
      <c r="AQ60" s="55" t="s">
        <v>101</v>
      </c>
    </row>
    <row r="61" spans="1:43" ht="16.2" hidden="1" x14ac:dyDescent="0.45">
      <c r="A61" s="55" t="s">
        <v>876</v>
      </c>
      <c r="B61" s="56" t="s">
        <v>877</v>
      </c>
      <c r="C61" s="55">
        <v>2018</v>
      </c>
      <c r="D61" s="55" t="s">
        <v>87</v>
      </c>
      <c r="E61" s="55" t="s">
        <v>184</v>
      </c>
      <c r="F61" s="57" t="s">
        <v>1848</v>
      </c>
      <c r="G61" s="56" t="s">
        <v>593</v>
      </c>
      <c r="H61" s="55" t="s">
        <v>101</v>
      </c>
      <c r="I61" s="55" t="s">
        <v>676</v>
      </c>
      <c r="J61" s="57" t="s">
        <v>75</v>
      </c>
      <c r="K61" s="55" t="s">
        <v>126</v>
      </c>
      <c r="L61" s="63">
        <v>4141429</v>
      </c>
      <c r="M61" s="63">
        <v>2908041.4007148226</v>
      </c>
      <c r="N61" s="63">
        <v>4141429</v>
      </c>
      <c r="O61" s="63">
        <v>2995197.04</v>
      </c>
      <c r="P61" s="63">
        <v>2995197.04</v>
      </c>
      <c r="Q61" s="63">
        <v>4265549.9605751997</v>
      </c>
      <c r="R61" s="63">
        <v>0</v>
      </c>
      <c r="S61" s="63">
        <v>0</v>
      </c>
      <c r="T61" s="63">
        <v>0</v>
      </c>
      <c r="U61" s="55" t="s">
        <v>81</v>
      </c>
      <c r="V61" s="55" t="s">
        <v>78</v>
      </c>
      <c r="W61" s="55" t="s">
        <v>81</v>
      </c>
      <c r="X61" s="59" t="s">
        <v>78</v>
      </c>
      <c r="Y61" s="59" t="s">
        <v>81</v>
      </c>
      <c r="Z61" s="55">
        <v>0</v>
      </c>
      <c r="AA61" s="55" t="s">
        <v>78</v>
      </c>
      <c r="AB61" s="55">
        <v>0</v>
      </c>
      <c r="AC61" s="55" t="s">
        <v>78</v>
      </c>
      <c r="AD61" s="55">
        <v>0</v>
      </c>
      <c r="AE61" s="55" t="s">
        <v>78</v>
      </c>
      <c r="AF61" s="55">
        <v>0</v>
      </c>
      <c r="AG61" s="55" t="s">
        <v>81</v>
      </c>
      <c r="AH61" s="55" t="s">
        <v>78</v>
      </c>
      <c r="AI61" s="59" t="s">
        <v>81</v>
      </c>
      <c r="AJ61" s="55" t="s">
        <v>78</v>
      </c>
      <c r="AK61" s="55" t="s">
        <v>78</v>
      </c>
      <c r="AL61" s="55" t="s">
        <v>81</v>
      </c>
      <c r="AM61" s="55" t="s">
        <v>81</v>
      </c>
      <c r="AN61" s="55" t="s">
        <v>78</v>
      </c>
      <c r="AO61" s="60" t="s">
        <v>81</v>
      </c>
      <c r="AP61" s="58" t="s">
        <v>126</v>
      </c>
      <c r="AQ61" s="55" t="s">
        <v>101</v>
      </c>
    </row>
    <row r="62" spans="1:43" ht="16.2" hidden="1" x14ac:dyDescent="0.45">
      <c r="A62" s="55" t="s">
        <v>878</v>
      </c>
      <c r="B62" s="56" t="s">
        <v>879</v>
      </c>
      <c r="C62" s="55">
        <v>2018</v>
      </c>
      <c r="D62" s="55" t="s">
        <v>87</v>
      </c>
      <c r="E62" s="55" t="s">
        <v>880</v>
      </c>
      <c r="F62" s="57" t="s">
        <v>1848</v>
      </c>
      <c r="G62" s="56" t="s">
        <v>589</v>
      </c>
      <c r="H62" s="55" t="s">
        <v>256</v>
      </c>
      <c r="I62" s="55" t="s">
        <v>676</v>
      </c>
      <c r="J62" s="57" t="s">
        <v>75</v>
      </c>
      <c r="K62" s="55" t="s">
        <v>126</v>
      </c>
      <c r="L62" s="63">
        <v>500000</v>
      </c>
      <c r="M62" s="63">
        <v>351091.54360908066</v>
      </c>
      <c r="N62" s="63">
        <v>500000</v>
      </c>
      <c r="O62" s="63">
        <v>361613.96</v>
      </c>
      <c r="P62" s="63">
        <v>361613.96</v>
      </c>
      <c r="Q62" s="63">
        <v>514985.28885479999</v>
      </c>
      <c r="R62" s="63">
        <v>0</v>
      </c>
      <c r="S62" s="63">
        <v>0</v>
      </c>
      <c r="T62" s="63">
        <v>0</v>
      </c>
      <c r="U62" s="55" t="s">
        <v>81</v>
      </c>
      <c r="V62" s="55" t="s">
        <v>78</v>
      </c>
      <c r="W62" s="55" t="s">
        <v>81</v>
      </c>
      <c r="X62" s="59" t="s">
        <v>78</v>
      </c>
      <c r="Y62" s="59" t="s">
        <v>81</v>
      </c>
      <c r="Z62" s="55">
        <v>0</v>
      </c>
      <c r="AA62" s="55" t="s">
        <v>78</v>
      </c>
      <c r="AB62" s="55">
        <v>0</v>
      </c>
      <c r="AC62" s="55" t="s">
        <v>78</v>
      </c>
      <c r="AD62" s="55">
        <v>0</v>
      </c>
      <c r="AE62" s="55" t="s">
        <v>78</v>
      </c>
      <c r="AF62" s="55">
        <v>0</v>
      </c>
      <c r="AG62" s="55" t="s">
        <v>81</v>
      </c>
      <c r="AH62" s="55" t="s">
        <v>78</v>
      </c>
      <c r="AI62" s="59" t="s">
        <v>81</v>
      </c>
      <c r="AJ62" s="55" t="s">
        <v>78</v>
      </c>
      <c r="AK62" s="55" t="s">
        <v>78</v>
      </c>
      <c r="AL62" s="55" t="s">
        <v>81</v>
      </c>
      <c r="AM62" s="55" t="s">
        <v>81</v>
      </c>
      <c r="AN62" s="55" t="s">
        <v>78</v>
      </c>
      <c r="AO62" s="60" t="s">
        <v>81</v>
      </c>
      <c r="AP62" s="58" t="s">
        <v>126</v>
      </c>
      <c r="AQ62" s="55" t="s">
        <v>256</v>
      </c>
    </row>
    <row r="63" spans="1:43" ht="16.2" hidden="1" x14ac:dyDescent="0.45">
      <c r="A63" s="55" t="s">
        <v>881</v>
      </c>
      <c r="B63" s="56" t="s">
        <v>882</v>
      </c>
      <c r="C63" s="55">
        <v>2018</v>
      </c>
      <c r="D63" s="55" t="s">
        <v>87</v>
      </c>
      <c r="E63" s="55" t="s">
        <v>883</v>
      </c>
      <c r="F63" s="57" t="s">
        <v>1848</v>
      </c>
      <c r="G63" s="55" t="s">
        <v>596</v>
      </c>
      <c r="H63" s="55" t="s">
        <v>101</v>
      </c>
      <c r="I63" s="55" t="s">
        <v>676</v>
      </c>
      <c r="J63" s="57" t="s">
        <v>81</v>
      </c>
      <c r="K63" s="55" t="s">
        <v>74</v>
      </c>
      <c r="L63" s="63">
        <v>2000000</v>
      </c>
      <c r="M63" s="63">
        <v>2000000</v>
      </c>
      <c r="N63" s="63">
        <v>2848260</v>
      </c>
      <c r="O63" s="63">
        <v>2000000</v>
      </c>
      <c r="P63" s="63">
        <v>2000000</v>
      </c>
      <c r="Q63" s="63">
        <v>2848260</v>
      </c>
      <c r="R63" s="63">
        <v>2000000</v>
      </c>
      <c r="S63" s="63">
        <v>2000000</v>
      </c>
      <c r="T63" s="63">
        <v>2848260</v>
      </c>
      <c r="U63" s="55" t="s">
        <v>81</v>
      </c>
      <c r="V63" s="55" t="s">
        <v>78</v>
      </c>
      <c r="W63" s="55" t="s">
        <v>81</v>
      </c>
      <c r="X63" s="59" t="s">
        <v>78</v>
      </c>
      <c r="Y63" s="59" t="s">
        <v>81</v>
      </c>
      <c r="Z63" s="55">
        <v>0</v>
      </c>
      <c r="AA63" s="55" t="s">
        <v>78</v>
      </c>
      <c r="AB63" s="55">
        <v>0</v>
      </c>
      <c r="AC63" s="55" t="s">
        <v>78</v>
      </c>
      <c r="AD63" s="55">
        <v>0</v>
      </c>
      <c r="AE63" s="55" t="s">
        <v>78</v>
      </c>
      <c r="AF63" s="55">
        <v>0</v>
      </c>
      <c r="AG63" s="55" t="s">
        <v>81</v>
      </c>
      <c r="AH63" s="55" t="s">
        <v>78</v>
      </c>
      <c r="AI63" s="59" t="s">
        <v>81</v>
      </c>
      <c r="AJ63" s="55" t="s">
        <v>78</v>
      </c>
      <c r="AK63" s="55" t="s">
        <v>78</v>
      </c>
      <c r="AL63" s="55" t="s">
        <v>81</v>
      </c>
      <c r="AM63" s="55" t="s">
        <v>81</v>
      </c>
      <c r="AN63" s="55" t="s">
        <v>78</v>
      </c>
      <c r="AO63" s="60" t="s">
        <v>81</v>
      </c>
      <c r="AP63" s="58" t="s">
        <v>74</v>
      </c>
      <c r="AQ63" s="55" t="s">
        <v>101</v>
      </c>
    </row>
    <row r="64" spans="1:43" ht="16.2" hidden="1" x14ac:dyDescent="0.45">
      <c r="A64" s="55" t="s">
        <v>884</v>
      </c>
      <c r="B64" s="56" t="s">
        <v>885</v>
      </c>
      <c r="C64" s="55">
        <v>2018</v>
      </c>
      <c r="D64" s="55" t="s">
        <v>87</v>
      </c>
      <c r="E64" s="55" t="s">
        <v>886</v>
      </c>
      <c r="F64" s="57" t="s">
        <v>1848</v>
      </c>
      <c r="G64" s="56" t="s">
        <v>599</v>
      </c>
      <c r="H64" s="55" t="s">
        <v>101</v>
      </c>
      <c r="I64" s="55" t="s">
        <v>676</v>
      </c>
      <c r="J64" s="57" t="s">
        <v>81</v>
      </c>
      <c r="K64" s="55" t="s">
        <v>74</v>
      </c>
      <c r="L64" s="63">
        <v>1000000</v>
      </c>
      <c r="M64" s="63">
        <v>1000000</v>
      </c>
      <c r="N64" s="63">
        <v>1424130</v>
      </c>
      <c r="O64" s="63">
        <v>1000000</v>
      </c>
      <c r="P64" s="63">
        <v>1000000</v>
      </c>
      <c r="Q64" s="63">
        <v>1424130</v>
      </c>
      <c r="R64" s="63">
        <v>1000000</v>
      </c>
      <c r="S64" s="63">
        <v>1000000</v>
      </c>
      <c r="T64" s="63">
        <v>1424130</v>
      </c>
      <c r="U64" s="55" t="s">
        <v>81</v>
      </c>
      <c r="V64" s="55" t="s">
        <v>78</v>
      </c>
      <c r="W64" s="55" t="s">
        <v>81</v>
      </c>
      <c r="X64" s="59" t="s">
        <v>78</v>
      </c>
      <c r="Y64" s="59" t="s">
        <v>81</v>
      </c>
      <c r="Z64" s="55">
        <v>0</v>
      </c>
      <c r="AA64" s="55" t="s">
        <v>78</v>
      </c>
      <c r="AB64" s="55">
        <v>0</v>
      </c>
      <c r="AC64" s="55" t="s">
        <v>78</v>
      </c>
      <c r="AD64" s="55">
        <v>0</v>
      </c>
      <c r="AE64" s="55" t="s">
        <v>78</v>
      </c>
      <c r="AF64" s="55">
        <v>0</v>
      </c>
      <c r="AG64" s="55" t="s">
        <v>81</v>
      </c>
      <c r="AH64" s="55" t="s">
        <v>78</v>
      </c>
      <c r="AI64" s="59" t="s">
        <v>81</v>
      </c>
      <c r="AJ64" s="55" t="s">
        <v>78</v>
      </c>
      <c r="AK64" s="55" t="s">
        <v>78</v>
      </c>
      <c r="AL64" s="55" t="s">
        <v>81</v>
      </c>
      <c r="AM64" s="55" t="s">
        <v>81</v>
      </c>
      <c r="AN64" s="55" t="s">
        <v>78</v>
      </c>
      <c r="AO64" s="60" t="s">
        <v>81</v>
      </c>
      <c r="AP64" s="58" t="s">
        <v>74</v>
      </c>
      <c r="AQ64" s="55" t="s">
        <v>101</v>
      </c>
    </row>
    <row r="65" spans="1:43" ht="16.2" hidden="1" x14ac:dyDescent="0.45">
      <c r="A65" s="55" t="s">
        <v>887</v>
      </c>
      <c r="B65" s="56" t="s">
        <v>888</v>
      </c>
      <c r="C65" s="55">
        <v>2018</v>
      </c>
      <c r="D65" s="55" t="s">
        <v>87</v>
      </c>
      <c r="E65" s="56" t="s">
        <v>184</v>
      </c>
      <c r="F65" s="57" t="s">
        <v>1848</v>
      </c>
      <c r="G65" s="56" t="s">
        <v>585</v>
      </c>
      <c r="H65" s="56" t="s">
        <v>228</v>
      </c>
      <c r="I65" s="56" t="s">
        <v>676</v>
      </c>
      <c r="J65" s="61" t="s">
        <v>75</v>
      </c>
      <c r="K65" s="55" t="s">
        <v>126</v>
      </c>
      <c r="L65" s="63">
        <v>1000000</v>
      </c>
      <c r="M65" s="63">
        <v>702183.08721816132</v>
      </c>
      <c r="N65" s="63">
        <v>1000000</v>
      </c>
      <c r="O65" s="63">
        <v>723227.91</v>
      </c>
      <c r="P65" s="63">
        <v>723227.91</v>
      </c>
      <c r="Q65" s="63">
        <v>1029970.5634682999</v>
      </c>
      <c r="R65" s="63">
        <v>0</v>
      </c>
      <c r="S65" s="63">
        <v>0</v>
      </c>
      <c r="T65" s="63">
        <v>0</v>
      </c>
      <c r="U65" s="55" t="s">
        <v>81</v>
      </c>
      <c r="V65" s="55" t="s">
        <v>78</v>
      </c>
      <c r="W65" s="55" t="s">
        <v>81</v>
      </c>
      <c r="X65" s="59" t="s">
        <v>78</v>
      </c>
      <c r="Y65" s="59" t="s">
        <v>81</v>
      </c>
      <c r="Z65" s="55">
        <v>0</v>
      </c>
      <c r="AA65" s="55" t="s">
        <v>78</v>
      </c>
      <c r="AB65" s="55">
        <v>0</v>
      </c>
      <c r="AC65" s="55" t="s">
        <v>78</v>
      </c>
      <c r="AD65" s="55">
        <v>0</v>
      </c>
      <c r="AE65" s="55" t="s">
        <v>78</v>
      </c>
      <c r="AF65" s="55">
        <v>0</v>
      </c>
      <c r="AG65" s="55" t="s">
        <v>81</v>
      </c>
      <c r="AH65" s="55" t="s">
        <v>78</v>
      </c>
      <c r="AI65" s="59" t="s">
        <v>81</v>
      </c>
      <c r="AJ65" s="55" t="s">
        <v>78</v>
      </c>
      <c r="AK65" s="55" t="s">
        <v>78</v>
      </c>
      <c r="AL65" s="55" t="s">
        <v>81</v>
      </c>
      <c r="AM65" s="55" t="s">
        <v>81</v>
      </c>
      <c r="AN65" s="55" t="s">
        <v>78</v>
      </c>
      <c r="AO65" s="60" t="s">
        <v>81</v>
      </c>
      <c r="AP65" s="58" t="s">
        <v>126</v>
      </c>
      <c r="AQ65" s="56" t="s">
        <v>228</v>
      </c>
    </row>
    <row r="66" spans="1:43" ht="16.2" hidden="1" x14ac:dyDescent="0.45">
      <c r="A66" s="55" t="s">
        <v>889</v>
      </c>
      <c r="B66" s="56" t="s">
        <v>890</v>
      </c>
      <c r="C66" s="55">
        <v>2018</v>
      </c>
      <c r="D66" s="55" t="s">
        <v>497</v>
      </c>
      <c r="E66" s="56" t="s">
        <v>78</v>
      </c>
      <c r="F66" s="57" t="s">
        <v>538</v>
      </c>
      <c r="G66" s="56" t="s">
        <v>228</v>
      </c>
      <c r="H66" s="56" t="s">
        <v>228</v>
      </c>
      <c r="I66" s="56" t="s">
        <v>689</v>
      </c>
      <c r="J66" s="61" t="s">
        <v>81</v>
      </c>
      <c r="K66" s="55" t="s">
        <v>126</v>
      </c>
      <c r="L66" s="63">
        <v>600000000</v>
      </c>
      <c r="M66" s="63">
        <v>421309852.33089679</v>
      </c>
      <c r="N66" s="63">
        <v>600000000</v>
      </c>
      <c r="O66" s="63">
        <v>108484186.59999999</v>
      </c>
      <c r="P66" s="63">
        <v>108484186.59999999</v>
      </c>
      <c r="Q66" s="63">
        <v>154495584.66265798</v>
      </c>
      <c r="R66" s="63">
        <v>108484186.59999999</v>
      </c>
      <c r="S66" s="63">
        <v>108484186.59999999</v>
      </c>
      <c r="T66" s="63">
        <v>154495584.66265798</v>
      </c>
      <c r="U66" s="55" t="s">
        <v>81</v>
      </c>
      <c r="V66" s="55" t="s">
        <v>78</v>
      </c>
      <c r="W66" s="55" t="s">
        <v>81</v>
      </c>
      <c r="X66" s="59" t="s">
        <v>78</v>
      </c>
      <c r="Y66" s="59" t="s">
        <v>81</v>
      </c>
      <c r="Z66" s="55">
        <v>0</v>
      </c>
      <c r="AA66" s="55" t="s">
        <v>78</v>
      </c>
      <c r="AB66" s="55">
        <v>0</v>
      </c>
      <c r="AC66" s="55" t="s">
        <v>78</v>
      </c>
      <c r="AD66" s="55">
        <v>0</v>
      </c>
      <c r="AE66" s="55" t="s">
        <v>78</v>
      </c>
      <c r="AF66" s="55">
        <v>0</v>
      </c>
      <c r="AG66" s="55" t="s">
        <v>81</v>
      </c>
      <c r="AH66" s="55" t="s">
        <v>78</v>
      </c>
      <c r="AI66" s="59" t="s">
        <v>81</v>
      </c>
      <c r="AJ66" s="55" t="s">
        <v>78</v>
      </c>
      <c r="AK66" s="55" t="s">
        <v>78</v>
      </c>
      <c r="AL66" s="55" t="s">
        <v>81</v>
      </c>
      <c r="AM66" s="55" t="s">
        <v>81</v>
      </c>
      <c r="AN66" s="55" t="s">
        <v>78</v>
      </c>
      <c r="AO66" s="60" t="s">
        <v>81</v>
      </c>
      <c r="AP66" s="58" t="s">
        <v>126</v>
      </c>
      <c r="AQ66" s="56" t="s">
        <v>228</v>
      </c>
    </row>
    <row r="67" spans="1:43" ht="16.2" hidden="1" x14ac:dyDescent="0.45">
      <c r="A67" s="55" t="s">
        <v>891</v>
      </c>
      <c r="B67" s="56" t="s">
        <v>892</v>
      </c>
      <c r="C67" s="55">
        <v>2018</v>
      </c>
      <c r="D67" s="55" t="s">
        <v>497</v>
      </c>
      <c r="E67" s="56" t="s">
        <v>78</v>
      </c>
      <c r="F67" s="57" t="s">
        <v>538</v>
      </c>
      <c r="G67" s="56" t="s">
        <v>228</v>
      </c>
      <c r="H67" s="55" t="s">
        <v>228</v>
      </c>
      <c r="I67" s="55" t="s">
        <v>676</v>
      </c>
      <c r="J67" s="57" t="s">
        <v>81</v>
      </c>
      <c r="K67" s="55" t="s">
        <v>74</v>
      </c>
      <c r="L67" s="63">
        <v>10000000</v>
      </c>
      <c r="M67" s="63">
        <v>10000000</v>
      </c>
      <c r="N67" s="63">
        <v>14241299.999999998</v>
      </c>
      <c r="O67" s="63">
        <v>10000000</v>
      </c>
      <c r="P67" s="63">
        <v>10000000</v>
      </c>
      <c r="Q67" s="63">
        <v>14241299.999999998</v>
      </c>
      <c r="R67" s="63">
        <v>10000000</v>
      </c>
      <c r="S67" s="63">
        <v>10000000</v>
      </c>
      <c r="T67" s="63">
        <v>14241299.999999998</v>
      </c>
      <c r="U67" s="55" t="s">
        <v>81</v>
      </c>
      <c r="V67" s="55" t="s">
        <v>78</v>
      </c>
      <c r="W67" s="55" t="s">
        <v>81</v>
      </c>
      <c r="X67" s="59" t="s">
        <v>78</v>
      </c>
      <c r="Y67" s="59" t="s">
        <v>81</v>
      </c>
      <c r="Z67" s="55">
        <v>0</v>
      </c>
      <c r="AA67" s="55" t="s">
        <v>78</v>
      </c>
      <c r="AB67" s="55">
        <v>0</v>
      </c>
      <c r="AC67" s="55" t="s">
        <v>78</v>
      </c>
      <c r="AD67" s="55">
        <v>0</v>
      </c>
      <c r="AE67" s="55" t="s">
        <v>78</v>
      </c>
      <c r="AF67" s="55">
        <v>0</v>
      </c>
      <c r="AG67" s="55" t="s">
        <v>81</v>
      </c>
      <c r="AH67" s="55" t="s">
        <v>78</v>
      </c>
      <c r="AI67" s="59" t="s">
        <v>81</v>
      </c>
      <c r="AJ67" s="55" t="s">
        <v>78</v>
      </c>
      <c r="AK67" s="55" t="s">
        <v>78</v>
      </c>
      <c r="AL67" s="55" t="s">
        <v>81</v>
      </c>
      <c r="AM67" s="55" t="s">
        <v>81</v>
      </c>
      <c r="AN67" s="55" t="s">
        <v>78</v>
      </c>
      <c r="AO67" s="60" t="s">
        <v>81</v>
      </c>
      <c r="AP67" s="58" t="s">
        <v>74</v>
      </c>
      <c r="AQ67" s="55" t="s">
        <v>228</v>
      </c>
    </row>
    <row r="68" spans="1:43" ht="16.2" x14ac:dyDescent="0.45">
      <c r="A68" s="55" t="s">
        <v>893</v>
      </c>
      <c r="B68" s="56" t="s">
        <v>894</v>
      </c>
      <c r="C68" s="55">
        <v>2018</v>
      </c>
      <c r="D68" s="55" t="s">
        <v>184</v>
      </c>
      <c r="E68" s="56" t="s">
        <v>78</v>
      </c>
      <c r="F68" s="57" t="s">
        <v>554</v>
      </c>
      <c r="G68" s="56" t="s">
        <v>466</v>
      </c>
      <c r="H68" s="55" t="s">
        <v>466</v>
      </c>
      <c r="I68" s="55" t="s">
        <v>676</v>
      </c>
      <c r="J68" s="57" t="s">
        <v>81</v>
      </c>
      <c r="K68" s="55" t="s">
        <v>74</v>
      </c>
      <c r="L68" s="63">
        <v>10000000</v>
      </c>
      <c r="M68" s="63">
        <v>10000000</v>
      </c>
      <c r="N68" s="63">
        <v>14241299.999999998</v>
      </c>
      <c r="O68" s="63">
        <v>3990000</v>
      </c>
      <c r="P68" s="63">
        <v>3990000</v>
      </c>
      <c r="Q68" s="63">
        <v>5682278.6999999993</v>
      </c>
      <c r="R68" s="63">
        <v>3990000</v>
      </c>
      <c r="S68" s="63">
        <v>3990000</v>
      </c>
      <c r="T68" s="63">
        <v>5682278.6999999993</v>
      </c>
      <c r="U68" s="55" t="s">
        <v>75</v>
      </c>
      <c r="V68" s="55" t="s">
        <v>847</v>
      </c>
      <c r="W68" s="55" t="s">
        <v>81</v>
      </c>
      <c r="X68" s="59" t="s">
        <v>78</v>
      </c>
      <c r="Y68" s="59" t="s">
        <v>75</v>
      </c>
      <c r="Z68" s="55">
        <v>999</v>
      </c>
      <c r="AA68" s="55" t="s">
        <v>895</v>
      </c>
      <c r="AB68" s="55">
        <v>999</v>
      </c>
      <c r="AC68" s="55" t="s">
        <v>896</v>
      </c>
      <c r="AD68" s="55">
        <v>999</v>
      </c>
      <c r="AE68" s="55" t="s">
        <v>897</v>
      </c>
      <c r="AF68" s="55">
        <v>4</v>
      </c>
      <c r="AG68" s="55" t="s">
        <v>81</v>
      </c>
      <c r="AH68" s="55" t="s">
        <v>78</v>
      </c>
      <c r="AI68" s="59" t="s">
        <v>75</v>
      </c>
      <c r="AJ68" s="55" t="s">
        <v>256</v>
      </c>
      <c r="AK68" s="55" t="s">
        <v>78</v>
      </c>
      <c r="AL68" s="55" t="s">
        <v>81</v>
      </c>
      <c r="AM68" s="55" t="s">
        <v>81</v>
      </c>
      <c r="AN68" s="55" t="s">
        <v>78</v>
      </c>
      <c r="AO68" s="60" t="s">
        <v>81</v>
      </c>
      <c r="AP68" s="58" t="s">
        <v>74</v>
      </c>
      <c r="AQ68" s="55" t="s">
        <v>466</v>
      </c>
    </row>
    <row r="69" spans="1:43" ht="16.2" hidden="1" x14ac:dyDescent="0.45">
      <c r="A69" s="55" t="s">
        <v>898</v>
      </c>
      <c r="B69" s="56" t="s">
        <v>899</v>
      </c>
      <c r="C69" s="55">
        <v>2018</v>
      </c>
      <c r="D69" s="55" t="s">
        <v>482</v>
      </c>
      <c r="E69" s="56" t="s">
        <v>78</v>
      </c>
      <c r="F69" s="57" t="s">
        <v>527</v>
      </c>
      <c r="G69" s="55" t="s">
        <v>596</v>
      </c>
      <c r="H69" s="55" t="s">
        <v>101</v>
      </c>
      <c r="I69" s="55" t="s">
        <v>676</v>
      </c>
      <c r="J69" s="57" t="s">
        <v>81</v>
      </c>
      <c r="K69" s="55" t="s">
        <v>74</v>
      </c>
      <c r="L69" s="63">
        <v>7000000</v>
      </c>
      <c r="M69" s="63">
        <v>7000000</v>
      </c>
      <c r="N69" s="63">
        <v>9968910</v>
      </c>
      <c r="O69" s="63">
        <v>7000000</v>
      </c>
      <c r="P69" s="63">
        <v>7000000</v>
      </c>
      <c r="Q69" s="63">
        <v>9968910</v>
      </c>
      <c r="R69" s="63">
        <v>7000000</v>
      </c>
      <c r="S69" s="63">
        <v>7000000</v>
      </c>
      <c r="T69" s="63">
        <v>9968910</v>
      </c>
      <c r="U69" s="55" t="s">
        <v>81</v>
      </c>
      <c r="V69" s="55" t="s">
        <v>78</v>
      </c>
      <c r="W69" s="55" t="s">
        <v>81</v>
      </c>
      <c r="X69" s="59" t="s">
        <v>78</v>
      </c>
      <c r="Y69" s="59" t="s">
        <v>81</v>
      </c>
      <c r="Z69" s="55">
        <v>0</v>
      </c>
      <c r="AA69" s="55" t="s">
        <v>78</v>
      </c>
      <c r="AB69" s="55">
        <v>0</v>
      </c>
      <c r="AC69" s="55" t="s">
        <v>78</v>
      </c>
      <c r="AD69" s="55">
        <v>0</v>
      </c>
      <c r="AE69" s="55" t="s">
        <v>78</v>
      </c>
      <c r="AF69" s="55">
        <v>0</v>
      </c>
      <c r="AG69" s="55" t="s">
        <v>81</v>
      </c>
      <c r="AH69" s="55" t="s">
        <v>78</v>
      </c>
      <c r="AI69" s="59" t="s">
        <v>81</v>
      </c>
      <c r="AJ69" s="55" t="s">
        <v>78</v>
      </c>
      <c r="AK69" s="55" t="s">
        <v>78</v>
      </c>
      <c r="AL69" s="55" t="s">
        <v>81</v>
      </c>
      <c r="AM69" s="55" t="s">
        <v>81</v>
      </c>
      <c r="AN69" s="55" t="s">
        <v>78</v>
      </c>
      <c r="AO69" s="60" t="s">
        <v>81</v>
      </c>
      <c r="AP69" s="58" t="s">
        <v>74</v>
      </c>
      <c r="AQ69" s="55" t="s">
        <v>101</v>
      </c>
    </row>
    <row r="70" spans="1:43" ht="13.2" hidden="1" x14ac:dyDescent="0.25">
      <c r="A70" s="90" t="s">
        <v>900</v>
      </c>
      <c r="B70" s="90" t="s">
        <v>901</v>
      </c>
      <c r="C70" s="90">
        <v>2017</v>
      </c>
      <c r="D70" s="90" t="s">
        <v>226</v>
      </c>
      <c r="E70" s="90" t="s">
        <v>78</v>
      </c>
      <c r="F70" s="90" t="s">
        <v>534</v>
      </c>
      <c r="G70" s="90" t="s">
        <v>591</v>
      </c>
      <c r="H70" s="90" t="s">
        <v>256</v>
      </c>
      <c r="I70" s="90" t="s">
        <v>679</v>
      </c>
      <c r="J70" s="90" t="s">
        <v>81</v>
      </c>
      <c r="K70" s="90" t="s">
        <v>126</v>
      </c>
      <c r="L70" s="92">
        <v>387440000</v>
      </c>
      <c r="M70" s="92">
        <v>288203045.38320202</v>
      </c>
      <c r="N70" s="92">
        <v>387440000</v>
      </c>
      <c r="O70" s="92">
        <v>108484186.59999999</v>
      </c>
      <c r="P70" s="92">
        <v>108484186.59999999</v>
      </c>
      <c r="Q70" s="92">
        <v>145838546.571978</v>
      </c>
      <c r="R70" s="92">
        <v>72322791.079999998</v>
      </c>
      <c r="S70" s="92">
        <v>72322791.079999998</v>
      </c>
      <c r="T70" s="92">
        <v>97225697.7325764</v>
      </c>
      <c r="U70" s="90" t="s">
        <v>75</v>
      </c>
      <c r="V70" s="90" t="s">
        <v>902</v>
      </c>
      <c r="W70" s="90" t="s">
        <v>81</v>
      </c>
      <c r="X70" s="93" t="s">
        <v>78</v>
      </c>
      <c r="Y70" s="93" t="s">
        <v>75</v>
      </c>
      <c r="Z70" s="90">
        <v>999</v>
      </c>
      <c r="AA70" s="90" t="s">
        <v>903</v>
      </c>
      <c r="AB70" s="90">
        <v>999</v>
      </c>
      <c r="AC70" s="90" t="s">
        <v>904</v>
      </c>
      <c r="AD70" s="90">
        <v>0</v>
      </c>
      <c r="AE70" s="90" t="s">
        <v>78</v>
      </c>
      <c r="AF70" s="90">
        <v>2</v>
      </c>
      <c r="AG70" s="90" t="s">
        <v>81</v>
      </c>
      <c r="AH70" s="90" t="s">
        <v>78</v>
      </c>
      <c r="AI70" s="93" t="s">
        <v>75</v>
      </c>
      <c r="AJ70" s="90" t="s">
        <v>256</v>
      </c>
      <c r="AK70" s="90" t="s">
        <v>78</v>
      </c>
      <c r="AL70" s="90" t="s">
        <v>81</v>
      </c>
      <c r="AM70" s="90" t="s">
        <v>81</v>
      </c>
      <c r="AN70" s="90" t="s">
        <v>78</v>
      </c>
      <c r="AO70" s="79" t="s">
        <v>81</v>
      </c>
      <c r="AP70" s="94" t="s">
        <v>126</v>
      </c>
      <c r="AQ70" s="90" t="s">
        <v>256</v>
      </c>
    </row>
    <row r="71" spans="1:43" ht="16.2" hidden="1" x14ac:dyDescent="0.45">
      <c r="A71" s="55" t="s">
        <v>905</v>
      </c>
      <c r="B71" s="56" t="s">
        <v>906</v>
      </c>
      <c r="C71" s="55">
        <v>2017</v>
      </c>
      <c r="D71" s="55" t="s">
        <v>497</v>
      </c>
      <c r="E71" s="55" t="s">
        <v>78</v>
      </c>
      <c r="F71" s="57" t="s">
        <v>538</v>
      </c>
      <c r="G71" s="55" t="s">
        <v>585</v>
      </c>
      <c r="H71" s="55" t="s">
        <v>228</v>
      </c>
      <c r="I71" s="55" t="s">
        <v>676</v>
      </c>
      <c r="J71" s="57" t="s">
        <v>81</v>
      </c>
      <c r="K71" s="55" t="s">
        <v>74</v>
      </c>
      <c r="L71" s="63">
        <v>40376010</v>
      </c>
      <c r="M71" s="63">
        <v>40376010</v>
      </c>
      <c r="N71" s="63">
        <v>54278681.5233</v>
      </c>
      <c r="O71" s="63">
        <v>27864750</v>
      </c>
      <c r="P71" s="63">
        <v>27864750</v>
      </c>
      <c r="Q71" s="63">
        <v>37459419.3675</v>
      </c>
      <c r="R71" s="63">
        <v>27864750</v>
      </c>
      <c r="S71" s="63">
        <v>27864750</v>
      </c>
      <c r="T71" s="63">
        <v>37459419.3675</v>
      </c>
      <c r="U71" s="55" t="s">
        <v>75</v>
      </c>
      <c r="V71" s="55" t="s">
        <v>907</v>
      </c>
      <c r="W71" s="55" t="s">
        <v>75</v>
      </c>
      <c r="X71" s="59" t="s">
        <v>908</v>
      </c>
      <c r="Y71" s="59" t="s">
        <v>75</v>
      </c>
      <c r="Z71" s="55">
        <v>999</v>
      </c>
      <c r="AA71" s="55" t="s">
        <v>909</v>
      </c>
      <c r="AB71" s="55">
        <v>999</v>
      </c>
      <c r="AC71" s="55" t="s">
        <v>910</v>
      </c>
      <c r="AD71" s="55">
        <v>0</v>
      </c>
      <c r="AE71" s="55" t="s">
        <v>78</v>
      </c>
      <c r="AF71" s="55">
        <v>2</v>
      </c>
      <c r="AG71" s="55" t="s">
        <v>75</v>
      </c>
      <c r="AH71" s="55" t="s">
        <v>911</v>
      </c>
      <c r="AI71" s="59" t="s">
        <v>75</v>
      </c>
      <c r="AJ71" s="55" t="s">
        <v>466</v>
      </c>
      <c r="AK71" s="55" t="s">
        <v>78</v>
      </c>
      <c r="AL71" s="55" t="s">
        <v>81</v>
      </c>
      <c r="AM71" s="55" t="s">
        <v>81</v>
      </c>
      <c r="AN71" s="55" t="s">
        <v>78</v>
      </c>
      <c r="AO71" s="60" t="s">
        <v>75</v>
      </c>
      <c r="AP71" s="58" t="s">
        <v>74</v>
      </c>
      <c r="AQ71" s="55" t="s">
        <v>228</v>
      </c>
    </row>
    <row r="72" spans="1:43" ht="13.2" hidden="1" x14ac:dyDescent="0.25">
      <c r="A72" s="90" t="s">
        <v>912</v>
      </c>
      <c r="B72" s="91" t="s">
        <v>913</v>
      </c>
      <c r="C72" s="90">
        <v>2017</v>
      </c>
      <c r="D72" s="90" t="s">
        <v>87</v>
      </c>
      <c r="E72" s="90" t="s">
        <v>914</v>
      </c>
      <c r="F72" s="90" t="s">
        <v>1848</v>
      </c>
      <c r="G72" s="91" t="s">
        <v>228</v>
      </c>
      <c r="H72" s="90" t="s">
        <v>228</v>
      </c>
      <c r="I72" s="90" t="s">
        <v>679</v>
      </c>
      <c r="J72" s="90" t="s">
        <v>75</v>
      </c>
      <c r="K72" s="90" t="s">
        <v>126</v>
      </c>
      <c r="L72" s="92">
        <v>9985185</v>
      </c>
      <c r="M72" s="92">
        <v>7427629.3767155381</v>
      </c>
      <c r="N72" s="92">
        <v>9985185</v>
      </c>
      <c r="O72" s="92">
        <v>7221564.4900000002</v>
      </c>
      <c r="P72" s="92">
        <v>7221564.4900000002</v>
      </c>
      <c r="Q72" s="92">
        <v>9708165.7908417005</v>
      </c>
      <c r="R72" s="92">
        <v>0</v>
      </c>
      <c r="S72" s="92">
        <v>0</v>
      </c>
      <c r="T72" s="92">
        <v>0</v>
      </c>
      <c r="U72" s="90" t="s">
        <v>81</v>
      </c>
      <c r="V72" s="90" t="s">
        <v>78</v>
      </c>
      <c r="W72" s="90" t="s">
        <v>81</v>
      </c>
      <c r="X72" s="93" t="s">
        <v>78</v>
      </c>
      <c r="Y72" s="93" t="s">
        <v>81</v>
      </c>
      <c r="Z72" s="90">
        <v>0</v>
      </c>
      <c r="AA72" s="90" t="s">
        <v>78</v>
      </c>
      <c r="AB72" s="90">
        <v>0</v>
      </c>
      <c r="AC72" s="90" t="s">
        <v>78</v>
      </c>
      <c r="AD72" s="90">
        <v>0</v>
      </c>
      <c r="AE72" s="90" t="s">
        <v>78</v>
      </c>
      <c r="AF72" s="90">
        <v>0</v>
      </c>
      <c r="AG72" s="90" t="s">
        <v>81</v>
      </c>
      <c r="AH72" s="90" t="s">
        <v>78</v>
      </c>
      <c r="AI72" s="93" t="s">
        <v>81</v>
      </c>
      <c r="AJ72" s="90" t="s">
        <v>78</v>
      </c>
      <c r="AK72" s="90" t="s">
        <v>78</v>
      </c>
      <c r="AL72" s="90" t="s">
        <v>81</v>
      </c>
      <c r="AM72" s="90" t="s">
        <v>81</v>
      </c>
      <c r="AN72" s="90" t="s">
        <v>78</v>
      </c>
      <c r="AO72" s="79" t="s">
        <v>81</v>
      </c>
      <c r="AP72" s="94" t="s">
        <v>126</v>
      </c>
      <c r="AQ72" s="90" t="s">
        <v>228</v>
      </c>
    </row>
    <row r="73" spans="1:43" ht="16.2" hidden="1" x14ac:dyDescent="0.45">
      <c r="A73" s="55" t="s">
        <v>915</v>
      </c>
      <c r="B73" s="56" t="s">
        <v>916</v>
      </c>
      <c r="C73" s="55">
        <v>2017</v>
      </c>
      <c r="D73" s="55" t="s">
        <v>509</v>
      </c>
      <c r="E73" s="55" t="s">
        <v>78</v>
      </c>
      <c r="F73" s="57" t="s">
        <v>560</v>
      </c>
      <c r="G73" s="55" t="s">
        <v>599</v>
      </c>
      <c r="H73" s="55" t="s">
        <v>101</v>
      </c>
      <c r="I73" s="55" t="s">
        <v>676</v>
      </c>
      <c r="J73" s="57" t="s">
        <v>81</v>
      </c>
      <c r="K73" s="55" t="s">
        <v>74</v>
      </c>
      <c r="L73" s="63">
        <v>5500000</v>
      </c>
      <c r="M73" s="63">
        <v>5500000</v>
      </c>
      <c r="N73" s="63">
        <v>7393815</v>
      </c>
      <c r="O73" s="63">
        <v>5500000</v>
      </c>
      <c r="P73" s="63">
        <v>5500000</v>
      </c>
      <c r="Q73" s="63">
        <v>7393815</v>
      </c>
      <c r="R73" s="63">
        <v>5500000</v>
      </c>
      <c r="S73" s="63">
        <v>5500000</v>
      </c>
      <c r="T73" s="63">
        <v>7393815</v>
      </c>
      <c r="U73" s="55" t="s">
        <v>81</v>
      </c>
      <c r="V73" s="55" t="s">
        <v>78</v>
      </c>
      <c r="W73" s="55" t="s">
        <v>81</v>
      </c>
      <c r="X73" s="59" t="s">
        <v>78</v>
      </c>
      <c r="Y73" s="59" t="s">
        <v>81</v>
      </c>
      <c r="Z73" s="55">
        <v>0</v>
      </c>
      <c r="AA73" s="55" t="s">
        <v>78</v>
      </c>
      <c r="AB73" s="55">
        <v>0</v>
      </c>
      <c r="AC73" s="55" t="s">
        <v>78</v>
      </c>
      <c r="AD73" s="55">
        <v>0</v>
      </c>
      <c r="AE73" s="55" t="s">
        <v>78</v>
      </c>
      <c r="AF73" s="55">
        <v>0</v>
      </c>
      <c r="AG73" s="55" t="s">
        <v>81</v>
      </c>
      <c r="AH73" s="55" t="s">
        <v>78</v>
      </c>
      <c r="AI73" s="59" t="s">
        <v>81</v>
      </c>
      <c r="AJ73" s="55" t="s">
        <v>78</v>
      </c>
      <c r="AK73" s="55" t="s">
        <v>78</v>
      </c>
      <c r="AL73" s="55" t="s">
        <v>81</v>
      </c>
      <c r="AM73" s="55" t="s">
        <v>81</v>
      </c>
      <c r="AN73" s="55" t="s">
        <v>78</v>
      </c>
      <c r="AO73" s="60" t="s">
        <v>81</v>
      </c>
      <c r="AP73" s="58" t="s">
        <v>74</v>
      </c>
      <c r="AQ73" s="55" t="s">
        <v>101</v>
      </c>
    </row>
    <row r="74" spans="1:43" ht="16.2" hidden="1" x14ac:dyDescent="0.45">
      <c r="A74" s="55" t="s">
        <v>917</v>
      </c>
      <c r="B74" s="55" t="s">
        <v>918</v>
      </c>
      <c r="C74" s="55">
        <v>2017</v>
      </c>
      <c r="D74" s="55" t="s">
        <v>514</v>
      </c>
      <c r="E74" s="55" t="s">
        <v>78</v>
      </c>
      <c r="F74" s="57" t="s">
        <v>567</v>
      </c>
      <c r="G74" s="55" t="s">
        <v>587</v>
      </c>
      <c r="H74" s="55" t="s">
        <v>256</v>
      </c>
      <c r="I74" s="55" t="s">
        <v>676</v>
      </c>
      <c r="J74" s="57" t="s">
        <v>81</v>
      </c>
      <c r="K74" s="55" t="s">
        <v>74</v>
      </c>
      <c r="L74" s="63">
        <v>19000000</v>
      </c>
      <c r="M74" s="63">
        <v>19000000</v>
      </c>
      <c r="N74" s="63">
        <v>25542270</v>
      </c>
      <c r="O74" s="63">
        <v>19000000</v>
      </c>
      <c r="P74" s="63">
        <v>19000000</v>
      </c>
      <c r="Q74" s="63">
        <v>25542270</v>
      </c>
      <c r="R74" s="63">
        <v>19000000</v>
      </c>
      <c r="S74" s="63">
        <v>19000000</v>
      </c>
      <c r="T74" s="63">
        <v>25542270</v>
      </c>
      <c r="U74" s="55" t="s">
        <v>81</v>
      </c>
      <c r="V74" s="55" t="s">
        <v>78</v>
      </c>
      <c r="W74" s="55" t="s">
        <v>81</v>
      </c>
      <c r="X74" s="59" t="s">
        <v>78</v>
      </c>
      <c r="Y74" s="59" t="s">
        <v>81</v>
      </c>
      <c r="Z74" s="55">
        <v>0</v>
      </c>
      <c r="AA74" s="55" t="s">
        <v>78</v>
      </c>
      <c r="AB74" s="55">
        <v>0</v>
      </c>
      <c r="AC74" s="55" t="s">
        <v>78</v>
      </c>
      <c r="AD74" s="55">
        <v>0</v>
      </c>
      <c r="AE74" s="55" t="s">
        <v>78</v>
      </c>
      <c r="AF74" s="55">
        <v>0</v>
      </c>
      <c r="AG74" s="55" t="s">
        <v>81</v>
      </c>
      <c r="AH74" s="55" t="s">
        <v>78</v>
      </c>
      <c r="AI74" s="59" t="s">
        <v>81</v>
      </c>
      <c r="AJ74" s="55" t="s">
        <v>78</v>
      </c>
      <c r="AK74" s="55" t="s">
        <v>78</v>
      </c>
      <c r="AL74" s="55" t="s">
        <v>81</v>
      </c>
      <c r="AM74" s="55" t="s">
        <v>81</v>
      </c>
      <c r="AN74" s="55" t="s">
        <v>78</v>
      </c>
      <c r="AO74" s="60" t="s">
        <v>81</v>
      </c>
      <c r="AP74" s="58" t="s">
        <v>74</v>
      </c>
      <c r="AQ74" s="55" t="s">
        <v>256</v>
      </c>
    </row>
    <row r="75" spans="1:43" ht="13.2" hidden="1" x14ac:dyDescent="0.25">
      <c r="A75" s="90" t="s">
        <v>919</v>
      </c>
      <c r="B75" s="91" t="s">
        <v>920</v>
      </c>
      <c r="C75" s="90">
        <v>2017</v>
      </c>
      <c r="D75" s="90" t="s">
        <v>508</v>
      </c>
      <c r="E75" s="90" t="s">
        <v>78</v>
      </c>
      <c r="F75" s="90" t="s">
        <v>558</v>
      </c>
      <c r="G75" s="90" t="s">
        <v>587</v>
      </c>
      <c r="H75" s="90" t="s">
        <v>256</v>
      </c>
      <c r="I75" s="90" t="s">
        <v>679</v>
      </c>
      <c r="J75" s="90" t="s">
        <v>75</v>
      </c>
      <c r="K75" s="90" t="s">
        <v>104</v>
      </c>
      <c r="L75" s="92">
        <v>2972570</v>
      </c>
      <c r="M75" s="92">
        <v>2330805.9027396617</v>
      </c>
      <c r="N75" s="92">
        <v>3133372.2992300093</v>
      </c>
      <c r="O75" s="92">
        <v>1628526.9</v>
      </c>
      <c r="P75" s="92">
        <v>1628526.9</v>
      </c>
      <c r="Q75" s="92">
        <v>2189277.5674769999</v>
      </c>
      <c r="R75" s="92">
        <v>0</v>
      </c>
      <c r="S75" s="92">
        <v>0</v>
      </c>
      <c r="T75" s="92">
        <v>0</v>
      </c>
      <c r="U75" s="90" t="s">
        <v>75</v>
      </c>
      <c r="V75" s="90" t="s">
        <v>921</v>
      </c>
      <c r="W75" s="90" t="s">
        <v>81</v>
      </c>
      <c r="X75" s="93" t="s">
        <v>78</v>
      </c>
      <c r="Y75" s="93" t="s">
        <v>81</v>
      </c>
      <c r="Z75" s="90">
        <v>0</v>
      </c>
      <c r="AA75" s="90" t="s">
        <v>78</v>
      </c>
      <c r="AB75" s="90">
        <v>0</v>
      </c>
      <c r="AC75" s="90" t="s">
        <v>78</v>
      </c>
      <c r="AD75" s="90">
        <v>0</v>
      </c>
      <c r="AE75" s="90" t="s">
        <v>78</v>
      </c>
      <c r="AF75" s="90">
        <v>0</v>
      </c>
      <c r="AG75" s="90" t="s">
        <v>81</v>
      </c>
      <c r="AH75" s="90" t="s">
        <v>78</v>
      </c>
      <c r="AI75" s="93" t="s">
        <v>75</v>
      </c>
      <c r="AJ75" s="90" t="s">
        <v>466</v>
      </c>
      <c r="AK75" s="90" t="s">
        <v>704</v>
      </c>
      <c r="AL75" s="90" t="s">
        <v>81</v>
      </c>
      <c r="AM75" s="90" t="s">
        <v>81</v>
      </c>
      <c r="AN75" s="90" t="s">
        <v>78</v>
      </c>
      <c r="AO75" s="79" t="s">
        <v>81</v>
      </c>
      <c r="AP75" s="94" t="s">
        <v>104</v>
      </c>
      <c r="AQ75" s="90" t="s">
        <v>256</v>
      </c>
    </row>
    <row r="76" spans="1:43" ht="16.2" hidden="1" x14ac:dyDescent="0.45">
      <c r="A76" s="55" t="s">
        <v>922</v>
      </c>
      <c r="B76" s="55" t="s">
        <v>923</v>
      </c>
      <c r="C76" s="55">
        <v>2017</v>
      </c>
      <c r="D76" s="55" t="s">
        <v>514</v>
      </c>
      <c r="E76" s="55" t="s">
        <v>78</v>
      </c>
      <c r="F76" s="57" t="s">
        <v>567</v>
      </c>
      <c r="G76" s="55" t="s">
        <v>585</v>
      </c>
      <c r="H76" s="55" t="s">
        <v>228</v>
      </c>
      <c r="I76" s="55" t="s">
        <v>676</v>
      </c>
      <c r="J76" s="57" t="s">
        <v>81</v>
      </c>
      <c r="K76" s="55" t="s">
        <v>74</v>
      </c>
      <c r="L76" s="63">
        <v>65300000</v>
      </c>
      <c r="M76" s="63">
        <v>65300000</v>
      </c>
      <c r="N76" s="63">
        <v>87784749</v>
      </c>
      <c r="O76" s="63">
        <v>57000000</v>
      </c>
      <c r="P76" s="63">
        <v>57000000</v>
      </c>
      <c r="Q76" s="63">
        <v>76626810</v>
      </c>
      <c r="R76" s="63">
        <v>57000000</v>
      </c>
      <c r="S76" s="63">
        <v>57000000</v>
      </c>
      <c r="T76" s="63">
        <v>76626810</v>
      </c>
      <c r="U76" s="55" t="s">
        <v>81</v>
      </c>
      <c r="V76" s="55" t="s">
        <v>78</v>
      </c>
      <c r="W76" s="55" t="s">
        <v>81</v>
      </c>
      <c r="X76" s="59" t="s">
        <v>78</v>
      </c>
      <c r="Y76" s="59" t="s">
        <v>81</v>
      </c>
      <c r="Z76" s="55">
        <v>0</v>
      </c>
      <c r="AA76" s="55" t="s">
        <v>78</v>
      </c>
      <c r="AB76" s="55">
        <v>0</v>
      </c>
      <c r="AC76" s="55" t="s">
        <v>78</v>
      </c>
      <c r="AD76" s="55">
        <v>0</v>
      </c>
      <c r="AE76" s="55" t="s">
        <v>78</v>
      </c>
      <c r="AF76" s="55">
        <v>0</v>
      </c>
      <c r="AG76" s="55" t="s">
        <v>81</v>
      </c>
      <c r="AH76" s="55" t="s">
        <v>78</v>
      </c>
      <c r="AI76" s="59" t="s">
        <v>81</v>
      </c>
      <c r="AJ76" s="55" t="s">
        <v>78</v>
      </c>
      <c r="AK76" s="55" t="s">
        <v>78</v>
      </c>
      <c r="AL76" s="55" t="s">
        <v>81</v>
      </c>
      <c r="AM76" s="55" t="s">
        <v>81</v>
      </c>
      <c r="AN76" s="55" t="s">
        <v>78</v>
      </c>
      <c r="AO76" s="60" t="s">
        <v>81</v>
      </c>
      <c r="AP76" s="58" t="s">
        <v>74</v>
      </c>
      <c r="AQ76" s="55" t="s">
        <v>228</v>
      </c>
    </row>
    <row r="77" spans="1:43" ht="16.2" hidden="1" x14ac:dyDescent="0.45">
      <c r="A77" s="55" t="s">
        <v>924</v>
      </c>
      <c r="B77" s="55" t="s">
        <v>925</v>
      </c>
      <c r="C77" s="55">
        <v>2017</v>
      </c>
      <c r="D77" s="55" t="s">
        <v>87</v>
      </c>
      <c r="E77" s="55" t="s">
        <v>926</v>
      </c>
      <c r="F77" s="57" t="s">
        <v>1848</v>
      </c>
      <c r="G77" s="55" t="s">
        <v>599</v>
      </c>
      <c r="H77" s="55" t="s">
        <v>101</v>
      </c>
      <c r="I77" s="55" t="s">
        <v>676</v>
      </c>
      <c r="J77" s="57" t="s">
        <v>81</v>
      </c>
      <c r="K77" s="55" t="s">
        <v>74</v>
      </c>
      <c r="L77" s="63">
        <v>6000000</v>
      </c>
      <c r="M77" s="63">
        <v>6000000</v>
      </c>
      <c r="N77" s="63">
        <v>8065980</v>
      </c>
      <c r="O77" s="63">
        <v>6000000</v>
      </c>
      <c r="P77" s="63">
        <v>6000000</v>
      </c>
      <c r="Q77" s="63">
        <v>8065980</v>
      </c>
      <c r="R77" s="63">
        <v>6000000</v>
      </c>
      <c r="S77" s="63">
        <v>6000000</v>
      </c>
      <c r="T77" s="63">
        <v>8065980</v>
      </c>
      <c r="U77" s="55" t="s">
        <v>81</v>
      </c>
      <c r="V77" s="55" t="s">
        <v>78</v>
      </c>
      <c r="W77" s="55" t="s">
        <v>81</v>
      </c>
      <c r="X77" s="59" t="s">
        <v>78</v>
      </c>
      <c r="Y77" s="59" t="s">
        <v>81</v>
      </c>
      <c r="Z77" s="55">
        <v>0</v>
      </c>
      <c r="AA77" s="55" t="s">
        <v>78</v>
      </c>
      <c r="AB77" s="55">
        <v>0</v>
      </c>
      <c r="AC77" s="55" t="s">
        <v>78</v>
      </c>
      <c r="AD77" s="55">
        <v>0</v>
      </c>
      <c r="AE77" s="55" t="s">
        <v>78</v>
      </c>
      <c r="AF77" s="55">
        <v>0</v>
      </c>
      <c r="AG77" s="55" t="s">
        <v>81</v>
      </c>
      <c r="AH77" s="55" t="s">
        <v>78</v>
      </c>
      <c r="AI77" s="59" t="s">
        <v>81</v>
      </c>
      <c r="AJ77" s="55" t="s">
        <v>78</v>
      </c>
      <c r="AK77" s="55" t="s">
        <v>78</v>
      </c>
      <c r="AL77" s="55" t="s">
        <v>81</v>
      </c>
      <c r="AM77" s="55" t="s">
        <v>81</v>
      </c>
      <c r="AN77" s="55" t="s">
        <v>78</v>
      </c>
      <c r="AO77" s="60" t="s">
        <v>81</v>
      </c>
      <c r="AP77" s="58" t="s">
        <v>74</v>
      </c>
      <c r="AQ77" s="55" t="s">
        <v>101</v>
      </c>
    </row>
    <row r="78" spans="1:43" ht="16.2" hidden="1" x14ac:dyDescent="0.45">
      <c r="A78" s="55" t="s">
        <v>927</v>
      </c>
      <c r="B78" s="55" t="s">
        <v>928</v>
      </c>
      <c r="C78" s="55">
        <v>2017</v>
      </c>
      <c r="D78" s="55" t="s">
        <v>353</v>
      </c>
      <c r="E78" s="55" t="s">
        <v>78</v>
      </c>
      <c r="F78" s="57" t="s">
        <v>78</v>
      </c>
      <c r="G78" s="55" t="s">
        <v>228</v>
      </c>
      <c r="H78" s="55" t="s">
        <v>228</v>
      </c>
      <c r="I78" s="55" t="s">
        <v>689</v>
      </c>
      <c r="J78" s="57" t="s">
        <v>81</v>
      </c>
      <c r="K78" s="55" t="s">
        <v>616</v>
      </c>
      <c r="L78" s="63">
        <v>1420000000</v>
      </c>
      <c r="M78" s="63">
        <v>77188595.656782538</v>
      </c>
      <c r="N78" s="63">
        <v>103766944.79928248</v>
      </c>
      <c r="O78" s="63">
        <v>50467582.149999999</v>
      </c>
      <c r="P78" s="63">
        <v>50467582.149999999</v>
      </c>
      <c r="Q78" s="63">
        <v>67845084.711709499</v>
      </c>
      <c r="R78" s="63">
        <v>50467582.149999999</v>
      </c>
      <c r="S78" s="63">
        <v>50467582.149999999</v>
      </c>
      <c r="T78" s="63">
        <v>67845084.711709499</v>
      </c>
      <c r="U78" s="55" t="s">
        <v>75</v>
      </c>
      <c r="V78" s="55" t="s">
        <v>929</v>
      </c>
      <c r="W78" s="55" t="s">
        <v>75</v>
      </c>
      <c r="X78" s="59" t="s">
        <v>930</v>
      </c>
      <c r="Y78" s="59" t="s">
        <v>75</v>
      </c>
      <c r="Z78" s="55">
        <v>999</v>
      </c>
      <c r="AA78" s="55" t="s">
        <v>931</v>
      </c>
      <c r="AB78" s="55">
        <v>999</v>
      </c>
      <c r="AC78" s="55" t="s">
        <v>932</v>
      </c>
      <c r="AD78" s="55">
        <v>0</v>
      </c>
      <c r="AE78" s="55" t="s">
        <v>78</v>
      </c>
      <c r="AF78" s="55">
        <v>2</v>
      </c>
      <c r="AG78" s="55" t="s">
        <v>75</v>
      </c>
      <c r="AH78" s="55" t="s">
        <v>933</v>
      </c>
      <c r="AI78" s="59" t="s">
        <v>75</v>
      </c>
      <c r="AJ78" s="55" t="s">
        <v>228</v>
      </c>
      <c r="AK78" s="55" t="s">
        <v>934</v>
      </c>
      <c r="AL78" s="55" t="s">
        <v>75</v>
      </c>
      <c r="AM78" s="55" t="s">
        <v>81</v>
      </c>
      <c r="AN78" s="55" t="s">
        <v>78</v>
      </c>
      <c r="AO78" s="60" t="s">
        <v>75</v>
      </c>
      <c r="AP78" s="58" t="s">
        <v>616</v>
      </c>
      <c r="AQ78" s="55" t="s">
        <v>228</v>
      </c>
    </row>
    <row r="79" spans="1:43" ht="16.2" hidden="1" x14ac:dyDescent="0.45">
      <c r="A79" s="55" t="s">
        <v>935</v>
      </c>
      <c r="B79" s="55" t="s">
        <v>936</v>
      </c>
      <c r="C79" s="55">
        <v>2017</v>
      </c>
      <c r="D79" s="55" t="s">
        <v>87</v>
      </c>
      <c r="E79" s="55" t="s">
        <v>937</v>
      </c>
      <c r="F79" s="57" t="s">
        <v>1848</v>
      </c>
      <c r="G79" s="56" t="s">
        <v>228</v>
      </c>
      <c r="H79" s="55" t="s">
        <v>228</v>
      </c>
      <c r="I79" s="55" t="s">
        <v>676</v>
      </c>
      <c r="J79" s="57" t="s">
        <v>81</v>
      </c>
      <c r="K79" s="55" t="s">
        <v>74</v>
      </c>
      <c r="L79" s="63">
        <v>29000000</v>
      </c>
      <c r="M79" s="63">
        <v>29000000</v>
      </c>
      <c r="N79" s="63">
        <v>38985570</v>
      </c>
      <c r="O79" s="63">
        <v>29000000</v>
      </c>
      <c r="P79" s="63">
        <v>29000000</v>
      </c>
      <c r="Q79" s="63">
        <v>38985570</v>
      </c>
      <c r="R79" s="63">
        <v>29000000</v>
      </c>
      <c r="S79" s="63">
        <v>29000000</v>
      </c>
      <c r="T79" s="63">
        <v>38985570</v>
      </c>
      <c r="U79" s="55" t="s">
        <v>81</v>
      </c>
      <c r="V79" s="55" t="s">
        <v>78</v>
      </c>
      <c r="W79" s="55" t="s">
        <v>81</v>
      </c>
      <c r="X79" s="59" t="s">
        <v>78</v>
      </c>
      <c r="Y79" s="59" t="s">
        <v>81</v>
      </c>
      <c r="Z79" s="55">
        <v>0</v>
      </c>
      <c r="AA79" s="55" t="s">
        <v>78</v>
      </c>
      <c r="AB79" s="55">
        <v>0</v>
      </c>
      <c r="AC79" s="55" t="s">
        <v>78</v>
      </c>
      <c r="AD79" s="55">
        <v>0</v>
      </c>
      <c r="AE79" s="55" t="s">
        <v>78</v>
      </c>
      <c r="AF79" s="55">
        <v>0</v>
      </c>
      <c r="AG79" s="55" t="s">
        <v>81</v>
      </c>
      <c r="AH79" s="55" t="s">
        <v>78</v>
      </c>
      <c r="AI79" s="59" t="s">
        <v>81</v>
      </c>
      <c r="AJ79" s="55" t="s">
        <v>78</v>
      </c>
      <c r="AK79" s="55" t="s">
        <v>78</v>
      </c>
      <c r="AL79" s="55" t="s">
        <v>81</v>
      </c>
      <c r="AM79" s="55" t="s">
        <v>81</v>
      </c>
      <c r="AN79" s="55" t="s">
        <v>78</v>
      </c>
      <c r="AO79" s="60" t="s">
        <v>81</v>
      </c>
      <c r="AP79" s="58" t="s">
        <v>74</v>
      </c>
      <c r="AQ79" s="55" t="s">
        <v>228</v>
      </c>
    </row>
    <row r="80" spans="1:43" ht="16.2" hidden="1" x14ac:dyDescent="0.45">
      <c r="A80" s="55" t="s">
        <v>938</v>
      </c>
      <c r="B80" s="55" t="s">
        <v>939</v>
      </c>
      <c r="C80" s="55">
        <v>2017</v>
      </c>
      <c r="D80" s="55" t="s">
        <v>254</v>
      </c>
      <c r="E80" s="55" t="s">
        <v>78</v>
      </c>
      <c r="F80" s="57" t="s">
        <v>555</v>
      </c>
      <c r="G80" s="55" t="s">
        <v>580</v>
      </c>
      <c r="H80" s="55" t="s">
        <v>115</v>
      </c>
      <c r="I80" s="55" t="s">
        <v>676</v>
      </c>
      <c r="J80" s="57" t="s">
        <v>81</v>
      </c>
      <c r="K80" s="55" t="s">
        <v>74</v>
      </c>
      <c r="L80" s="63">
        <v>60000000</v>
      </c>
      <c r="M80" s="63">
        <v>60000000</v>
      </c>
      <c r="N80" s="63">
        <v>80659800</v>
      </c>
      <c r="O80" s="63">
        <v>60000000</v>
      </c>
      <c r="P80" s="63">
        <v>60000000</v>
      </c>
      <c r="Q80" s="63">
        <v>80659800</v>
      </c>
      <c r="R80" s="63">
        <v>60000000</v>
      </c>
      <c r="S80" s="63">
        <v>60000000</v>
      </c>
      <c r="T80" s="63">
        <v>80659800</v>
      </c>
      <c r="U80" s="55" t="s">
        <v>75</v>
      </c>
      <c r="V80" s="55" t="s">
        <v>940</v>
      </c>
      <c r="W80" s="55" t="s">
        <v>81</v>
      </c>
      <c r="X80" s="59" t="s">
        <v>78</v>
      </c>
      <c r="Y80" s="59" t="s">
        <v>81</v>
      </c>
      <c r="Z80" s="55">
        <v>0</v>
      </c>
      <c r="AA80" s="55" t="s">
        <v>78</v>
      </c>
      <c r="AB80" s="55">
        <v>0</v>
      </c>
      <c r="AC80" s="55" t="s">
        <v>78</v>
      </c>
      <c r="AD80" s="55">
        <v>0</v>
      </c>
      <c r="AE80" s="55" t="s">
        <v>78</v>
      </c>
      <c r="AF80" s="55">
        <v>0</v>
      </c>
      <c r="AG80" s="55" t="s">
        <v>81</v>
      </c>
      <c r="AH80" s="55" t="s">
        <v>78</v>
      </c>
      <c r="AI80" s="59" t="s">
        <v>75</v>
      </c>
      <c r="AJ80" s="55" t="s">
        <v>466</v>
      </c>
      <c r="AK80" s="55" t="s">
        <v>941</v>
      </c>
      <c r="AL80" s="55" t="s">
        <v>81</v>
      </c>
      <c r="AM80" s="55" t="s">
        <v>81</v>
      </c>
      <c r="AN80" s="55" t="s">
        <v>78</v>
      </c>
      <c r="AO80" s="60" t="s">
        <v>81</v>
      </c>
      <c r="AP80" s="58" t="s">
        <v>74</v>
      </c>
      <c r="AQ80" s="55" t="s">
        <v>115</v>
      </c>
    </row>
    <row r="81" spans="1:43" ht="16.2" hidden="1" x14ac:dyDescent="0.45">
      <c r="A81" s="55" t="s">
        <v>942</v>
      </c>
      <c r="B81" s="55" t="s">
        <v>943</v>
      </c>
      <c r="C81" s="55">
        <v>2017</v>
      </c>
      <c r="D81" s="55" t="s">
        <v>396</v>
      </c>
      <c r="E81" s="55" t="s">
        <v>78</v>
      </c>
      <c r="F81" s="57" t="s">
        <v>545</v>
      </c>
      <c r="G81" s="55" t="s">
        <v>599</v>
      </c>
      <c r="H81" s="55" t="s">
        <v>101</v>
      </c>
      <c r="I81" s="55" t="s">
        <v>676</v>
      </c>
      <c r="J81" s="57" t="s">
        <v>81</v>
      </c>
      <c r="K81" s="55" t="s">
        <v>74</v>
      </c>
      <c r="L81" s="63">
        <v>5000000</v>
      </c>
      <c r="M81" s="63">
        <v>5000000</v>
      </c>
      <c r="N81" s="63">
        <v>6721650</v>
      </c>
      <c r="O81" s="63">
        <v>5000000</v>
      </c>
      <c r="P81" s="63">
        <v>5000000</v>
      </c>
      <c r="Q81" s="63">
        <v>6721650</v>
      </c>
      <c r="R81" s="63">
        <v>5000000</v>
      </c>
      <c r="S81" s="63">
        <v>5000000</v>
      </c>
      <c r="T81" s="63">
        <v>6721650</v>
      </c>
      <c r="U81" s="55" t="s">
        <v>81</v>
      </c>
      <c r="V81" s="55" t="s">
        <v>78</v>
      </c>
      <c r="W81" s="55" t="s">
        <v>81</v>
      </c>
      <c r="X81" s="59" t="s">
        <v>78</v>
      </c>
      <c r="Y81" s="59" t="s">
        <v>81</v>
      </c>
      <c r="Z81" s="55">
        <v>0</v>
      </c>
      <c r="AA81" s="55" t="s">
        <v>78</v>
      </c>
      <c r="AB81" s="55">
        <v>0</v>
      </c>
      <c r="AC81" s="55" t="s">
        <v>78</v>
      </c>
      <c r="AD81" s="55">
        <v>0</v>
      </c>
      <c r="AE81" s="55" t="s">
        <v>78</v>
      </c>
      <c r="AF81" s="55">
        <v>0</v>
      </c>
      <c r="AG81" s="55" t="s">
        <v>81</v>
      </c>
      <c r="AH81" s="55" t="s">
        <v>78</v>
      </c>
      <c r="AI81" s="59" t="s">
        <v>81</v>
      </c>
      <c r="AJ81" s="55" t="s">
        <v>78</v>
      </c>
      <c r="AK81" s="55" t="s">
        <v>78</v>
      </c>
      <c r="AL81" s="55" t="s">
        <v>81</v>
      </c>
      <c r="AM81" s="55" t="s">
        <v>81</v>
      </c>
      <c r="AN81" s="55" t="s">
        <v>78</v>
      </c>
      <c r="AO81" s="60" t="s">
        <v>81</v>
      </c>
      <c r="AP81" s="58" t="s">
        <v>74</v>
      </c>
      <c r="AQ81" s="55" t="s">
        <v>101</v>
      </c>
    </row>
    <row r="82" spans="1:43" ht="13.2" hidden="1" x14ac:dyDescent="0.25">
      <c r="A82" s="90" t="s">
        <v>944</v>
      </c>
      <c r="B82" s="90" t="s">
        <v>945</v>
      </c>
      <c r="C82" s="90">
        <v>2017</v>
      </c>
      <c r="D82" s="90" t="s">
        <v>254</v>
      </c>
      <c r="E82" s="90" t="s">
        <v>78</v>
      </c>
      <c r="F82" s="90" t="s">
        <v>555</v>
      </c>
      <c r="G82" s="90" t="s">
        <v>587</v>
      </c>
      <c r="H82" s="90" t="s">
        <v>256</v>
      </c>
      <c r="I82" s="90" t="s">
        <v>679</v>
      </c>
      <c r="J82" s="90" t="s">
        <v>81</v>
      </c>
      <c r="K82" s="90" t="s">
        <v>126</v>
      </c>
      <c r="L82" s="92">
        <v>282318000</v>
      </c>
      <c r="M82" s="92">
        <v>210006471.62527058</v>
      </c>
      <c r="N82" s="92">
        <v>282318000</v>
      </c>
      <c r="O82" s="92">
        <v>138235613.19999999</v>
      </c>
      <c r="P82" s="92">
        <v>138235613.19999999</v>
      </c>
      <c r="Q82" s="92">
        <v>185834281.89315599</v>
      </c>
      <c r="R82" s="92">
        <v>87609659.430000007</v>
      </c>
      <c r="S82" s="92">
        <v>87609659.430000007</v>
      </c>
      <c r="T82" s="92">
        <v>117776293.46153191</v>
      </c>
      <c r="U82" s="90" t="s">
        <v>81</v>
      </c>
      <c r="V82" s="90" t="s">
        <v>78</v>
      </c>
      <c r="W82" s="90" t="s">
        <v>81</v>
      </c>
      <c r="X82" s="93" t="s">
        <v>78</v>
      </c>
      <c r="Y82" s="93" t="s">
        <v>81</v>
      </c>
      <c r="Z82" s="90">
        <v>0</v>
      </c>
      <c r="AA82" s="90" t="s">
        <v>78</v>
      </c>
      <c r="AB82" s="90">
        <v>0</v>
      </c>
      <c r="AC82" s="90" t="s">
        <v>78</v>
      </c>
      <c r="AD82" s="90">
        <v>0</v>
      </c>
      <c r="AE82" s="90" t="s">
        <v>78</v>
      </c>
      <c r="AF82" s="90">
        <v>0</v>
      </c>
      <c r="AG82" s="90" t="s">
        <v>81</v>
      </c>
      <c r="AH82" s="90" t="s">
        <v>78</v>
      </c>
      <c r="AI82" s="93" t="s">
        <v>81</v>
      </c>
      <c r="AJ82" s="90" t="s">
        <v>78</v>
      </c>
      <c r="AK82" s="90" t="s">
        <v>78</v>
      </c>
      <c r="AL82" s="90" t="s">
        <v>81</v>
      </c>
      <c r="AM82" s="90" t="s">
        <v>81</v>
      </c>
      <c r="AN82" s="90" t="s">
        <v>78</v>
      </c>
      <c r="AO82" s="79" t="s">
        <v>81</v>
      </c>
      <c r="AP82" s="94" t="s">
        <v>126</v>
      </c>
      <c r="AQ82" s="90" t="s">
        <v>256</v>
      </c>
    </row>
    <row r="83" spans="1:43" ht="16.2" hidden="1" x14ac:dyDescent="0.45">
      <c r="A83" s="55" t="s">
        <v>946</v>
      </c>
      <c r="B83" s="55" t="s">
        <v>947</v>
      </c>
      <c r="C83" s="55">
        <v>2017</v>
      </c>
      <c r="D83" s="55" t="s">
        <v>314</v>
      </c>
      <c r="E83" s="55" t="s">
        <v>78</v>
      </c>
      <c r="F83" s="57" t="s">
        <v>557</v>
      </c>
      <c r="G83" s="55" t="s">
        <v>587</v>
      </c>
      <c r="H83" s="55" t="s">
        <v>256</v>
      </c>
      <c r="I83" s="55" t="s">
        <v>676</v>
      </c>
      <c r="J83" s="57" t="s">
        <v>81</v>
      </c>
      <c r="K83" s="55" t="s">
        <v>74</v>
      </c>
      <c r="L83" s="63">
        <v>20660000</v>
      </c>
      <c r="M83" s="63">
        <v>20660000</v>
      </c>
      <c r="N83" s="63">
        <v>27773857.800000001</v>
      </c>
      <c r="O83" s="63">
        <v>15000000</v>
      </c>
      <c r="P83" s="63">
        <v>15000000</v>
      </c>
      <c r="Q83" s="63">
        <v>20164950</v>
      </c>
      <c r="R83" s="63">
        <v>15000000</v>
      </c>
      <c r="S83" s="63">
        <v>15000000</v>
      </c>
      <c r="T83" s="63">
        <v>20164950</v>
      </c>
      <c r="U83" s="55" t="s">
        <v>81</v>
      </c>
      <c r="V83" s="55" t="s">
        <v>78</v>
      </c>
      <c r="W83" s="55" t="s">
        <v>81</v>
      </c>
      <c r="X83" s="59" t="s">
        <v>78</v>
      </c>
      <c r="Y83" s="59" t="s">
        <v>81</v>
      </c>
      <c r="Z83" s="55">
        <v>0</v>
      </c>
      <c r="AA83" s="55" t="s">
        <v>78</v>
      </c>
      <c r="AB83" s="55">
        <v>0</v>
      </c>
      <c r="AC83" s="55" t="s">
        <v>78</v>
      </c>
      <c r="AD83" s="55">
        <v>0</v>
      </c>
      <c r="AE83" s="55" t="s">
        <v>78</v>
      </c>
      <c r="AF83" s="55">
        <v>0</v>
      </c>
      <c r="AG83" s="55" t="s">
        <v>81</v>
      </c>
      <c r="AH83" s="55" t="s">
        <v>78</v>
      </c>
      <c r="AI83" s="59" t="s">
        <v>81</v>
      </c>
      <c r="AJ83" s="55" t="s">
        <v>78</v>
      </c>
      <c r="AK83" s="55" t="s">
        <v>78</v>
      </c>
      <c r="AL83" s="55" t="s">
        <v>81</v>
      </c>
      <c r="AM83" s="55" t="s">
        <v>81</v>
      </c>
      <c r="AN83" s="55" t="s">
        <v>78</v>
      </c>
      <c r="AO83" s="60" t="s">
        <v>81</v>
      </c>
      <c r="AP83" s="58" t="s">
        <v>74</v>
      </c>
      <c r="AQ83" s="55" t="s">
        <v>256</v>
      </c>
    </row>
    <row r="84" spans="1:43" ht="16.2" hidden="1" x14ac:dyDescent="0.45">
      <c r="A84" s="55" t="s">
        <v>948</v>
      </c>
      <c r="B84" s="55" t="s">
        <v>949</v>
      </c>
      <c r="C84" s="55">
        <v>2017</v>
      </c>
      <c r="D84" s="55" t="s">
        <v>508</v>
      </c>
      <c r="E84" s="55" t="s">
        <v>78</v>
      </c>
      <c r="F84" s="57" t="s">
        <v>558</v>
      </c>
      <c r="G84" s="55" t="s">
        <v>596</v>
      </c>
      <c r="H84" s="55" t="s">
        <v>101</v>
      </c>
      <c r="I84" s="55" t="s">
        <v>689</v>
      </c>
      <c r="J84" s="57" t="s">
        <v>81</v>
      </c>
      <c r="K84" s="55" t="s">
        <v>74</v>
      </c>
      <c r="L84" s="63">
        <v>1000000</v>
      </c>
      <c r="M84" s="63">
        <v>1000000</v>
      </c>
      <c r="N84" s="63">
        <v>1344330</v>
      </c>
      <c r="O84" s="63">
        <v>723227.91</v>
      </c>
      <c r="P84" s="63">
        <v>723227.91</v>
      </c>
      <c r="Q84" s="63">
        <v>972256.97625030007</v>
      </c>
      <c r="R84" s="63">
        <v>723227.91</v>
      </c>
      <c r="S84" s="63">
        <v>723227.91</v>
      </c>
      <c r="T84" s="63">
        <v>972256.97625030007</v>
      </c>
      <c r="U84" s="55" t="s">
        <v>75</v>
      </c>
      <c r="V84" s="55" t="s">
        <v>950</v>
      </c>
      <c r="W84" s="55" t="s">
        <v>81</v>
      </c>
      <c r="X84" s="59" t="s">
        <v>78</v>
      </c>
      <c r="Y84" s="59" t="s">
        <v>81</v>
      </c>
      <c r="Z84" s="55">
        <v>0</v>
      </c>
      <c r="AA84" s="55" t="s">
        <v>78</v>
      </c>
      <c r="AB84" s="55">
        <v>0</v>
      </c>
      <c r="AC84" s="55" t="s">
        <v>78</v>
      </c>
      <c r="AD84" s="55">
        <v>0</v>
      </c>
      <c r="AE84" s="55" t="s">
        <v>78</v>
      </c>
      <c r="AF84" s="55">
        <v>0</v>
      </c>
      <c r="AG84" s="55" t="s">
        <v>81</v>
      </c>
      <c r="AH84" s="55" t="s">
        <v>78</v>
      </c>
      <c r="AI84" s="59" t="s">
        <v>75</v>
      </c>
      <c r="AJ84" s="55" t="s">
        <v>466</v>
      </c>
      <c r="AK84" s="55" t="s">
        <v>78</v>
      </c>
      <c r="AL84" s="55" t="s">
        <v>81</v>
      </c>
      <c r="AM84" s="55" t="s">
        <v>81</v>
      </c>
      <c r="AN84" s="55" t="s">
        <v>78</v>
      </c>
      <c r="AO84" s="60" t="s">
        <v>81</v>
      </c>
      <c r="AP84" s="58" t="s">
        <v>74</v>
      </c>
      <c r="AQ84" s="55" t="s">
        <v>101</v>
      </c>
    </row>
    <row r="85" spans="1:43" ht="13.2" hidden="1" x14ac:dyDescent="0.25">
      <c r="A85" s="90" t="s">
        <v>951</v>
      </c>
      <c r="B85" s="90" t="s">
        <v>952</v>
      </c>
      <c r="C85" s="90">
        <v>2017</v>
      </c>
      <c r="D85" s="90" t="s">
        <v>516</v>
      </c>
      <c r="E85" s="90" t="s">
        <v>78</v>
      </c>
      <c r="F85" s="90" t="s">
        <v>569</v>
      </c>
      <c r="G85" s="90" t="s">
        <v>585</v>
      </c>
      <c r="H85" s="90" t="s">
        <v>228</v>
      </c>
      <c r="I85" s="90" t="s">
        <v>679</v>
      </c>
      <c r="J85" s="90" t="s">
        <v>75</v>
      </c>
      <c r="K85" s="90" t="s">
        <v>126</v>
      </c>
      <c r="L85" s="92">
        <v>6210000</v>
      </c>
      <c r="M85" s="92">
        <v>4619401.486242217</v>
      </c>
      <c r="N85" s="92">
        <v>6210000</v>
      </c>
      <c r="O85" s="92">
        <v>4491245.33</v>
      </c>
      <c r="P85" s="92">
        <v>4491245.33</v>
      </c>
      <c r="Q85" s="92">
        <v>6037715.8344788998</v>
      </c>
      <c r="R85" s="92">
        <v>0</v>
      </c>
      <c r="S85" s="92">
        <v>0</v>
      </c>
      <c r="T85" s="92">
        <v>0</v>
      </c>
      <c r="U85" s="90" t="s">
        <v>81</v>
      </c>
      <c r="V85" s="90" t="s">
        <v>78</v>
      </c>
      <c r="W85" s="90" t="s">
        <v>81</v>
      </c>
      <c r="X85" s="93" t="s">
        <v>78</v>
      </c>
      <c r="Y85" s="93" t="s">
        <v>81</v>
      </c>
      <c r="Z85" s="90">
        <v>0</v>
      </c>
      <c r="AA85" s="90" t="s">
        <v>78</v>
      </c>
      <c r="AB85" s="90">
        <v>0</v>
      </c>
      <c r="AC85" s="90" t="s">
        <v>78</v>
      </c>
      <c r="AD85" s="90">
        <v>0</v>
      </c>
      <c r="AE85" s="90" t="s">
        <v>78</v>
      </c>
      <c r="AF85" s="90">
        <v>0</v>
      </c>
      <c r="AG85" s="90" t="s">
        <v>81</v>
      </c>
      <c r="AH85" s="90" t="s">
        <v>78</v>
      </c>
      <c r="AI85" s="93" t="s">
        <v>81</v>
      </c>
      <c r="AJ85" s="90" t="s">
        <v>78</v>
      </c>
      <c r="AK85" s="90" t="s">
        <v>78</v>
      </c>
      <c r="AL85" s="90" t="s">
        <v>81</v>
      </c>
      <c r="AM85" s="90" t="s">
        <v>81</v>
      </c>
      <c r="AN85" s="90" t="s">
        <v>78</v>
      </c>
      <c r="AO85" s="79" t="s">
        <v>81</v>
      </c>
      <c r="AP85" s="94" t="s">
        <v>126</v>
      </c>
      <c r="AQ85" s="90" t="s">
        <v>228</v>
      </c>
    </row>
    <row r="86" spans="1:43" ht="16.2" hidden="1" x14ac:dyDescent="0.45">
      <c r="A86" s="55" t="s">
        <v>953</v>
      </c>
      <c r="B86" s="55" t="s">
        <v>954</v>
      </c>
      <c r="C86" s="55">
        <v>2017</v>
      </c>
      <c r="D86" s="55" t="s">
        <v>87</v>
      </c>
      <c r="E86" s="55" t="s">
        <v>955</v>
      </c>
      <c r="F86" s="57" t="s">
        <v>1848</v>
      </c>
      <c r="G86" s="55" t="s">
        <v>228</v>
      </c>
      <c r="H86" s="55" t="s">
        <v>228</v>
      </c>
      <c r="I86" s="55" t="s">
        <v>676</v>
      </c>
      <c r="J86" s="57" t="s">
        <v>81</v>
      </c>
      <c r="K86" s="55" t="s">
        <v>74</v>
      </c>
      <c r="L86" s="63">
        <v>25000000</v>
      </c>
      <c r="M86" s="63">
        <v>25000000</v>
      </c>
      <c r="N86" s="63">
        <v>33608250</v>
      </c>
      <c r="O86" s="63">
        <v>25000000</v>
      </c>
      <c r="P86" s="63">
        <v>25000000</v>
      </c>
      <c r="Q86" s="63">
        <v>33608250</v>
      </c>
      <c r="R86" s="63">
        <v>25000000</v>
      </c>
      <c r="S86" s="63">
        <v>25000000</v>
      </c>
      <c r="T86" s="63">
        <v>33608250</v>
      </c>
      <c r="U86" s="55" t="s">
        <v>75</v>
      </c>
      <c r="V86" s="55" t="s">
        <v>956</v>
      </c>
      <c r="W86" s="55" t="s">
        <v>75</v>
      </c>
      <c r="X86" s="59" t="s">
        <v>957</v>
      </c>
      <c r="Y86" s="59" t="s">
        <v>75</v>
      </c>
      <c r="Z86" s="55">
        <v>999</v>
      </c>
      <c r="AA86" s="55" t="s">
        <v>958</v>
      </c>
      <c r="AB86" s="55">
        <v>0</v>
      </c>
      <c r="AC86" s="55" t="s">
        <v>78</v>
      </c>
      <c r="AD86" s="55">
        <v>0</v>
      </c>
      <c r="AE86" s="55" t="s">
        <v>78</v>
      </c>
      <c r="AF86" s="55">
        <v>1</v>
      </c>
      <c r="AG86" s="55" t="s">
        <v>75</v>
      </c>
      <c r="AH86" s="55" t="s">
        <v>959</v>
      </c>
      <c r="AI86" s="59" t="s">
        <v>75</v>
      </c>
      <c r="AJ86" s="55" t="s">
        <v>228</v>
      </c>
      <c r="AK86" s="55" t="s">
        <v>960</v>
      </c>
      <c r="AL86" s="55" t="s">
        <v>75</v>
      </c>
      <c r="AM86" s="55" t="s">
        <v>75</v>
      </c>
      <c r="AN86" s="55" t="s">
        <v>78</v>
      </c>
      <c r="AO86" s="60" t="s">
        <v>75</v>
      </c>
      <c r="AP86" s="58" t="s">
        <v>74</v>
      </c>
      <c r="AQ86" s="55" t="s">
        <v>228</v>
      </c>
    </row>
    <row r="87" spans="1:43" ht="16.2" hidden="1" x14ac:dyDescent="0.45">
      <c r="A87" s="55" t="s">
        <v>961</v>
      </c>
      <c r="B87" s="55" t="s">
        <v>962</v>
      </c>
      <c r="C87" s="55">
        <v>2017</v>
      </c>
      <c r="D87" s="55" t="s">
        <v>501</v>
      </c>
      <c r="E87" s="55" t="s">
        <v>78</v>
      </c>
      <c r="F87" s="57" t="s">
        <v>551</v>
      </c>
      <c r="G87" s="55" t="s">
        <v>596</v>
      </c>
      <c r="H87" s="55" t="s">
        <v>101</v>
      </c>
      <c r="I87" s="55" t="s">
        <v>676</v>
      </c>
      <c r="J87" s="57" t="s">
        <v>81</v>
      </c>
      <c r="K87" s="55" t="s">
        <v>74</v>
      </c>
      <c r="L87" s="63">
        <v>760000</v>
      </c>
      <c r="M87" s="63">
        <v>760000</v>
      </c>
      <c r="N87" s="63">
        <v>1021690.8</v>
      </c>
      <c r="O87" s="63">
        <v>760000</v>
      </c>
      <c r="P87" s="63">
        <v>760000</v>
      </c>
      <c r="Q87" s="63">
        <v>1021690.8</v>
      </c>
      <c r="R87" s="63">
        <v>760000</v>
      </c>
      <c r="S87" s="63">
        <v>760000</v>
      </c>
      <c r="T87" s="63">
        <v>1021690.8</v>
      </c>
      <c r="U87" s="55" t="s">
        <v>81</v>
      </c>
      <c r="V87" s="55" t="s">
        <v>78</v>
      </c>
      <c r="W87" s="55" t="s">
        <v>81</v>
      </c>
      <c r="X87" s="59" t="s">
        <v>78</v>
      </c>
      <c r="Y87" s="59" t="s">
        <v>81</v>
      </c>
      <c r="Z87" s="55">
        <v>0</v>
      </c>
      <c r="AA87" s="55" t="s">
        <v>78</v>
      </c>
      <c r="AB87" s="55">
        <v>0</v>
      </c>
      <c r="AC87" s="55" t="s">
        <v>78</v>
      </c>
      <c r="AD87" s="55">
        <v>0</v>
      </c>
      <c r="AE87" s="55" t="s">
        <v>78</v>
      </c>
      <c r="AF87" s="55">
        <v>0</v>
      </c>
      <c r="AG87" s="55" t="s">
        <v>81</v>
      </c>
      <c r="AH87" s="55" t="s">
        <v>78</v>
      </c>
      <c r="AI87" s="59" t="s">
        <v>81</v>
      </c>
      <c r="AJ87" s="55" t="s">
        <v>78</v>
      </c>
      <c r="AK87" s="55" t="s">
        <v>78</v>
      </c>
      <c r="AL87" s="55" t="s">
        <v>81</v>
      </c>
      <c r="AM87" s="55" t="s">
        <v>81</v>
      </c>
      <c r="AN87" s="55" t="s">
        <v>78</v>
      </c>
      <c r="AO87" s="60" t="s">
        <v>81</v>
      </c>
      <c r="AP87" s="58" t="s">
        <v>74</v>
      </c>
      <c r="AQ87" s="55" t="s">
        <v>101</v>
      </c>
    </row>
    <row r="88" spans="1:43" ht="16.2" hidden="1" x14ac:dyDescent="0.45">
      <c r="A88" s="55" t="s">
        <v>963</v>
      </c>
      <c r="B88" s="55" t="s">
        <v>964</v>
      </c>
      <c r="C88" s="55">
        <v>2017</v>
      </c>
      <c r="D88" s="55" t="s">
        <v>145</v>
      </c>
      <c r="E88" s="55" t="s">
        <v>78</v>
      </c>
      <c r="F88" s="57" t="s">
        <v>543</v>
      </c>
      <c r="G88" s="55" t="s">
        <v>228</v>
      </c>
      <c r="H88" s="55" t="s">
        <v>228</v>
      </c>
      <c r="I88" s="55" t="s">
        <v>689</v>
      </c>
      <c r="J88" s="57" t="s">
        <v>81</v>
      </c>
      <c r="K88" s="55" t="s">
        <v>126</v>
      </c>
      <c r="L88" s="63">
        <v>1000000</v>
      </c>
      <c r="M88" s="63">
        <v>743864.97362998663</v>
      </c>
      <c r="N88" s="63">
        <v>1000000</v>
      </c>
      <c r="O88" s="63">
        <v>723227.91</v>
      </c>
      <c r="P88" s="63">
        <v>723227.91</v>
      </c>
      <c r="Q88" s="63">
        <v>972256.97625030007</v>
      </c>
      <c r="R88" s="63">
        <v>723227.91</v>
      </c>
      <c r="S88" s="63">
        <v>723227.91</v>
      </c>
      <c r="T88" s="63">
        <v>972256.97625030007</v>
      </c>
      <c r="U88" s="55" t="s">
        <v>75</v>
      </c>
      <c r="V88" s="55" t="s">
        <v>965</v>
      </c>
      <c r="W88" s="55" t="s">
        <v>75</v>
      </c>
      <c r="X88" s="59" t="s">
        <v>966</v>
      </c>
      <c r="Y88" s="59" t="s">
        <v>75</v>
      </c>
      <c r="Z88" s="55">
        <v>999</v>
      </c>
      <c r="AA88" s="55" t="s">
        <v>967</v>
      </c>
      <c r="AB88" s="55">
        <v>0</v>
      </c>
      <c r="AC88" s="55" t="s">
        <v>78</v>
      </c>
      <c r="AD88" s="55">
        <v>0</v>
      </c>
      <c r="AE88" s="55" t="s">
        <v>78</v>
      </c>
      <c r="AF88" s="55">
        <v>1</v>
      </c>
      <c r="AG88" s="55" t="s">
        <v>75</v>
      </c>
      <c r="AH88" s="55" t="s">
        <v>968</v>
      </c>
      <c r="AI88" s="59" t="s">
        <v>75</v>
      </c>
      <c r="AJ88" s="55" t="s">
        <v>795</v>
      </c>
      <c r="AK88" s="55" t="s">
        <v>796</v>
      </c>
      <c r="AL88" s="55" t="s">
        <v>81</v>
      </c>
      <c r="AM88" s="55" t="s">
        <v>81</v>
      </c>
      <c r="AN88" s="55" t="s">
        <v>78</v>
      </c>
      <c r="AO88" s="60" t="s">
        <v>75</v>
      </c>
      <c r="AP88" s="58" t="s">
        <v>126</v>
      </c>
      <c r="AQ88" s="55" t="s">
        <v>228</v>
      </c>
    </row>
    <row r="89" spans="1:43" ht="16.2" hidden="1" x14ac:dyDescent="0.45">
      <c r="A89" s="55" t="s">
        <v>969</v>
      </c>
      <c r="B89" s="55" t="s">
        <v>970</v>
      </c>
      <c r="C89" s="55">
        <v>2017</v>
      </c>
      <c r="D89" s="55" t="s">
        <v>87</v>
      </c>
      <c r="E89" s="55" t="s">
        <v>937</v>
      </c>
      <c r="F89" s="57" t="s">
        <v>1848</v>
      </c>
      <c r="G89" s="55" t="s">
        <v>584</v>
      </c>
      <c r="H89" s="55" t="s">
        <v>228</v>
      </c>
      <c r="I89" s="55" t="s">
        <v>689</v>
      </c>
      <c r="J89" s="57" t="s">
        <v>81</v>
      </c>
      <c r="K89" s="55" t="s">
        <v>126</v>
      </c>
      <c r="L89" s="63">
        <v>100000000</v>
      </c>
      <c r="M89" s="63">
        <v>74386497.362998664</v>
      </c>
      <c r="N89" s="63">
        <v>100000000</v>
      </c>
      <c r="O89" s="63">
        <v>72322791.079999998</v>
      </c>
      <c r="P89" s="63">
        <v>72322791.079999998</v>
      </c>
      <c r="Q89" s="63">
        <v>97225697.7325764</v>
      </c>
      <c r="R89" s="63">
        <v>72322791.079999998</v>
      </c>
      <c r="S89" s="63">
        <v>72322791.079999998</v>
      </c>
      <c r="T89" s="63">
        <v>97225697.7325764</v>
      </c>
      <c r="U89" s="55" t="s">
        <v>81</v>
      </c>
      <c r="V89" s="55" t="s">
        <v>78</v>
      </c>
      <c r="W89" s="55" t="s">
        <v>81</v>
      </c>
      <c r="X89" s="59" t="s">
        <v>78</v>
      </c>
      <c r="Y89" s="59" t="s">
        <v>81</v>
      </c>
      <c r="Z89" s="55">
        <v>0</v>
      </c>
      <c r="AA89" s="55" t="s">
        <v>78</v>
      </c>
      <c r="AB89" s="55">
        <v>0</v>
      </c>
      <c r="AC89" s="55" t="s">
        <v>78</v>
      </c>
      <c r="AD89" s="55">
        <v>0</v>
      </c>
      <c r="AE89" s="55" t="s">
        <v>78</v>
      </c>
      <c r="AF89" s="55">
        <v>0</v>
      </c>
      <c r="AG89" s="55" t="s">
        <v>81</v>
      </c>
      <c r="AH89" s="55" t="s">
        <v>78</v>
      </c>
      <c r="AI89" s="59" t="s">
        <v>81</v>
      </c>
      <c r="AJ89" s="55" t="s">
        <v>78</v>
      </c>
      <c r="AK89" s="55" t="s">
        <v>78</v>
      </c>
      <c r="AL89" s="55" t="s">
        <v>81</v>
      </c>
      <c r="AM89" s="55" t="s">
        <v>81</v>
      </c>
      <c r="AN89" s="55" t="s">
        <v>78</v>
      </c>
      <c r="AO89" s="60" t="s">
        <v>81</v>
      </c>
      <c r="AP89" s="58" t="s">
        <v>126</v>
      </c>
      <c r="AQ89" s="55" t="s">
        <v>228</v>
      </c>
    </row>
    <row r="90" spans="1:43" ht="13.2" hidden="1" x14ac:dyDescent="0.25">
      <c r="A90" s="90" t="s">
        <v>971</v>
      </c>
      <c r="B90" s="91" t="s">
        <v>972</v>
      </c>
      <c r="C90" s="90">
        <v>2017</v>
      </c>
      <c r="D90" s="90" t="s">
        <v>445</v>
      </c>
      <c r="E90" s="90" t="s">
        <v>78</v>
      </c>
      <c r="F90" s="90" t="s">
        <v>552</v>
      </c>
      <c r="G90" s="90" t="s">
        <v>598</v>
      </c>
      <c r="H90" s="90" t="s">
        <v>101</v>
      </c>
      <c r="I90" s="90" t="s">
        <v>679</v>
      </c>
      <c r="J90" s="90" t="s">
        <v>75</v>
      </c>
      <c r="K90" s="90" t="s">
        <v>126</v>
      </c>
      <c r="L90" s="92">
        <v>1000000</v>
      </c>
      <c r="M90" s="92">
        <v>743864.97362998663</v>
      </c>
      <c r="N90" s="92">
        <v>1000000</v>
      </c>
      <c r="O90" s="92">
        <v>723227.91</v>
      </c>
      <c r="P90" s="92">
        <v>723227.91</v>
      </c>
      <c r="Q90" s="92">
        <v>972256.97625030007</v>
      </c>
      <c r="R90" s="92">
        <v>0</v>
      </c>
      <c r="S90" s="92">
        <v>0</v>
      </c>
      <c r="T90" s="92">
        <v>0</v>
      </c>
      <c r="U90" s="90" t="s">
        <v>81</v>
      </c>
      <c r="V90" s="90" t="s">
        <v>78</v>
      </c>
      <c r="W90" s="90" t="s">
        <v>81</v>
      </c>
      <c r="X90" s="93" t="s">
        <v>78</v>
      </c>
      <c r="Y90" s="93" t="s">
        <v>81</v>
      </c>
      <c r="Z90" s="90">
        <v>0</v>
      </c>
      <c r="AA90" s="90" t="s">
        <v>78</v>
      </c>
      <c r="AB90" s="90">
        <v>0</v>
      </c>
      <c r="AC90" s="90" t="s">
        <v>78</v>
      </c>
      <c r="AD90" s="90">
        <v>0</v>
      </c>
      <c r="AE90" s="90" t="s">
        <v>78</v>
      </c>
      <c r="AF90" s="90">
        <v>0</v>
      </c>
      <c r="AG90" s="90" t="s">
        <v>81</v>
      </c>
      <c r="AH90" s="90" t="s">
        <v>78</v>
      </c>
      <c r="AI90" s="93" t="s">
        <v>81</v>
      </c>
      <c r="AJ90" s="90" t="s">
        <v>78</v>
      </c>
      <c r="AK90" s="90" t="s">
        <v>78</v>
      </c>
      <c r="AL90" s="90" t="s">
        <v>81</v>
      </c>
      <c r="AM90" s="90" t="s">
        <v>81</v>
      </c>
      <c r="AN90" s="90" t="s">
        <v>78</v>
      </c>
      <c r="AO90" s="79" t="s">
        <v>81</v>
      </c>
      <c r="AP90" s="94" t="s">
        <v>126</v>
      </c>
      <c r="AQ90" s="90" t="s">
        <v>101</v>
      </c>
    </row>
    <row r="91" spans="1:43" ht="16.2" x14ac:dyDescent="0.45">
      <c r="A91" s="55" t="s">
        <v>973</v>
      </c>
      <c r="B91" s="56" t="s">
        <v>974</v>
      </c>
      <c r="C91" s="55">
        <v>2017</v>
      </c>
      <c r="D91" s="55" t="s">
        <v>184</v>
      </c>
      <c r="E91" s="55" t="s">
        <v>78</v>
      </c>
      <c r="F91" s="57" t="s">
        <v>554</v>
      </c>
      <c r="G91" s="56" t="s">
        <v>466</v>
      </c>
      <c r="H91" s="56" t="s">
        <v>466</v>
      </c>
      <c r="I91" s="56" t="s">
        <v>689</v>
      </c>
      <c r="J91" s="61" t="s">
        <v>81</v>
      </c>
      <c r="K91" s="55" t="s">
        <v>74</v>
      </c>
      <c r="L91" s="63">
        <v>740000</v>
      </c>
      <c r="M91" s="63">
        <v>740000</v>
      </c>
      <c r="N91" s="63">
        <v>994804.20000000007</v>
      </c>
      <c r="O91" s="63">
        <v>740000</v>
      </c>
      <c r="P91" s="63">
        <v>740000</v>
      </c>
      <c r="Q91" s="63">
        <v>994804.20000000007</v>
      </c>
      <c r="R91" s="63">
        <v>740000</v>
      </c>
      <c r="S91" s="63">
        <v>740000</v>
      </c>
      <c r="T91" s="63">
        <v>994804.20000000007</v>
      </c>
      <c r="U91" s="55" t="s">
        <v>81</v>
      </c>
      <c r="V91" s="55" t="s">
        <v>78</v>
      </c>
      <c r="W91" s="55" t="s">
        <v>81</v>
      </c>
      <c r="X91" s="59" t="s">
        <v>78</v>
      </c>
      <c r="Y91" s="59" t="s">
        <v>81</v>
      </c>
      <c r="Z91" s="55">
        <v>0</v>
      </c>
      <c r="AA91" s="55" t="s">
        <v>78</v>
      </c>
      <c r="AB91" s="55">
        <v>0</v>
      </c>
      <c r="AC91" s="55" t="s">
        <v>78</v>
      </c>
      <c r="AD91" s="55">
        <v>0</v>
      </c>
      <c r="AE91" s="55" t="s">
        <v>78</v>
      </c>
      <c r="AF91" s="55">
        <v>0</v>
      </c>
      <c r="AG91" s="55" t="s">
        <v>81</v>
      </c>
      <c r="AH91" s="55" t="s">
        <v>78</v>
      </c>
      <c r="AI91" s="59" t="s">
        <v>81</v>
      </c>
      <c r="AJ91" s="55" t="s">
        <v>78</v>
      </c>
      <c r="AK91" s="55" t="s">
        <v>78</v>
      </c>
      <c r="AL91" s="55" t="s">
        <v>81</v>
      </c>
      <c r="AM91" s="55" t="s">
        <v>81</v>
      </c>
      <c r="AN91" s="55" t="s">
        <v>78</v>
      </c>
      <c r="AO91" s="60" t="s">
        <v>81</v>
      </c>
      <c r="AP91" s="58" t="s">
        <v>74</v>
      </c>
      <c r="AQ91" s="56" t="s">
        <v>466</v>
      </c>
    </row>
    <row r="92" spans="1:43" ht="13.2" hidden="1" x14ac:dyDescent="0.25">
      <c r="A92" s="90" t="s">
        <v>975</v>
      </c>
      <c r="B92" s="91" t="s">
        <v>976</v>
      </c>
      <c r="C92" s="90">
        <v>2017</v>
      </c>
      <c r="D92" s="90" t="s">
        <v>501</v>
      </c>
      <c r="E92" s="90" t="s">
        <v>78</v>
      </c>
      <c r="F92" s="90" t="s">
        <v>551</v>
      </c>
      <c r="G92" s="91" t="s">
        <v>598</v>
      </c>
      <c r="H92" s="90" t="s">
        <v>101</v>
      </c>
      <c r="I92" s="90" t="s">
        <v>679</v>
      </c>
      <c r="J92" s="90" t="s">
        <v>75</v>
      </c>
      <c r="K92" s="90" t="s">
        <v>126</v>
      </c>
      <c r="L92" s="92">
        <v>1000000</v>
      </c>
      <c r="M92" s="92">
        <v>743864.97362998663</v>
      </c>
      <c r="N92" s="92">
        <v>1000000</v>
      </c>
      <c r="O92" s="92">
        <v>723227.91</v>
      </c>
      <c r="P92" s="92">
        <v>723227.91</v>
      </c>
      <c r="Q92" s="92">
        <v>972256.97625030007</v>
      </c>
      <c r="R92" s="92">
        <v>0</v>
      </c>
      <c r="S92" s="92">
        <v>0</v>
      </c>
      <c r="T92" s="92">
        <v>0</v>
      </c>
      <c r="U92" s="90" t="s">
        <v>81</v>
      </c>
      <c r="V92" s="90" t="s">
        <v>78</v>
      </c>
      <c r="W92" s="90" t="s">
        <v>81</v>
      </c>
      <c r="X92" s="93" t="s">
        <v>78</v>
      </c>
      <c r="Y92" s="93" t="s">
        <v>81</v>
      </c>
      <c r="Z92" s="90">
        <v>0</v>
      </c>
      <c r="AA92" s="90" t="s">
        <v>78</v>
      </c>
      <c r="AB92" s="90">
        <v>0</v>
      </c>
      <c r="AC92" s="90" t="s">
        <v>78</v>
      </c>
      <c r="AD92" s="90">
        <v>0</v>
      </c>
      <c r="AE92" s="90" t="s">
        <v>78</v>
      </c>
      <c r="AF92" s="90">
        <v>0</v>
      </c>
      <c r="AG92" s="90" t="s">
        <v>81</v>
      </c>
      <c r="AH92" s="90" t="s">
        <v>78</v>
      </c>
      <c r="AI92" s="93" t="s">
        <v>81</v>
      </c>
      <c r="AJ92" s="90" t="s">
        <v>78</v>
      </c>
      <c r="AK92" s="90" t="s">
        <v>78</v>
      </c>
      <c r="AL92" s="90" t="s">
        <v>81</v>
      </c>
      <c r="AM92" s="90" t="s">
        <v>81</v>
      </c>
      <c r="AN92" s="90" t="s">
        <v>78</v>
      </c>
      <c r="AO92" s="79" t="s">
        <v>81</v>
      </c>
      <c r="AP92" s="94" t="s">
        <v>126</v>
      </c>
      <c r="AQ92" s="90" t="s">
        <v>101</v>
      </c>
    </row>
    <row r="93" spans="1:43" ht="16.2" hidden="1" x14ac:dyDescent="0.45">
      <c r="A93" s="55" t="s">
        <v>977</v>
      </c>
      <c r="B93" s="55" t="s">
        <v>978</v>
      </c>
      <c r="C93" s="55">
        <v>2017</v>
      </c>
      <c r="D93" s="55" t="s">
        <v>353</v>
      </c>
      <c r="E93" s="55" t="s">
        <v>78</v>
      </c>
      <c r="F93" s="57" t="s">
        <v>78</v>
      </c>
      <c r="G93" s="55" t="s">
        <v>596</v>
      </c>
      <c r="H93" s="55" t="s">
        <v>101</v>
      </c>
      <c r="I93" s="55" t="s">
        <v>689</v>
      </c>
      <c r="J93" s="57" t="s">
        <v>81</v>
      </c>
      <c r="K93" s="55" t="s">
        <v>74</v>
      </c>
      <c r="L93" s="63">
        <v>166572275.69999999</v>
      </c>
      <c r="M93" s="63">
        <v>166572275.69999999</v>
      </c>
      <c r="N93" s="63">
        <v>223928107.391781</v>
      </c>
      <c r="O93" s="63">
        <v>151402746.5</v>
      </c>
      <c r="P93" s="63">
        <v>151402746.5</v>
      </c>
      <c r="Q93" s="63">
        <v>203535254.20234501</v>
      </c>
      <c r="R93" s="63">
        <v>151402746.5</v>
      </c>
      <c r="S93" s="63">
        <v>151402746.5</v>
      </c>
      <c r="T93" s="63">
        <v>203535254.20234501</v>
      </c>
      <c r="U93" s="55" t="s">
        <v>81</v>
      </c>
      <c r="V93" s="55" t="s">
        <v>78</v>
      </c>
      <c r="W93" s="55" t="s">
        <v>81</v>
      </c>
      <c r="X93" s="59" t="s">
        <v>78</v>
      </c>
      <c r="Y93" s="59" t="s">
        <v>81</v>
      </c>
      <c r="Z93" s="55">
        <v>0</v>
      </c>
      <c r="AA93" s="55" t="s">
        <v>78</v>
      </c>
      <c r="AB93" s="55">
        <v>0</v>
      </c>
      <c r="AC93" s="55" t="s">
        <v>78</v>
      </c>
      <c r="AD93" s="55">
        <v>0</v>
      </c>
      <c r="AE93" s="55" t="s">
        <v>78</v>
      </c>
      <c r="AF93" s="55">
        <v>0</v>
      </c>
      <c r="AG93" s="55" t="s">
        <v>81</v>
      </c>
      <c r="AH93" s="55" t="s">
        <v>78</v>
      </c>
      <c r="AI93" s="59" t="s">
        <v>81</v>
      </c>
      <c r="AJ93" s="55" t="s">
        <v>78</v>
      </c>
      <c r="AK93" s="55" t="s">
        <v>78</v>
      </c>
      <c r="AL93" s="55" t="s">
        <v>81</v>
      </c>
      <c r="AM93" s="55" t="s">
        <v>81</v>
      </c>
      <c r="AN93" s="55" t="s">
        <v>78</v>
      </c>
      <c r="AO93" s="60" t="s">
        <v>81</v>
      </c>
      <c r="AP93" s="58" t="s">
        <v>74</v>
      </c>
      <c r="AQ93" s="55" t="s">
        <v>101</v>
      </c>
    </row>
    <row r="94" spans="1:43" ht="16.2" hidden="1" x14ac:dyDescent="0.45">
      <c r="A94" s="55" t="s">
        <v>979</v>
      </c>
      <c r="B94" s="56" t="s">
        <v>980</v>
      </c>
      <c r="C94" s="55">
        <v>2017</v>
      </c>
      <c r="D94" s="55" t="s">
        <v>509</v>
      </c>
      <c r="E94" s="55" t="s">
        <v>78</v>
      </c>
      <c r="F94" s="57" t="s">
        <v>560</v>
      </c>
      <c r="G94" s="56" t="s">
        <v>580</v>
      </c>
      <c r="H94" s="55" t="s">
        <v>115</v>
      </c>
      <c r="I94" s="55" t="s">
        <v>689</v>
      </c>
      <c r="J94" s="57" t="s">
        <v>81</v>
      </c>
      <c r="K94" s="55" t="s">
        <v>126</v>
      </c>
      <c r="L94" s="63">
        <v>1000000</v>
      </c>
      <c r="M94" s="63">
        <v>743864.97362998663</v>
      </c>
      <c r="N94" s="63">
        <v>1000000</v>
      </c>
      <c r="O94" s="63">
        <v>723227.91</v>
      </c>
      <c r="P94" s="63">
        <v>723227.91</v>
      </c>
      <c r="Q94" s="63">
        <v>972256.97625030007</v>
      </c>
      <c r="R94" s="63">
        <v>723227.91</v>
      </c>
      <c r="S94" s="63">
        <v>723227.91</v>
      </c>
      <c r="T94" s="63">
        <v>972256.97625030007</v>
      </c>
      <c r="U94" s="55" t="s">
        <v>75</v>
      </c>
      <c r="V94" s="55" t="s">
        <v>981</v>
      </c>
      <c r="W94" s="55" t="s">
        <v>75</v>
      </c>
      <c r="X94" s="59" t="s">
        <v>982</v>
      </c>
      <c r="Y94" s="59" t="s">
        <v>75</v>
      </c>
      <c r="Z94" s="55">
        <v>999</v>
      </c>
      <c r="AA94" s="55" t="s">
        <v>983</v>
      </c>
      <c r="AB94" s="55">
        <v>0</v>
      </c>
      <c r="AC94" s="55" t="s">
        <v>78</v>
      </c>
      <c r="AD94" s="55">
        <v>0</v>
      </c>
      <c r="AE94" s="55" t="s">
        <v>78</v>
      </c>
      <c r="AF94" s="55">
        <v>1</v>
      </c>
      <c r="AG94" s="55" t="s">
        <v>75</v>
      </c>
      <c r="AH94" s="55" t="s">
        <v>984</v>
      </c>
      <c r="AI94" s="59" t="s">
        <v>75</v>
      </c>
      <c r="AJ94" s="55" t="s">
        <v>795</v>
      </c>
      <c r="AK94" s="55" t="s">
        <v>704</v>
      </c>
      <c r="AL94" s="55" t="s">
        <v>81</v>
      </c>
      <c r="AM94" s="55" t="s">
        <v>81</v>
      </c>
      <c r="AN94" s="55" t="s">
        <v>78</v>
      </c>
      <c r="AO94" s="60" t="s">
        <v>75</v>
      </c>
      <c r="AP94" s="58" t="s">
        <v>126</v>
      </c>
      <c r="AQ94" s="55" t="s">
        <v>115</v>
      </c>
    </row>
    <row r="95" spans="1:43" ht="16.2" hidden="1" x14ac:dyDescent="0.45">
      <c r="A95" s="55" t="s">
        <v>985</v>
      </c>
      <c r="B95" s="55" t="s">
        <v>986</v>
      </c>
      <c r="C95" s="55">
        <v>2017</v>
      </c>
      <c r="D95" s="55" t="s">
        <v>179</v>
      </c>
      <c r="E95" s="55" t="s">
        <v>78</v>
      </c>
      <c r="F95" s="57" t="s">
        <v>561</v>
      </c>
      <c r="G95" s="55" t="s">
        <v>595</v>
      </c>
      <c r="H95" s="55" t="s">
        <v>101</v>
      </c>
      <c r="I95" s="55" t="s">
        <v>676</v>
      </c>
      <c r="J95" s="57" t="s">
        <v>81</v>
      </c>
      <c r="K95" s="55" t="s">
        <v>74</v>
      </c>
      <c r="L95" s="63">
        <v>13380000</v>
      </c>
      <c r="M95" s="63">
        <v>13380000</v>
      </c>
      <c r="N95" s="63">
        <v>17987135.399999999</v>
      </c>
      <c r="O95" s="63">
        <v>13379999.720000001</v>
      </c>
      <c r="P95" s="63">
        <v>13379999.720000001</v>
      </c>
      <c r="Q95" s="63">
        <v>17987135.023587599</v>
      </c>
      <c r="R95" s="63">
        <v>13379999.720000001</v>
      </c>
      <c r="S95" s="63">
        <v>13379999.720000001</v>
      </c>
      <c r="T95" s="63">
        <v>17987135.023587599</v>
      </c>
      <c r="U95" s="55" t="s">
        <v>81</v>
      </c>
      <c r="V95" s="55" t="s">
        <v>78</v>
      </c>
      <c r="W95" s="55" t="s">
        <v>81</v>
      </c>
      <c r="X95" s="59" t="s">
        <v>78</v>
      </c>
      <c r="Y95" s="59" t="s">
        <v>81</v>
      </c>
      <c r="Z95" s="55">
        <v>0</v>
      </c>
      <c r="AA95" s="55" t="s">
        <v>78</v>
      </c>
      <c r="AB95" s="55">
        <v>0</v>
      </c>
      <c r="AC95" s="55" t="s">
        <v>78</v>
      </c>
      <c r="AD95" s="55">
        <v>0</v>
      </c>
      <c r="AE95" s="55" t="s">
        <v>78</v>
      </c>
      <c r="AF95" s="55">
        <v>0</v>
      </c>
      <c r="AG95" s="55" t="s">
        <v>81</v>
      </c>
      <c r="AH95" s="55" t="s">
        <v>78</v>
      </c>
      <c r="AI95" s="59" t="s">
        <v>81</v>
      </c>
      <c r="AJ95" s="55" t="s">
        <v>78</v>
      </c>
      <c r="AK95" s="55" t="s">
        <v>78</v>
      </c>
      <c r="AL95" s="55" t="s">
        <v>81</v>
      </c>
      <c r="AM95" s="55" t="s">
        <v>81</v>
      </c>
      <c r="AN95" s="55" t="s">
        <v>78</v>
      </c>
      <c r="AO95" s="60" t="s">
        <v>81</v>
      </c>
      <c r="AP95" s="58" t="s">
        <v>74</v>
      </c>
      <c r="AQ95" s="55" t="s">
        <v>101</v>
      </c>
    </row>
    <row r="96" spans="1:43" ht="16.2" hidden="1" x14ac:dyDescent="0.45">
      <c r="A96" s="55" t="s">
        <v>987</v>
      </c>
      <c r="B96" s="55" t="s">
        <v>988</v>
      </c>
      <c r="C96" s="55">
        <v>2017</v>
      </c>
      <c r="D96" s="55" t="s">
        <v>195</v>
      </c>
      <c r="E96" s="55" t="s">
        <v>78</v>
      </c>
      <c r="F96" s="57" t="s">
        <v>536</v>
      </c>
      <c r="G96" s="56" t="s">
        <v>587</v>
      </c>
      <c r="H96" s="55" t="s">
        <v>256</v>
      </c>
      <c r="I96" s="55" t="s">
        <v>676</v>
      </c>
      <c r="J96" s="57" t="s">
        <v>81</v>
      </c>
      <c r="K96" s="55" t="s">
        <v>74</v>
      </c>
      <c r="L96" s="63">
        <v>4120000</v>
      </c>
      <c r="M96" s="63">
        <v>4120000</v>
      </c>
      <c r="N96" s="63">
        <v>5538639.6000000006</v>
      </c>
      <c r="O96" s="63">
        <v>4120000</v>
      </c>
      <c r="P96" s="63">
        <v>4120000</v>
      </c>
      <c r="Q96" s="63">
        <v>5538639.6000000006</v>
      </c>
      <c r="R96" s="63">
        <v>4120000</v>
      </c>
      <c r="S96" s="63">
        <v>4120000</v>
      </c>
      <c r="T96" s="63">
        <v>5538639.6000000006</v>
      </c>
      <c r="U96" s="55" t="s">
        <v>75</v>
      </c>
      <c r="V96" s="55" t="s">
        <v>989</v>
      </c>
      <c r="W96" s="55" t="s">
        <v>81</v>
      </c>
      <c r="X96" s="59" t="s">
        <v>78</v>
      </c>
      <c r="Y96" s="59" t="s">
        <v>75</v>
      </c>
      <c r="Z96" s="55">
        <v>999</v>
      </c>
      <c r="AA96" s="55" t="s">
        <v>990</v>
      </c>
      <c r="AB96" s="55">
        <v>999</v>
      </c>
      <c r="AC96" s="55" t="s">
        <v>991</v>
      </c>
      <c r="AD96" s="55">
        <v>0</v>
      </c>
      <c r="AE96" s="55" t="s">
        <v>78</v>
      </c>
      <c r="AF96" s="55">
        <v>2</v>
      </c>
      <c r="AG96" s="55" t="s">
        <v>75</v>
      </c>
      <c r="AH96" s="55" t="s">
        <v>992</v>
      </c>
      <c r="AI96" s="59" t="s">
        <v>75</v>
      </c>
      <c r="AJ96" s="55" t="s">
        <v>466</v>
      </c>
      <c r="AK96" s="55" t="s">
        <v>796</v>
      </c>
      <c r="AL96" s="55" t="s">
        <v>81</v>
      </c>
      <c r="AM96" s="55" t="s">
        <v>81</v>
      </c>
      <c r="AN96" s="55" t="s">
        <v>78</v>
      </c>
      <c r="AO96" s="60" t="s">
        <v>81</v>
      </c>
      <c r="AP96" s="58" t="s">
        <v>74</v>
      </c>
      <c r="AQ96" s="55" t="s">
        <v>256</v>
      </c>
    </row>
    <row r="97" spans="1:43" ht="16.2" hidden="1" x14ac:dyDescent="0.45">
      <c r="A97" s="55" t="s">
        <v>993</v>
      </c>
      <c r="B97" s="56" t="s">
        <v>994</v>
      </c>
      <c r="C97" s="55">
        <v>2017</v>
      </c>
      <c r="D97" s="55" t="s">
        <v>513</v>
      </c>
      <c r="E97" s="55" t="s">
        <v>78</v>
      </c>
      <c r="F97" s="57" t="s">
        <v>539</v>
      </c>
      <c r="G97" s="56" t="s">
        <v>599</v>
      </c>
      <c r="H97" s="55" t="s">
        <v>101</v>
      </c>
      <c r="I97" s="55" t="s">
        <v>676</v>
      </c>
      <c r="J97" s="57" t="s">
        <v>81</v>
      </c>
      <c r="K97" s="55" t="s">
        <v>74</v>
      </c>
      <c r="L97" s="63">
        <v>3665000</v>
      </c>
      <c r="M97" s="63">
        <v>3665000</v>
      </c>
      <c r="N97" s="63">
        <v>4926969.45</v>
      </c>
      <c r="O97" s="63">
        <v>3665000</v>
      </c>
      <c r="P97" s="63">
        <v>3665000</v>
      </c>
      <c r="Q97" s="63">
        <v>4926969.45</v>
      </c>
      <c r="R97" s="63">
        <v>3665000</v>
      </c>
      <c r="S97" s="63">
        <v>3665000</v>
      </c>
      <c r="T97" s="63">
        <v>4926969.45</v>
      </c>
      <c r="U97" s="55" t="s">
        <v>81</v>
      </c>
      <c r="V97" s="55" t="s">
        <v>78</v>
      </c>
      <c r="W97" s="55" t="s">
        <v>81</v>
      </c>
      <c r="X97" s="59" t="s">
        <v>78</v>
      </c>
      <c r="Y97" s="59" t="s">
        <v>81</v>
      </c>
      <c r="Z97" s="55">
        <v>0</v>
      </c>
      <c r="AA97" s="55" t="s">
        <v>78</v>
      </c>
      <c r="AB97" s="55">
        <v>0</v>
      </c>
      <c r="AC97" s="55" t="s">
        <v>78</v>
      </c>
      <c r="AD97" s="55">
        <v>0</v>
      </c>
      <c r="AE97" s="55" t="s">
        <v>78</v>
      </c>
      <c r="AF97" s="55">
        <v>0</v>
      </c>
      <c r="AG97" s="55" t="s">
        <v>81</v>
      </c>
      <c r="AH97" s="55" t="s">
        <v>78</v>
      </c>
      <c r="AI97" s="59" t="s">
        <v>81</v>
      </c>
      <c r="AJ97" s="55" t="s">
        <v>78</v>
      </c>
      <c r="AK97" s="55" t="s">
        <v>78</v>
      </c>
      <c r="AL97" s="55" t="s">
        <v>81</v>
      </c>
      <c r="AM97" s="55" t="s">
        <v>81</v>
      </c>
      <c r="AN97" s="55" t="s">
        <v>78</v>
      </c>
      <c r="AO97" s="60" t="s">
        <v>81</v>
      </c>
      <c r="AP97" s="58" t="s">
        <v>74</v>
      </c>
      <c r="AQ97" s="55" t="s">
        <v>101</v>
      </c>
    </row>
    <row r="98" spans="1:43" ht="16.2" hidden="1" x14ac:dyDescent="0.45">
      <c r="A98" s="55" t="s">
        <v>995</v>
      </c>
      <c r="B98" s="55" t="s">
        <v>996</v>
      </c>
      <c r="C98" s="55">
        <v>2017</v>
      </c>
      <c r="D98" s="55" t="s">
        <v>184</v>
      </c>
      <c r="E98" s="55" t="s">
        <v>78</v>
      </c>
      <c r="F98" s="57" t="s">
        <v>554</v>
      </c>
      <c r="G98" s="56" t="s">
        <v>228</v>
      </c>
      <c r="H98" s="55" t="s">
        <v>228</v>
      </c>
      <c r="I98" s="55" t="s">
        <v>676</v>
      </c>
      <c r="J98" s="57" t="s">
        <v>81</v>
      </c>
      <c r="K98" s="55" t="s">
        <v>74</v>
      </c>
      <c r="L98" s="63">
        <v>10000000</v>
      </c>
      <c r="M98" s="63">
        <v>10000000</v>
      </c>
      <c r="N98" s="63">
        <v>13443300</v>
      </c>
      <c r="O98" s="63">
        <v>8000000</v>
      </c>
      <c r="P98" s="63">
        <v>8000000</v>
      </c>
      <c r="Q98" s="63">
        <v>10754640</v>
      </c>
      <c r="R98" s="63">
        <v>8000000</v>
      </c>
      <c r="S98" s="63">
        <v>8000000</v>
      </c>
      <c r="T98" s="63">
        <v>10754640</v>
      </c>
      <c r="U98" s="55" t="s">
        <v>81</v>
      </c>
      <c r="V98" s="55" t="s">
        <v>78</v>
      </c>
      <c r="W98" s="55" t="s">
        <v>81</v>
      </c>
      <c r="X98" s="59" t="s">
        <v>78</v>
      </c>
      <c r="Y98" s="59" t="s">
        <v>81</v>
      </c>
      <c r="Z98" s="55">
        <v>0</v>
      </c>
      <c r="AA98" s="55" t="s">
        <v>78</v>
      </c>
      <c r="AB98" s="55">
        <v>0</v>
      </c>
      <c r="AC98" s="55" t="s">
        <v>78</v>
      </c>
      <c r="AD98" s="55">
        <v>0</v>
      </c>
      <c r="AE98" s="55" t="s">
        <v>78</v>
      </c>
      <c r="AF98" s="55">
        <v>0</v>
      </c>
      <c r="AG98" s="55" t="s">
        <v>81</v>
      </c>
      <c r="AH98" s="55" t="s">
        <v>78</v>
      </c>
      <c r="AI98" s="59" t="s">
        <v>81</v>
      </c>
      <c r="AJ98" s="55" t="s">
        <v>78</v>
      </c>
      <c r="AK98" s="55" t="s">
        <v>78</v>
      </c>
      <c r="AL98" s="55" t="s">
        <v>81</v>
      </c>
      <c r="AM98" s="55" t="s">
        <v>81</v>
      </c>
      <c r="AN98" s="55" t="s">
        <v>78</v>
      </c>
      <c r="AO98" s="60" t="s">
        <v>81</v>
      </c>
      <c r="AP98" s="58" t="s">
        <v>74</v>
      </c>
      <c r="AQ98" s="55" t="s">
        <v>228</v>
      </c>
    </row>
    <row r="99" spans="1:43" ht="16.2" hidden="1" x14ac:dyDescent="0.45">
      <c r="A99" s="55" t="s">
        <v>997</v>
      </c>
      <c r="B99" s="55" t="s">
        <v>998</v>
      </c>
      <c r="C99" s="55">
        <v>2017</v>
      </c>
      <c r="D99" s="55" t="s">
        <v>508</v>
      </c>
      <c r="E99" s="55" t="s">
        <v>78</v>
      </c>
      <c r="F99" s="57" t="s">
        <v>558</v>
      </c>
      <c r="G99" s="56" t="s">
        <v>587</v>
      </c>
      <c r="H99" s="55" t="s">
        <v>256</v>
      </c>
      <c r="I99" s="55" t="s">
        <v>676</v>
      </c>
      <c r="J99" s="57" t="s">
        <v>81</v>
      </c>
      <c r="K99" s="55" t="s">
        <v>74</v>
      </c>
      <c r="L99" s="63">
        <v>13890000</v>
      </c>
      <c r="M99" s="63">
        <v>13890000</v>
      </c>
      <c r="N99" s="63">
        <v>18672743.699999999</v>
      </c>
      <c r="O99" s="63">
        <v>10250447.029999999</v>
      </c>
      <c r="P99" s="63">
        <v>10250447.029999999</v>
      </c>
      <c r="Q99" s="63">
        <v>13779983.455839898</v>
      </c>
      <c r="R99" s="63">
        <v>740000</v>
      </c>
      <c r="S99" s="63">
        <v>740000</v>
      </c>
      <c r="T99" s="63">
        <v>994804.20000000007</v>
      </c>
      <c r="U99" s="55" t="s">
        <v>75</v>
      </c>
      <c r="V99" s="55" t="s">
        <v>999</v>
      </c>
      <c r="W99" s="55" t="s">
        <v>81</v>
      </c>
      <c r="X99" s="59" t="s">
        <v>78</v>
      </c>
      <c r="Y99" s="59" t="s">
        <v>81</v>
      </c>
      <c r="Z99" s="55">
        <v>0</v>
      </c>
      <c r="AA99" s="55" t="s">
        <v>78</v>
      </c>
      <c r="AB99" s="55">
        <v>0</v>
      </c>
      <c r="AC99" s="55" t="s">
        <v>78</v>
      </c>
      <c r="AD99" s="55">
        <v>0</v>
      </c>
      <c r="AE99" s="55" t="s">
        <v>78</v>
      </c>
      <c r="AF99" s="55">
        <v>0</v>
      </c>
      <c r="AG99" s="55" t="s">
        <v>81</v>
      </c>
      <c r="AH99" s="55" t="s">
        <v>78</v>
      </c>
      <c r="AI99" s="59" t="s">
        <v>75</v>
      </c>
      <c r="AJ99" s="55" t="s">
        <v>466</v>
      </c>
      <c r="AK99" s="55" t="s">
        <v>704</v>
      </c>
      <c r="AL99" s="55" t="s">
        <v>81</v>
      </c>
      <c r="AM99" s="55" t="s">
        <v>81</v>
      </c>
      <c r="AN99" s="55" t="s">
        <v>78</v>
      </c>
      <c r="AO99" s="60" t="s">
        <v>81</v>
      </c>
      <c r="AP99" s="58" t="s">
        <v>74</v>
      </c>
      <c r="AQ99" s="55" t="s">
        <v>256</v>
      </c>
    </row>
    <row r="100" spans="1:43" ht="16.2" hidden="1" x14ac:dyDescent="0.45">
      <c r="A100" s="55" t="s">
        <v>1000</v>
      </c>
      <c r="B100" s="55" t="s">
        <v>1001</v>
      </c>
      <c r="C100" s="55">
        <v>2017</v>
      </c>
      <c r="D100" s="55" t="s">
        <v>179</v>
      </c>
      <c r="E100" s="55" t="s">
        <v>78</v>
      </c>
      <c r="F100" s="57" t="s">
        <v>561</v>
      </c>
      <c r="G100" s="56" t="s">
        <v>228</v>
      </c>
      <c r="H100" s="55" t="s">
        <v>228</v>
      </c>
      <c r="I100" s="55" t="s">
        <v>689</v>
      </c>
      <c r="J100" s="57" t="s">
        <v>81</v>
      </c>
      <c r="K100" s="55" t="s">
        <v>126</v>
      </c>
      <c r="L100" s="63">
        <v>1000000</v>
      </c>
      <c r="M100" s="63">
        <v>743864.97362998663</v>
      </c>
      <c r="N100" s="63">
        <v>1000000</v>
      </c>
      <c r="O100" s="63">
        <v>723227.91</v>
      </c>
      <c r="P100" s="63">
        <v>723227.91</v>
      </c>
      <c r="Q100" s="63">
        <v>972256.97625030007</v>
      </c>
      <c r="R100" s="63">
        <v>723227.91</v>
      </c>
      <c r="S100" s="63">
        <v>723227.91</v>
      </c>
      <c r="T100" s="63">
        <v>972256.97625030007</v>
      </c>
      <c r="U100" s="55" t="s">
        <v>75</v>
      </c>
      <c r="V100" s="55" t="s">
        <v>1002</v>
      </c>
      <c r="W100" s="55" t="s">
        <v>75</v>
      </c>
      <c r="X100" s="59" t="s">
        <v>1003</v>
      </c>
      <c r="Y100" s="59" t="s">
        <v>75</v>
      </c>
      <c r="Z100" s="55">
        <v>999</v>
      </c>
      <c r="AA100" s="55" t="s">
        <v>1004</v>
      </c>
      <c r="AB100" s="55">
        <v>0</v>
      </c>
      <c r="AC100" s="55" t="s">
        <v>78</v>
      </c>
      <c r="AD100" s="55">
        <v>0</v>
      </c>
      <c r="AE100" s="55" t="s">
        <v>78</v>
      </c>
      <c r="AF100" s="55">
        <v>1</v>
      </c>
      <c r="AG100" s="55" t="s">
        <v>75</v>
      </c>
      <c r="AH100" s="55" t="s">
        <v>1005</v>
      </c>
      <c r="AI100" s="59" t="s">
        <v>75</v>
      </c>
      <c r="AJ100" s="55" t="s">
        <v>795</v>
      </c>
      <c r="AK100" s="55" t="s">
        <v>704</v>
      </c>
      <c r="AL100" s="55" t="s">
        <v>81</v>
      </c>
      <c r="AM100" s="55" t="s">
        <v>81</v>
      </c>
      <c r="AN100" s="55" t="s">
        <v>78</v>
      </c>
      <c r="AO100" s="60" t="s">
        <v>75</v>
      </c>
      <c r="AP100" s="58" t="s">
        <v>126</v>
      </c>
      <c r="AQ100" s="55" t="s">
        <v>228</v>
      </c>
    </row>
    <row r="101" spans="1:43" ht="16.2" hidden="1" x14ac:dyDescent="0.45">
      <c r="A101" s="55" t="s">
        <v>1006</v>
      </c>
      <c r="B101" s="55" t="s">
        <v>1007</v>
      </c>
      <c r="C101" s="55">
        <v>2017</v>
      </c>
      <c r="D101" s="55" t="s">
        <v>179</v>
      </c>
      <c r="E101" s="55" t="s">
        <v>78</v>
      </c>
      <c r="F101" s="57" t="s">
        <v>561</v>
      </c>
      <c r="G101" s="56" t="s">
        <v>599</v>
      </c>
      <c r="H101" s="55" t="s">
        <v>101</v>
      </c>
      <c r="I101" s="55" t="s">
        <v>676</v>
      </c>
      <c r="J101" s="57" t="s">
        <v>81</v>
      </c>
      <c r="K101" s="55" t="s">
        <v>74</v>
      </c>
      <c r="L101" s="63">
        <v>10650000</v>
      </c>
      <c r="M101" s="63">
        <v>10650000</v>
      </c>
      <c r="N101" s="63">
        <v>14317114.5</v>
      </c>
      <c r="O101" s="63">
        <v>10650000</v>
      </c>
      <c r="P101" s="63">
        <v>10650000</v>
      </c>
      <c r="Q101" s="63">
        <v>14317114.5</v>
      </c>
      <c r="R101" s="63">
        <v>10650000</v>
      </c>
      <c r="S101" s="63">
        <v>10650000</v>
      </c>
      <c r="T101" s="63">
        <v>14317114.5</v>
      </c>
      <c r="U101" s="55" t="s">
        <v>81</v>
      </c>
      <c r="V101" s="55" t="s">
        <v>78</v>
      </c>
      <c r="W101" s="55" t="s">
        <v>81</v>
      </c>
      <c r="X101" s="59" t="s">
        <v>78</v>
      </c>
      <c r="Y101" s="59" t="s">
        <v>81</v>
      </c>
      <c r="Z101" s="55">
        <v>0</v>
      </c>
      <c r="AA101" s="55" t="s">
        <v>78</v>
      </c>
      <c r="AB101" s="55">
        <v>0</v>
      </c>
      <c r="AC101" s="55" t="s">
        <v>78</v>
      </c>
      <c r="AD101" s="55">
        <v>0</v>
      </c>
      <c r="AE101" s="55" t="s">
        <v>78</v>
      </c>
      <c r="AF101" s="55">
        <v>0</v>
      </c>
      <c r="AG101" s="55" t="s">
        <v>81</v>
      </c>
      <c r="AH101" s="55" t="s">
        <v>78</v>
      </c>
      <c r="AI101" s="59" t="s">
        <v>81</v>
      </c>
      <c r="AJ101" s="55" t="s">
        <v>78</v>
      </c>
      <c r="AK101" s="55" t="s">
        <v>78</v>
      </c>
      <c r="AL101" s="55" t="s">
        <v>81</v>
      </c>
      <c r="AM101" s="55" t="s">
        <v>81</v>
      </c>
      <c r="AN101" s="55" t="s">
        <v>78</v>
      </c>
      <c r="AO101" s="60" t="s">
        <v>81</v>
      </c>
      <c r="AP101" s="58" t="s">
        <v>74</v>
      </c>
      <c r="AQ101" s="55" t="s">
        <v>101</v>
      </c>
    </row>
    <row r="102" spans="1:43" ht="16.2" hidden="1" x14ac:dyDescent="0.45">
      <c r="A102" s="55" t="s">
        <v>1008</v>
      </c>
      <c r="B102" s="56" t="s">
        <v>1009</v>
      </c>
      <c r="C102" s="55">
        <v>2017</v>
      </c>
      <c r="D102" s="55" t="s">
        <v>297</v>
      </c>
      <c r="E102" s="55" t="s">
        <v>78</v>
      </c>
      <c r="F102" s="57" t="s">
        <v>566</v>
      </c>
      <c r="G102" s="56" t="s">
        <v>599</v>
      </c>
      <c r="H102" s="55" t="s">
        <v>101</v>
      </c>
      <c r="I102" s="55" t="s">
        <v>676</v>
      </c>
      <c r="J102" s="57" t="s">
        <v>81</v>
      </c>
      <c r="K102" s="55" t="s">
        <v>74</v>
      </c>
      <c r="L102" s="63">
        <v>21750000</v>
      </c>
      <c r="M102" s="63">
        <v>21750000</v>
      </c>
      <c r="N102" s="63">
        <v>29239177.5</v>
      </c>
      <c r="O102" s="63">
        <v>19580000</v>
      </c>
      <c r="P102" s="63">
        <v>19580000</v>
      </c>
      <c r="Q102" s="63">
        <v>26321981.400000002</v>
      </c>
      <c r="R102" s="63">
        <v>19580000</v>
      </c>
      <c r="S102" s="63">
        <v>19580000</v>
      </c>
      <c r="T102" s="63">
        <v>26321981.400000002</v>
      </c>
      <c r="U102" s="55" t="s">
        <v>81</v>
      </c>
      <c r="V102" s="55" t="s">
        <v>78</v>
      </c>
      <c r="W102" s="55" t="s">
        <v>81</v>
      </c>
      <c r="X102" s="59" t="s">
        <v>78</v>
      </c>
      <c r="Y102" s="59" t="s">
        <v>81</v>
      </c>
      <c r="Z102" s="55">
        <v>0</v>
      </c>
      <c r="AA102" s="55" t="s">
        <v>78</v>
      </c>
      <c r="AB102" s="55">
        <v>0</v>
      </c>
      <c r="AC102" s="55" t="s">
        <v>78</v>
      </c>
      <c r="AD102" s="55">
        <v>0</v>
      </c>
      <c r="AE102" s="55" t="s">
        <v>78</v>
      </c>
      <c r="AF102" s="55">
        <v>0</v>
      </c>
      <c r="AG102" s="55" t="s">
        <v>81</v>
      </c>
      <c r="AH102" s="55" t="s">
        <v>78</v>
      </c>
      <c r="AI102" s="59" t="s">
        <v>81</v>
      </c>
      <c r="AJ102" s="55" t="s">
        <v>78</v>
      </c>
      <c r="AK102" s="55" t="s">
        <v>78</v>
      </c>
      <c r="AL102" s="55" t="s">
        <v>81</v>
      </c>
      <c r="AM102" s="55" t="s">
        <v>81</v>
      </c>
      <c r="AN102" s="55" t="s">
        <v>78</v>
      </c>
      <c r="AO102" s="60" t="s">
        <v>81</v>
      </c>
      <c r="AP102" s="58" t="s">
        <v>74</v>
      </c>
      <c r="AQ102" s="55" t="s">
        <v>101</v>
      </c>
    </row>
    <row r="103" spans="1:43" ht="16.2" hidden="1" x14ac:dyDescent="0.45">
      <c r="A103" s="55" t="s">
        <v>1010</v>
      </c>
      <c r="B103" s="55" t="s">
        <v>1011</v>
      </c>
      <c r="C103" s="55">
        <v>2017</v>
      </c>
      <c r="D103" s="55" t="s">
        <v>497</v>
      </c>
      <c r="E103" s="55" t="s">
        <v>78</v>
      </c>
      <c r="F103" s="57" t="s">
        <v>538</v>
      </c>
      <c r="G103" s="56" t="s">
        <v>588</v>
      </c>
      <c r="H103" s="55" t="s">
        <v>256</v>
      </c>
      <c r="I103" s="55" t="s">
        <v>676</v>
      </c>
      <c r="J103" s="57" t="s">
        <v>81</v>
      </c>
      <c r="K103" s="55" t="s">
        <v>74</v>
      </c>
      <c r="L103" s="63">
        <v>80000000</v>
      </c>
      <c r="M103" s="63">
        <v>80000000</v>
      </c>
      <c r="N103" s="63">
        <v>107546400</v>
      </c>
      <c r="O103" s="63">
        <v>35950000</v>
      </c>
      <c r="P103" s="63">
        <v>35950000</v>
      </c>
      <c r="Q103" s="63">
        <v>48328663.5</v>
      </c>
      <c r="R103" s="63">
        <v>35950000</v>
      </c>
      <c r="S103" s="63">
        <v>35950000</v>
      </c>
      <c r="T103" s="63">
        <v>48328663.5</v>
      </c>
      <c r="U103" s="55" t="s">
        <v>75</v>
      </c>
      <c r="V103" s="55" t="s">
        <v>1012</v>
      </c>
      <c r="W103" s="55" t="s">
        <v>81</v>
      </c>
      <c r="X103" s="59" t="s">
        <v>78</v>
      </c>
      <c r="Y103" s="59" t="s">
        <v>75</v>
      </c>
      <c r="Z103" s="55">
        <v>999</v>
      </c>
      <c r="AA103" s="55" t="s">
        <v>990</v>
      </c>
      <c r="AB103" s="55">
        <v>999</v>
      </c>
      <c r="AC103" s="55" t="s">
        <v>1013</v>
      </c>
      <c r="AD103" s="55">
        <v>0</v>
      </c>
      <c r="AE103" s="55" t="s">
        <v>78</v>
      </c>
      <c r="AF103" s="55">
        <v>2</v>
      </c>
      <c r="AG103" s="55" t="s">
        <v>75</v>
      </c>
      <c r="AH103" s="55" t="s">
        <v>1014</v>
      </c>
      <c r="AI103" s="59" t="s">
        <v>75</v>
      </c>
      <c r="AJ103" s="55" t="s">
        <v>256</v>
      </c>
      <c r="AK103" s="55" t="s">
        <v>704</v>
      </c>
      <c r="AL103" s="55" t="s">
        <v>81</v>
      </c>
      <c r="AM103" s="55" t="s">
        <v>81</v>
      </c>
      <c r="AN103" s="55" t="s">
        <v>78</v>
      </c>
      <c r="AO103" s="60" t="s">
        <v>81</v>
      </c>
      <c r="AP103" s="58" t="s">
        <v>74</v>
      </c>
      <c r="AQ103" s="55" t="s">
        <v>256</v>
      </c>
    </row>
    <row r="104" spans="1:43" ht="13.2" hidden="1" x14ac:dyDescent="0.25">
      <c r="A104" s="90" t="s">
        <v>1015</v>
      </c>
      <c r="B104" s="90" t="s">
        <v>1016</v>
      </c>
      <c r="C104" s="90">
        <v>2017</v>
      </c>
      <c r="D104" s="90" t="s">
        <v>513</v>
      </c>
      <c r="E104" s="90" t="s">
        <v>78</v>
      </c>
      <c r="F104" s="90" t="s">
        <v>539</v>
      </c>
      <c r="G104" s="91" t="s">
        <v>587</v>
      </c>
      <c r="H104" s="90" t="s">
        <v>256</v>
      </c>
      <c r="I104" s="90" t="s">
        <v>679</v>
      </c>
      <c r="J104" s="90" t="s">
        <v>75</v>
      </c>
      <c r="K104" s="90" t="s">
        <v>74</v>
      </c>
      <c r="L104" s="92">
        <v>398276.26</v>
      </c>
      <c r="M104" s="92">
        <v>398276.26</v>
      </c>
      <c r="N104" s="92">
        <v>535414.7246058</v>
      </c>
      <c r="O104" s="92">
        <v>410104.99</v>
      </c>
      <c r="P104" s="92">
        <v>410104.99</v>
      </c>
      <c r="Q104" s="92">
        <v>551316.44120670005</v>
      </c>
      <c r="R104" s="92">
        <v>0</v>
      </c>
      <c r="S104" s="92">
        <v>0</v>
      </c>
      <c r="T104" s="92">
        <v>0</v>
      </c>
      <c r="U104" s="90" t="s">
        <v>75</v>
      </c>
      <c r="V104" s="90" t="s">
        <v>1017</v>
      </c>
      <c r="W104" s="90" t="s">
        <v>81</v>
      </c>
      <c r="X104" s="93" t="s">
        <v>78</v>
      </c>
      <c r="Y104" s="93" t="s">
        <v>81</v>
      </c>
      <c r="Z104" s="90">
        <v>0</v>
      </c>
      <c r="AA104" s="90" t="s">
        <v>78</v>
      </c>
      <c r="AB104" s="90">
        <v>0</v>
      </c>
      <c r="AC104" s="90" t="s">
        <v>78</v>
      </c>
      <c r="AD104" s="90">
        <v>0</v>
      </c>
      <c r="AE104" s="90" t="s">
        <v>78</v>
      </c>
      <c r="AF104" s="90">
        <v>0</v>
      </c>
      <c r="AG104" s="90" t="s">
        <v>75</v>
      </c>
      <c r="AH104" s="90">
        <v>0</v>
      </c>
      <c r="AI104" s="93" t="s">
        <v>75</v>
      </c>
      <c r="AJ104" s="90" t="s">
        <v>466</v>
      </c>
      <c r="AK104" s="90" t="s">
        <v>78</v>
      </c>
      <c r="AL104" s="90" t="s">
        <v>81</v>
      </c>
      <c r="AM104" s="90" t="s">
        <v>81</v>
      </c>
      <c r="AN104" s="90" t="s">
        <v>78</v>
      </c>
      <c r="AO104" s="79" t="s">
        <v>81</v>
      </c>
      <c r="AP104" s="94" t="s">
        <v>74</v>
      </c>
      <c r="AQ104" s="90" t="s">
        <v>256</v>
      </c>
    </row>
    <row r="105" spans="1:43" ht="16.2" hidden="1" x14ac:dyDescent="0.45">
      <c r="A105" s="55" t="s">
        <v>1018</v>
      </c>
      <c r="B105" s="55" t="s">
        <v>1019</v>
      </c>
      <c r="C105" s="55">
        <v>2017</v>
      </c>
      <c r="D105" s="55" t="s">
        <v>377</v>
      </c>
      <c r="E105" s="55" t="s">
        <v>78</v>
      </c>
      <c r="F105" s="57" t="s">
        <v>544</v>
      </c>
      <c r="G105" s="55" t="s">
        <v>596</v>
      </c>
      <c r="H105" s="55" t="s">
        <v>101</v>
      </c>
      <c r="I105" s="55" t="s">
        <v>676</v>
      </c>
      <c r="J105" s="57" t="s">
        <v>81</v>
      </c>
      <c r="K105" s="55" t="s">
        <v>74</v>
      </c>
      <c r="L105" s="63">
        <v>6263000</v>
      </c>
      <c r="M105" s="63">
        <v>6263000</v>
      </c>
      <c r="N105" s="63">
        <v>8419538.790000001</v>
      </c>
      <c r="O105" s="63">
        <v>6263000</v>
      </c>
      <c r="P105" s="63">
        <v>6263000</v>
      </c>
      <c r="Q105" s="63">
        <v>8419538.790000001</v>
      </c>
      <c r="R105" s="63">
        <v>6263000</v>
      </c>
      <c r="S105" s="63">
        <v>6263000</v>
      </c>
      <c r="T105" s="63">
        <v>8419538.790000001</v>
      </c>
      <c r="U105" s="55" t="s">
        <v>81</v>
      </c>
      <c r="V105" s="55" t="s">
        <v>78</v>
      </c>
      <c r="W105" s="55" t="s">
        <v>81</v>
      </c>
      <c r="X105" s="59" t="s">
        <v>78</v>
      </c>
      <c r="Y105" s="59" t="s">
        <v>81</v>
      </c>
      <c r="Z105" s="55">
        <v>0</v>
      </c>
      <c r="AA105" s="55" t="s">
        <v>78</v>
      </c>
      <c r="AB105" s="55">
        <v>0</v>
      </c>
      <c r="AC105" s="55" t="s">
        <v>78</v>
      </c>
      <c r="AD105" s="55">
        <v>0</v>
      </c>
      <c r="AE105" s="55" t="s">
        <v>78</v>
      </c>
      <c r="AF105" s="55">
        <v>0</v>
      </c>
      <c r="AG105" s="55" t="s">
        <v>81</v>
      </c>
      <c r="AH105" s="55" t="s">
        <v>78</v>
      </c>
      <c r="AI105" s="59" t="s">
        <v>81</v>
      </c>
      <c r="AJ105" s="55" t="s">
        <v>78</v>
      </c>
      <c r="AK105" s="55" t="s">
        <v>78</v>
      </c>
      <c r="AL105" s="55" t="s">
        <v>81</v>
      </c>
      <c r="AM105" s="55" t="s">
        <v>81</v>
      </c>
      <c r="AN105" s="55" t="s">
        <v>78</v>
      </c>
      <c r="AO105" s="60" t="s">
        <v>81</v>
      </c>
      <c r="AP105" s="58" t="s">
        <v>74</v>
      </c>
      <c r="AQ105" s="55" t="s">
        <v>101</v>
      </c>
    </row>
    <row r="106" spans="1:43" ht="16.2" hidden="1" x14ac:dyDescent="0.45">
      <c r="A106" s="55" t="s">
        <v>1020</v>
      </c>
      <c r="B106" s="56" t="s">
        <v>1021</v>
      </c>
      <c r="C106" s="55">
        <v>2017</v>
      </c>
      <c r="D106" s="55" t="s">
        <v>496</v>
      </c>
      <c r="E106" s="55" t="s">
        <v>78</v>
      </c>
      <c r="F106" s="57" t="s">
        <v>535</v>
      </c>
      <c r="G106" s="56" t="s">
        <v>585</v>
      </c>
      <c r="H106" s="56" t="s">
        <v>228</v>
      </c>
      <c r="I106" s="56" t="s">
        <v>676</v>
      </c>
      <c r="J106" s="61" t="s">
        <v>81</v>
      </c>
      <c r="K106" s="55" t="s">
        <v>74</v>
      </c>
      <c r="L106" s="63">
        <v>5310000</v>
      </c>
      <c r="M106" s="63">
        <v>5310000</v>
      </c>
      <c r="N106" s="63">
        <v>7138392.2999999998</v>
      </c>
      <c r="O106" s="63">
        <v>5310000</v>
      </c>
      <c r="P106" s="63">
        <v>5310000</v>
      </c>
      <c r="Q106" s="63">
        <v>7138392.2999999998</v>
      </c>
      <c r="R106" s="63">
        <v>5310000</v>
      </c>
      <c r="S106" s="63">
        <v>5310000</v>
      </c>
      <c r="T106" s="63">
        <v>7138392.2999999998</v>
      </c>
      <c r="U106" s="55" t="s">
        <v>75</v>
      </c>
      <c r="V106" s="55" t="s">
        <v>1022</v>
      </c>
      <c r="W106" s="55" t="s">
        <v>75</v>
      </c>
      <c r="X106" s="59" t="s">
        <v>1023</v>
      </c>
      <c r="Y106" s="59" t="s">
        <v>75</v>
      </c>
      <c r="Z106" s="55">
        <v>0</v>
      </c>
      <c r="AA106" s="55" t="s">
        <v>78</v>
      </c>
      <c r="AB106" s="55">
        <v>999</v>
      </c>
      <c r="AC106" s="55" t="s">
        <v>1024</v>
      </c>
      <c r="AD106" s="55">
        <v>0</v>
      </c>
      <c r="AE106" s="55" t="s">
        <v>78</v>
      </c>
      <c r="AF106" s="55">
        <v>1</v>
      </c>
      <c r="AG106" s="55" t="s">
        <v>75</v>
      </c>
      <c r="AH106" s="55" t="s">
        <v>1025</v>
      </c>
      <c r="AI106" s="59" t="s">
        <v>75</v>
      </c>
      <c r="AJ106" s="55" t="s">
        <v>228</v>
      </c>
      <c r="AK106" s="55" t="s">
        <v>704</v>
      </c>
      <c r="AL106" s="55" t="s">
        <v>81</v>
      </c>
      <c r="AM106" s="55" t="s">
        <v>81</v>
      </c>
      <c r="AN106" s="55" t="s">
        <v>78</v>
      </c>
      <c r="AO106" s="60" t="s">
        <v>75</v>
      </c>
      <c r="AP106" s="58" t="s">
        <v>74</v>
      </c>
      <c r="AQ106" s="56" t="s">
        <v>228</v>
      </c>
    </row>
    <row r="107" spans="1:43" ht="16.2" hidden="1" x14ac:dyDescent="0.45">
      <c r="A107" s="55" t="s">
        <v>1026</v>
      </c>
      <c r="B107" s="56" t="s">
        <v>1027</v>
      </c>
      <c r="C107" s="55">
        <v>2017</v>
      </c>
      <c r="D107" s="55" t="s">
        <v>184</v>
      </c>
      <c r="E107" s="55" t="s">
        <v>78</v>
      </c>
      <c r="F107" s="57" t="s">
        <v>554</v>
      </c>
      <c r="G107" s="56" t="s">
        <v>599</v>
      </c>
      <c r="H107" s="56" t="s">
        <v>101</v>
      </c>
      <c r="I107" s="56" t="s">
        <v>689</v>
      </c>
      <c r="J107" s="61" t="s">
        <v>81</v>
      </c>
      <c r="K107" s="55" t="s">
        <v>74</v>
      </c>
      <c r="L107" s="63">
        <v>795789.48</v>
      </c>
      <c r="M107" s="63">
        <v>795789.48</v>
      </c>
      <c r="N107" s="63">
        <v>1069803.6716483999</v>
      </c>
      <c r="O107" s="63">
        <v>795789</v>
      </c>
      <c r="P107" s="63">
        <v>795789</v>
      </c>
      <c r="Q107" s="63">
        <v>1069803.0263700001</v>
      </c>
      <c r="R107" s="63">
        <v>795789</v>
      </c>
      <c r="S107" s="63">
        <v>795789</v>
      </c>
      <c r="T107" s="63">
        <v>1069803.0263700001</v>
      </c>
      <c r="U107" s="55" t="s">
        <v>81</v>
      </c>
      <c r="V107" s="55" t="s">
        <v>78</v>
      </c>
      <c r="W107" s="55" t="s">
        <v>81</v>
      </c>
      <c r="X107" s="59" t="s">
        <v>78</v>
      </c>
      <c r="Y107" s="59" t="s">
        <v>81</v>
      </c>
      <c r="Z107" s="55">
        <v>0</v>
      </c>
      <c r="AA107" s="55" t="s">
        <v>78</v>
      </c>
      <c r="AB107" s="55">
        <v>0</v>
      </c>
      <c r="AC107" s="55" t="s">
        <v>78</v>
      </c>
      <c r="AD107" s="55">
        <v>0</v>
      </c>
      <c r="AE107" s="55" t="s">
        <v>78</v>
      </c>
      <c r="AF107" s="55">
        <v>0</v>
      </c>
      <c r="AG107" s="55" t="s">
        <v>81</v>
      </c>
      <c r="AH107" s="55" t="s">
        <v>78</v>
      </c>
      <c r="AI107" s="59" t="s">
        <v>81</v>
      </c>
      <c r="AJ107" s="55" t="s">
        <v>78</v>
      </c>
      <c r="AK107" s="55" t="s">
        <v>78</v>
      </c>
      <c r="AL107" s="55" t="s">
        <v>81</v>
      </c>
      <c r="AM107" s="55" t="s">
        <v>81</v>
      </c>
      <c r="AN107" s="55" t="s">
        <v>78</v>
      </c>
      <c r="AO107" s="60" t="s">
        <v>81</v>
      </c>
      <c r="AP107" s="58" t="s">
        <v>74</v>
      </c>
      <c r="AQ107" s="56" t="s">
        <v>101</v>
      </c>
    </row>
    <row r="108" spans="1:43" ht="16.2" hidden="1" x14ac:dyDescent="0.45">
      <c r="A108" s="55" t="s">
        <v>1028</v>
      </c>
      <c r="B108" s="56" t="s">
        <v>1029</v>
      </c>
      <c r="C108" s="55">
        <v>2017</v>
      </c>
      <c r="D108" s="55" t="s">
        <v>70</v>
      </c>
      <c r="E108" s="55" t="s">
        <v>78</v>
      </c>
      <c r="F108" s="57" t="s">
        <v>570</v>
      </c>
      <c r="G108" s="56" t="s">
        <v>599</v>
      </c>
      <c r="H108" s="56" t="s">
        <v>101</v>
      </c>
      <c r="I108" s="56" t="s">
        <v>676</v>
      </c>
      <c r="J108" s="61" t="s">
        <v>81</v>
      </c>
      <c r="K108" s="55" t="s">
        <v>74</v>
      </c>
      <c r="L108" s="63">
        <v>3000000</v>
      </c>
      <c r="M108" s="63">
        <v>3000000</v>
      </c>
      <c r="N108" s="63">
        <v>4032990</v>
      </c>
      <c r="O108" s="63">
        <v>3000000</v>
      </c>
      <c r="P108" s="63">
        <v>3000000</v>
      </c>
      <c r="Q108" s="63">
        <v>4032990</v>
      </c>
      <c r="R108" s="63">
        <v>3000000</v>
      </c>
      <c r="S108" s="63">
        <v>3000000</v>
      </c>
      <c r="T108" s="63">
        <v>4032990</v>
      </c>
      <c r="U108" s="55" t="s">
        <v>81</v>
      </c>
      <c r="V108" s="55" t="s">
        <v>78</v>
      </c>
      <c r="W108" s="55" t="s">
        <v>81</v>
      </c>
      <c r="X108" s="59" t="s">
        <v>78</v>
      </c>
      <c r="Y108" s="59" t="s">
        <v>81</v>
      </c>
      <c r="Z108" s="55">
        <v>0</v>
      </c>
      <c r="AA108" s="55" t="s">
        <v>78</v>
      </c>
      <c r="AB108" s="55">
        <v>0</v>
      </c>
      <c r="AC108" s="55" t="s">
        <v>78</v>
      </c>
      <c r="AD108" s="55">
        <v>0</v>
      </c>
      <c r="AE108" s="55" t="s">
        <v>78</v>
      </c>
      <c r="AF108" s="55">
        <v>0</v>
      </c>
      <c r="AG108" s="55" t="s">
        <v>81</v>
      </c>
      <c r="AH108" s="55" t="s">
        <v>78</v>
      </c>
      <c r="AI108" s="59" t="s">
        <v>81</v>
      </c>
      <c r="AJ108" s="55" t="s">
        <v>78</v>
      </c>
      <c r="AK108" s="55" t="s">
        <v>78</v>
      </c>
      <c r="AL108" s="55" t="s">
        <v>81</v>
      </c>
      <c r="AM108" s="55" t="s">
        <v>81</v>
      </c>
      <c r="AN108" s="55" t="s">
        <v>78</v>
      </c>
      <c r="AO108" s="60" t="s">
        <v>81</v>
      </c>
      <c r="AP108" s="58" t="s">
        <v>74</v>
      </c>
      <c r="AQ108" s="56" t="s">
        <v>101</v>
      </c>
    </row>
    <row r="109" spans="1:43" ht="16.2" hidden="1" x14ac:dyDescent="0.45">
      <c r="A109" s="55" t="s">
        <v>1030</v>
      </c>
      <c r="B109" s="56" t="s">
        <v>1031</v>
      </c>
      <c r="C109" s="55">
        <v>2017</v>
      </c>
      <c r="D109" s="55" t="s">
        <v>87</v>
      </c>
      <c r="E109" s="55" t="s">
        <v>1032</v>
      </c>
      <c r="F109" s="57" t="s">
        <v>1848</v>
      </c>
      <c r="G109" s="56" t="s">
        <v>585</v>
      </c>
      <c r="H109" s="55" t="s">
        <v>228</v>
      </c>
      <c r="I109" s="55" t="s">
        <v>689</v>
      </c>
      <c r="J109" s="57" t="s">
        <v>81</v>
      </c>
      <c r="K109" s="55" t="s">
        <v>126</v>
      </c>
      <c r="L109" s="63">
        <v>20000000</v>
      </c>
      <c r="M109" s="63">
        <v>14877299.472599734</v>
      </c>
      <c r="N109" s="63">
        <v>20000000</v>
      </c>
      <c r="O109" s="63">
        <v>14464558.220000001</v>
      </c>
      <c r="P109" s="63">
        <v>14464558.220000001</v>
      </c>
      <c r="Q109" s="63">
        <v>19445139.551892601</v>
      </c>
      <c r="R109" s="63">
        <v>14464558.220000001</v>
      </c>
      <c r="S109" s="63">
        <v>14464558.220000001</v>
      </c>
      <c r="T109" s="63">
        <v>19445139.551892601</v>
      </c>
      <c r="U109" s="55" t="s">
        <v>81</v>
      </c>
      <c r="V109" s="55" t="s">
        <v>78</v>
      </c>
      <c r="W109" s="55" t="s">
        <v>81</v>
      </c>
      <c r="X109" s="59" t="s">
        <v>78</v>
      </c>
      <c r="Y109" s="59" t="s">
        <v>81</v>
      </c>
      <c r="Z109" s="55">
        <v>0</v>
      </c>
      <c r="AA109" s="55" t="s">
        <v>78</v>
      </c>
      <c r="AB109" s="55">
        <v>0</v>
      </c>
      <c r="AC109" s="55" t="s">
        <v>78</v>
      </c>
      <c r="AD109" s="55">
        <v>0</v>
      </c>
      <c r="AE109" s="55" t="s">
        <v>78</v>
      </c>
      <c r="AF109" s="55">
        <v>0</v>
      </c>
      <c r="AG109" s="55" t="s">
        <v>81</v>
      </c>
      <c r="AH109" s="55" t="s">
        <v>78</v>
      </c>
      <c r="AI109" s="59" t="s">
        <v>81</v>
      </c>
      <c r="AJ109" s="55" t="s">
        <v>78</v>
      </c>
      <c r="AK109" s="55" t="s">
        <v>78</v>
      </c>
      <c r="AL109" s="55" t="s">
        <v>81</v>
      </c>
      <c r="AM109" s="55" t="s">
        <v>81</v>
      </c>
      <c r="AN109" s="55" t="s">
        <v>78</v>
      </c>
      <c r="AO109" s="60" t="s">
        <v>81</v>
      </c>
      <c r="AP109" s="58" t="s">
        <v>126</v>
      </c>
      <c r="AQ109" s="55" t="s">
        <v>228</v>
      </c>
    </row>
    <row r="110" spans="1:43" ht="16.2" hidden="1" x14ac:dyDescent="0.45">
      <c r="A110" s="55" t="s">
        <v>1033</v>
      </c>
      <c r="B110" s="56" t="s">
        <v>1034</v>
      </c>
      <c r="C110" s="55">
        <v>2017</v>
      </c>
      <c r="D110" s="55" t="s">
        <v>297</v>
      </c>
      <c r="E110" s="55" t="s">
        <v>78</v>
      </c>
      <c r="F110" s="57" t="s">
        <v>566</v>
      </c>
      <c r="G110" s="55" t="s">
        <v>596</v>
      </c>
      <c r="H110" s="55" t="s">
        <v>101</v>
      </c>
      <c r="I110" s="55" t="s">
        <v>689</v>
      </c>
      <c r="J110" s="57" t="s">
        <v>81</v>
      </c>
      <c r="K110" s="55" t="s">
        <v>74</v>
      </c>
      <c r="L110" s="63">
        <v>740000</v>
      </c>
      <c r="M110" s="63">
        <v>740000</v>
      </c>
      <c r="N110" s="63">
        <v>994804.20000000007</v>
      </c>
      <c r="O110" s="63">
        <v>723227.91</v>
      </c>
      <c r="P110" s="63">
        <v>723227.91</v>
      </c>
      <c r="Q110" s="63">
        <v>972256.97625030007</v>
      </c>
      <c r="R110" s="63">
        <v>723227.91</v>
      </c>
      <c r="S110" s="63">
        <v>723227.91</v>
      </c>
      <c r="T110" s="63">
        <v>972256.97625030007</v>
      </c>
      <c r="U110" s="55" t="s">
        <v>81</v>
      </c>
      <c r="V110" s="55" t="s">
        <v>78</v>
      </c>
      <c r="W110" s="55" t="s">
        <v>81</v>
      </c>
      <c r="X110" s="59" t="s">
        <v>78</v>
      </c>
      <c r="Y110" s="59" t="s">
        <v>81</v>
      </c>
      <c r="Z110" s="55">
        <v>0</v>
      </c>
      <c r="AA110" s="55" t="s">
        <v>78</v>
      </c>
      <c r="AB110" s="55">
        <v>0</v>
      </c>
      <c r="AC110" s="55" t="s">
        <v>78</v>
      </c>
      <c r="AD110" s="55">
        <v>0</v>
      </c>
      <c r="AE110" s="55" t="s">
        <v>78</v>
      </c>
      <c r="AF110" s="55">
        <v>0</v>
      </c>
      <c r="AG110" s="55" t="s">
        <v>81</v>
      </c>
      <c r="AH110" s="55" t="s">
        <v>78</v>
      </c>
      <c r="AI110" s="59" t="s">
        <v>81</v>
      </c>
      <c r="AJ110" s="55" t="s">
        <v>78</v>
      </c>
      <c r="AK110" s="55" t="s">
        <v>78</v>
      </c>
      <c r="AL110" s="55" t="s">
        <v>81</v>
      </c>
      <c r="AM110" s="55" t="s">
        <v>81</v>
      </c>
      <c r="AN110" s="55" t="s">
        <v>78</v>
      </c>
      <c r="AO110" s="60" t="s">
        <v>81</v>
      </c>
      <c r="AP110" s="58" t="s">
        <v>74</v>
      </c>
      <c r="AQ110" s="55" t="s">
        <v>101</v>
      </c>
    </row>
    <row r="111" spans="1:43" ht="16.2" hidden="1" x14ac:dyDescent="0.45">
      <c r="A111" s="55" t="s">
        <v>1035</v>
      </c>
      <c r="B111" s="56" t="s">
        <v>1036</v>
      </c>
      <c r="C111" s="55">
        <v>2017</v>
      </c>
      <c r="D111" s="55" t="s">
        <v>87</v>
      </c>
      <c r="E111" s="56" t="s">
        <v>1037</v>
      </c>
      <c r="F111" s="57" t="s">
        <v>1848</v>
      </c>
      <c r="G111" s="56" t="s">
        <v>584</v>
      </c>
      <c r="H111" s="56" t="s">
        <v>228</v>
      </c>
      <c r="I111" s="56" t="s">
        <v>689</v>
      </c>
      <c r="J111" s="61" t="s">
        <v>81</v>
      </c>
      <c r="K111" s="55" t="s">
        <v>126</v>
      </c>
      <c r="L111" s="63">
        <v>250000000</v>
      </c>
      <c r="M111" s="63">
        <v>185966243.40749666</v>
      </c>
      <c r="N111" s="63">
        <v>250000000</v>
      </c>
      <c r="O111" s="63">
        <v>77385386.459999993</v>
      </c>
      <c r="P111" s="63">
        <v>77385386.459999993</v>
      </c>
      <c r="Q111" s="63">
        <v>104031496.57977179</v>
      </c>
      <c r="R111" s="63">
        <v>77385386.459999993</v>
      </c>
      <c r="S111" s="63">
        <v>77385386.459999993</v>
      </c>
      <c r="T111" s="63">
        <v>104031496.57977179</v>
      </c>
      <c r="U111" s="55" t="s">
        <v>81</v>
      </c>
      <c r="V111" s="55" t="s">
        <v>78</v>
      </c>
      <c r="W111" s="55" t="s">
        <v>81</v>
      </c>
      <c r="X111" s="59" t="s">
        <v>78</v>
      </c>
      <c r="Y111" s="59" t="s">
        <v>81</v>
      </c>
      <c r="Z111" s="55">
        <v>0</v>
      </c>
      <c r="AA111" s="55" t="s">
        <v>78</v>
      </c>
      <c r="AB111" s="55">
        <v>0</v>
      </c>
      <c r="AC111" s="55" t="s">
        <v>78</v>
      </c>
      <c r="AD111" s="55">
        <v>0</v>
      </c>
      <c r="AE111" s="55" t="s">
        <v>78</v>
      </c>
      <c r="AF111" s="55">
        <v>0</v>
      </c>
      <c r="AG111" s="55" t="s">
        <v>81</v>
      </c>
      <c r="AH111" s="55" t="s">
        <v>78</v>
      </c>
      <c r="AI111" s="59" t="s">
        <v>81</v>
      </c>
      <c r="AJ111" s="55" t="s">
        <v>78</v>
      </c>
      <c r="AK111" s="55" t="s">
        <v>78</v>
      </c>
      <c r="AL111" s="55" t="s">
        <v>81</v>
      </c>
      <c r="AM111" s="55" t="s">
        <v>81</v>
      </c>
      <c r="AN111" s="55" t="s">
        <v>78</v>
      </c>
      <c r="AO111" s="60" t="s">
        <v>81</v>
      </c>
      <c r="AP111" s="58" t="s">
        <v>126</v>
      </c>
      <c r="AQ111" s="56" t="s">
        <v>228</v>
      </c>
    </row>
    <row r="112" spans="1:43" ht="16.2" hidden="1" x14ac:dyDescent="0.45">
      <c r="A112" s="55" t="s">
        <v>1038</v>
      </c>
      <c r="B112" s="55" t="s">
        <v>1039</v>
      </c>
      <c r="C112" s="55">
        <v>2017</v>
      </c>
      <c r="D112" s="55" t="s">
        <v>151</v>
      </c>
      <c r="E112" s="55" t="s">
        <v>78</v>
      </c>
      <c r="F112" s="57" t="s">
        <v>546</v>
      </c>
      <c r="G112" s="55" t="s">
        <v>596</v>
      </c>
      <c r="H112" s="55" t="s">
        <v>101</v>
      </c>
      <c r="I112" s="55" t="s">
        <v>676</v>
      </c>
      <c r="J112" s="57" t="s">
        <v>81</v>
      </c>
      <c r="K112" s="55" t="s">
        <v>126</v>
      </c>
      <c r="L112" s="63">
        <v>200000000</v>
      </c>
      <c r="M112" s="63">
        <v>148772994.72599733</v>
      </c>
      <c r="N112" s="63">
        <v>200000000</v>
      </c>
      <c r="O112" s="63">
        <v>144645582.19999999</v>
      </c>
      <c r="P112" s="63">
        <v>144645582.19999999</v>
      </c>
      <c r="Q112" s="63">
        <v>194451395.51892599</v>
      </c>
      <c r="R112" s="63">
        <v>144645582.19999999</v>
      </c>
      <c r="S112" s="63">
        <v>144645582.19999999</v>
      </c>
      <c r="T112" s="63">
        <v>194451395.51892599</v>
      </c>
      <c r="U112" s="55" t="s">
        <v>81</v>
      </c>
      <c r="V112" s="55" t="s">
        <v>78</v>
      </c>
      <c r="W112" s="55" t="s">
        <v>81</v>
      </c>
      <c r="X112" s="59" t="s">
        <v>78</v>
      </c>
      <c r="Y112" s="59" t="s">
        <v>81</v>
      </c>
      <c r="Z112" s="55">
        <v>0</v>
      </c>
      <c r="AA112" s="55" t="s">
        <v>78</v>
      </c>
      <c r="AB112" s="55">
        <v>0</v>
      </c>
      <c r="AC112" s="55" t="s">
        <v>78</v>
      </c>
      <c r="AD112" s="55">
        <v>0</v>
      </c>
      <c r="AE112" s="55" t="s">
        <v>78</v>
      </c>
      <c r="AF112" s="55">
        <v>0</v>
      </c>
      <c r="AG112" s="55" t="s">
        <v>81</v>
      </c>
      <c r="AH112" s="55" t="s">
        <v>78</v>
      </c>
      <c r="AI112" s="59" t="s">
        <v>81</v>
      </c>
      <c r="AJ112" s="55" t="s">
        <v>78</v>
      </c>
      <c r="AK112" s="55" t="s">
        <v>78</v>
      </c>
      <c r="AL112" s="55" t="s">
        <v>81</v>
      </c>
      <c r="AM112" s="55" t="s">
        <v>81</v>
      </c>
      <c r="AN112" s="55" t="s">
        <v>78</v>
      </c>
      <c r="AO112" s="60" t="s">
        <v>81</v>
      </c>
      <c r="AP112" s="58" t="s">
        <v>126</v>
      </c>
      <c r="AQ112" s="55" t="s">
        <v>101</v>
      </c>
    </row>
    <row r="113" spans="1:43" ht="16.2" hidden="1" x14ac:dyDescent="0.45">
      <c r="A113" s="55" t="s">
        <v>1040</v>
      </c>
      <c r="B113" s="56" t="s">
        <v>1041</v>
      </c>
      <c r="C113" s="55">
        <v>2017</v>
      </c>
      <c r="D113" s="55" t="s">
        <v>151</v>
      </c>
      <c r="E113" s="55" t="s">
        <v>78</v>
      </c>
      <c r="F113" s="57" t="s">
        <v>546</v>
      </c>
      <c r="G113" s="56" t="s">
        <v>575</v>
      </c>
      <c r="H113" s="55" t="s">
        <v>72</v>
      </c>
      <c r="I113" s="55" t="s">
        <v>689</v>
      </c>
      <c r="J113" s="57" t="s">
        <v>81</v>
      </c>
      <c r="K113" s="55" t="s">
        <v>74</v>
      </c>
      <c r="L113" s="63">
        <v>95000000</v>
      </c>
      <c r="M113" s="63">
        <v>95000000</v>
      </c>
      <c r="N113" s="63">
        <v>127711350</v>
      </c>
      <c r="O113" s="63">
        <v>97382638.189999998</v>
      </c>
      <c r="P113" s="63">
        <v>97382638.189999998</v>
      </c>
      <c r="Q113" s="63">
        <v>130914401.9979627</v>
      </c>
      <c r="R113" s="63">
        <v>97382638.189999998</v>
      </c>
      <c r="S113" s="63">
        <v>97382638.189999998</v>
      </c>
      <c r="T113" s="63">
        <v>130914401.9979627</v>
      </c>
      <c r="U113" s="55" t="s">
        <v>81</v>
      </c>
      <c r="V113" s="55" t="s">
        <v>1042</v>
      </c>
      <c r="W113" s="55" t="s">
        <v>81</v>
      </c>
      <c r="X113" s="59" t="s">
        <v>78</v>
      </c>
      <c r="Y113" s="59" t="s">
        <v>81</v>
      </c>
      <c r="Z113" s="55">
        <v>0</v>
      </c>
      <c r="AA113" s="55" t="s">
        <v>78</v>
      </c>
      <c r="AB113" s="55">
        <v>0</v>
      </c>
      <c r="AC113" s="55" t="s">
        <v>78</v>
      </c>
      <c r="AD113" s="55">
        <v>0</v>
      </c>
      <c r="AE113" s="55" t="s">
        <v>78</v>
      </c>
      <c r="AF113" s="55">
        <v>0</v>
      </c>
      <c r="AG113" s="55" t="s">
        <v>81</v>
      </c>
      <c r="AH113" s="55" t="s">
        <v>78</v>
      </c>
      <c r="AI113" s="59" t="s">
        <v>81</v>
      </c>
      <c r="AJ113" s="55" t="s">
        <v>78</v>
      </c>
      <c r="AK113" s="55" t="s">
        <v>78</v>
      </c>
      <c r="AL113" s="55" t="s">
        <v>81</v>
      </c>
      <c r="AM113" s="55" t="s">
        <v>81</v>
      </c>
      <c r="AN113" s="55" t="s">
        <v>78</v>
      </c>
      <c r="AO113" s="60" t="s">
        <v>81</v>
      </c>
      <c r="AP113" s="58" t="s">
        <v>74</v>
      </c>
      <c r="AQ113" s="55" t="s">
        <v>72</v>
      </c>
    </row>
    <row r="114" spans="1:43" ht="16.2" hidden="1" x14ac:dyDescent="0.45">
      <c r="A114" s="55" t="s">
        <v>1043</v>
      </c>
      <c r="B114" s="55" t="s">
        <v>1044</v>
      </c>
      <c r="C114" s="55">
        <v>2017</v>
      </c>
      <c r="D114" s="55" t="s">
        <v>151</v>
      </c>
      <c r="E114" s="55" t="s">
        <v>78</v>
      </c>
      <c r="F114" s="57" t="s">
        <v>546</v>
      </c>
      <c r="G114" s="56" t="s">
        <v>581</v>
      </c>
      <c r="H114" s="55" t="s">
        <v>228</v>
      </c>
      <c r="I114" s="55" t="s">
        <v>689</v>
      </c>
      <c r="J114" s="57" t="s">
        <v>81</v>
      </c>
      <c r="K114" s="55" t="s">
        <v>126</v>
      </c>
      <c r="L114" s="63">
        <v>96934000</v>
      </c>
      <c r="M114" s="63">
        <v>72105807.353849128</v>
      </c>
      <c r="N114" s="63">
        <v>96934000</v>
      </c>
      <c r="O114" s="63">
        <v>63685280.140000001</v>
      </c>
      <c r="P114" s="63">
        <v>63685280.140000001</v>
      </c>
      <c r="Q114" s="63">
        <v>85614032.6506062</v>
      </c>
      <c r="R114" s="63">
        <v>63685280.140000001</v>
      </c>
      <c r="S114" s="63">
        <v>63685280.140000001</v>
      </c>
      <c r="T114" s="63">
        <v>85614032.6506062</v>
      </c>
      <c r="U114" s="55" t="s">
        <v>81</v>
      </c>
      <c r="V114" s="55" t="s">
        <v>78</v>
      </c>
      <c r="W114" s="55" t="s">
        <v>81</v>
      </c>
      <c r="X114" s="59" t="s">
        <v>78</v>
      </c>
      <c r="Y114" s="59" t="s">
        <v>81</v>
      </c>
      <c r="Z114" s="55">
        <v>0</v>
      </c>
      <c r="AA114" s="55" t="s">
        <v>78</v>
      </c>
      <c r="AB114" s="55">
        <v>0</v>
      </c>
      <c r="AC114" s="55" t="s">
        <v>78</v>
      </c>
      <c r="AD114" s="55">
        <v>0</v>
      </c>
      <c r="AE114" s="55" t="s">
        <v>78</v>
      </c>
      <c r="AF114" s="55">
        <v>0</v>
      </c>
      <c r="AG114" s="55" t="s">
        <v>81</v>
      </c>
      <c r="AH114" s="55" t="s">
        <v>78</v>
      </c>
      <c r="AI114" s="59" t="s">
        <v>81</v>
      </c>
      <c r="AJ114" s="55" t="s">
        <v>78</v>
      </c>
      <c r="AK114" s="55" t="s">
        <v>78</v>
      </c>
      <c r="AL114" s="55" t="s">
        <v>81</v>
      </c>
      <c r="AM114" s="55" t="s">
        <v>81</v>
      </c>
      <c r="AN114" s="55" t="s">
        <v>78</v>
      </c>
      <c r="AO114" s="60" t="s">
        <v>81</v>
      </c>
      <c r="AP114" s="58" t="s">
        <v>126</v>
      </c>
      <c r="AQ114" s="55" t="s">
        <v>228</v>
      </c>
    </row>
    <row r="115" spans="1:43" ht="16.2" x14ac:dyDescent="0.45">
      <c r="A115" s="55" t="s">
        <v>1045</v>
      </c>
      <c r="B115" s="55" t="s">
        <v>1046</v>
      </c>
      <c r="C115" s="55">
        <v>2017</v>
      </c>
      <c r="D115" s="55" t="s">
        <v>113</v>
      </c>
      <c r="E115" s="55" t="s">
        <v>78</v>
      </c>
      <c r="F115" s="57" t="s">
        <v>565</v>
      </c>
      <c r="G115" s="56" t="s">
        <v>573</v>
      </c>
      <c r="H115" s="55" t="s">
        <v>466</v>
      </c>
      <c r="I115" s="55" t="s">
        <v>689</v>
      </c>
      <c r="J115" s="57" t="s">
        <v>81</v>
      </c>
      <c r="K115" s="55" t="s">
        <v>104</v>
      </c>
      <c r="L115" s="63">
        <v>122000000</v>
      </c>
      <c r="M115" s="63">
        <v>95660764.972477928</v>
      </c>
      <c r="N115" s="63">
        <v>128599636.17545125</v>
      </c>
      <c r="O115" s="63">
        <v>100065616.8</v>
      </c>
      <c r="P115" s="63">
        <v>100065616.8</v>
      </c>
      <c r="Q115" s="63">
        <v>134521210.63274398</v>
      </c>
      <c r="R115" s="63">
        <v>100065616.8</v>
      </c>
      <c r="S115" s="63">
        <v>100065616.8</v>
      </c>
      <c r="T115" s="63">
        <v>134521210.63274398</v>
      </c>
      <c r="U115" s="55" t="s">
        <v>81</v>
      </c>
      <c r="V115" s="55" t="s">
        <v>78</v>
      </c>
      <c r="W115" s="55" t="s">
        <v>81</v>
      </c>
      <c r="X115" s="59" t="s">
        <v>78</v>
      </c>
      <c r="Y115" s="59" t="s">
        <v>81</v>
      </c>
      <c r="Z115" s="55">
        <v>0</v>
      </c>
      <c r="AA115" s="55" t="s">
        <v>78</v>
      </c>
      <c r="AB115" s="55">
        <v>0</v>
      </c>
      <c r="AC115" s="55" t="s">
        <v>78</v>
      </c>
      <c r="AD115" s="55">
        <v>0</v>
      </c>
      <c r="AE115" s="55" t="s">
        <v>78</v>
      </c>
      <c r="AF115" s="55">
        <v>0</v>
      </c>
      <c r="AG115" s="55" t="s">
        <v>81</v>
      </c>
      <c r="AH115" s="55" t="s">
        <v>78</v>
      </c>
      <c r="AI115" s="59" t="s">
        <v>81</v>
      </c>
      <c r="AJ115" s="55" t="s">
        <v>78</v>
      </c>
      <c r="AK115" s="55" t="s">
        <v>78</v>
      </c>
      <c r="AL115" s="55" t="s">
        <v>81</v>
      </c>
      <c r="AM115" s="55" t="s">
        <v>81</v>
      </c>
      <c r="AN115" s="55" t="s">
        <v>78</v>
      </c>
      <c r="AO115" s="60" t="s">
        <v>81</v>
      </c>
      <c r="AP115" s="58" t="s">
        <v>104</v>
      </c>
      <c r="AQ115" s="55" t="s">
        <v>466</v>
      </c>
    </row>
    <row r="116" spans="1:43" ht="16.2" hidden="1" x14ac:dyDescent="0.45">
      <c r="A116" s="55" t="s">
        <v>1047</v>
      </c>
      <c r="B116" s="56" t="s">
        <v>1048</v>
      </c>
      <c r="C116" s="55">
        <v>2017</v>
      </c>
      <c r="D116" s="55" t="s">
        <v>113</v>
      </c>
      <c r="E116" s="55" t="s">
        <v>78</v>
      </c>
      <c r="F116" s="57" t="s">
        <v>565</v>
      </c>
      <c r="G116" s="56" t="s">
        <v>228</v>
      </c>
      <c r="H116" s="55" t="s">
        <v>228</v>
      </c>
      <c r="I116" s="55" t="s">
        <v>689</v>
      </c>
      <c r="J116" s="57" t="s">
        <v>81</v>
      </c>
      <c r="K116" s="55" t="s">
        <v>74</v>
      </c>
      <c r="L116" s="63">
        <v>48355326</v>
      </c>
      <c r="M116" s="63">
        <v>48355326</v>
      </c>
      <c r="N116" s="63">
        <v>65005515.401579998</v>
      </c>
      <c r="O116" s="63">
        <v>31681430.449999999</v>
      </c>
      <c r="P116" s="63">
        <v>31681430.449999999</v>
      </c>
      <c r="Q116" s="63">
        <v>42590297.3968485</v>
      </c>
      <c r="R116" s="63">
        <v>23127460.629999999</v>
      </c>
      <c r="S116" s="63">
        <v>23127460.629999999</v>
      </c>
      <c r="T116" s="63">
        <v>31090939.148727898</v>
      </c>
      <c r="U116" s="55" t="s">
        <v>81</v>
      </c>
      <c r="V116" s="55" t="s">
        <v>78</v>
      </c>
      <c r="W116" s="55" t="s">
        <v>81</v>
      </c>
      <c r="X116" s="59" t="s">
        <v>78</v>
      </c>
      <c r="Y116" s="59" t="s">
        <v>81</v>
      </c>
      <c r="Z116" s="55">
        <v>0</v>
      </c>
      <c r="AA116" s="55" t="s">
        <v>78</v>
      </c>
      <c r="AB116" s="55">
        <v>0</v>
      </c>
      <c r="AC116" s="55" t="s">
        <v>78</v>
      </c>
      <c r="AD116" s="55">
        <v>0</v>
      </c>
      <c r="AE116" s="55" t="s">
        <v>78</v>
      </c>
      <c r="AF116" s="55">
        <v>0</v>
      </c>
      <c r="AG116" s="55" t="s">
        <v>81</v>
      </c>
      <c r="AH116" s="55" t="s">
        <v>78</v>
      </c>
      <c r="AI116" s="59" t="s">
        <v>81</v>
      </c>
      <c r="AJ116" s="55" t="s">
        <v>78</v>
      </c>
      <c r="AK116" s="55" t="s">
        <v>78</v>
      </c>
      <c r="AL116" s="55" t="s">
        <v>81</v>
      </c>
      <c r="AM116" s="55" t="s">
        <v>81</v>
      </c>
      <c r="AN116" s="55" t="s">
        <v>78</v>
      </c>
      <c r="AO116" s="60" t="s">
        <v>81</v>
      </c>
      <c r="AP116" s="58" t="s">
        <v>74</v>
      </c>
      <c r="AQ116" s="55" t="s">
        <v>228</v>
      </c>
    </row>
    <row r="117" spans="1:43" ht="16.2" hidden="1" x14ac:dyDescent="0.45">
      <c r="A117" s="55" t="s">
        <v>1049</v>
      </c>
      <c r="B117" s="55" t="s">
        <v>1050</v>
      </c>
      <c r="C117" s="55">
        <v>2017</v>
      </c>
      <c r="D117" s="55" t="s">
        <v>113</v>
      </c>
      <c r="E117" s="55" t="s">
        <v>78</v>
      </c>
      <c r="F117" s="57" t="s">
        <v>565</v>
      </c>
      <c r="G117" s="56" t="s">
        <v>590</v>
      </c>
      <c r="H117" s="55" t="s">
        <v>256</v>
      </c>
      <c r="I117" s="55" t="s">
        <v>676</v>
      </c>
      <c r="J117" s="57" t="s">
        <v>81</v>
      </c>
      <c r="K117" s="55" t="s">
        <v>104</v>
      </c>
      <c r="L117" s="63">
        <v>171000000</v>
      </c>
      <c r="M117" s="63">
        <v>134081891.8876535</v>
      </c>
      <c r="N117" s="63">
        <v>180250309.72132924</v>
      </c>
      <c r="O117" s="63">
        <v>62335958</v>
      </c>
      <c r="P117" s="63">
        <v>62335958</v>
      </c>
      <c r="Q117" s="63">
        <v>83800098.418139994</v>
      </c>
      <c r="R117" s="63">
        <v>61515748.030000001</v>
      </c>
      <c r="S117" s="63">
        <v>61515748.030000001</v>
      </c>
      <c r="T117" s="63">
        <v>82697465.549169898</v>
      </c>
      <c r="U117" s="55" t="s">
        <v>75</v>
      </c>
      <c r="V117" s="55" t="s">
        <v>1051</v>
      </c>
      <c r="W117" s="55" t="s">
        <v>81</v>
      </c>
      <c r="X117" s="59" t="s">
        <v>78</v>
      </c>
      <c r="Y117" s="59" t="s">
        <v>75</v>
      </c>
      <c r="Z117" s="55">
        <v>0</v>
      </c>
      <c r="AA117" s="55" t="s">
        <v>78</v>
      </c>
      <c r="AB117" s="55">
        <v>999</v>
      </c>
      <c r="AC117" s="55" t="s">
        <v>1052</v>
      </c>
      <c r="AD117" s="55">
        <v>0</v>
      </c>
      <c r="AE117" s="55" t="s">
        <v>78</v>
      </c>
      <c r="AF117" s="55">
        <v>1</v>
      </c>
      <c r="AG117" s="55" t="s">
        <v>81</v>
      </c>
      <c r="AH117" s="55" t="s">
        <v>78</v>
      </c>
      <c r="AI117" s="59" t="s">
        <v>75</v>
      </c>
      <c r="AJ117" s="55" t="s">
        <v>256</v>
      </c>
      <c r="AK117" s="55" t="s">
        <v>78</v>
      </c>
      <c r="AL117" s="55" t="s">
        <v>81</v>
      </c>
      <c r="AM117" s="55" t="s">
        <v>81</v>
      </c>
      <c r="AN117" s="55" t="s">
        <v>78</v>
      </c>
      <c r="AO117" s="60" t="s">
        <v>81</v>
      </c>
      <c r="AP117" s="58" t="s">
        <v>104</v>
      </c>
      <c r="AQ117" s="55" t="s">
        <v>256</v>
      </c>
    </row>
    <row r="118" spans="1:43" ht="16.2" hidden="1" x14ac:dyDescent="0.45">
      <c r="A118" s="55" t="s">
        <v>1053</v>
      </c>
      <c r="B118" s="55" t="s">
        <v>1054</v>
      </c>
      <c r="C118" s="55">
        <v>2017</v>
      </c>
      <c r="D118" s="55" t="s">
        <v>343</v>
      </c>
      <c r="E118" s="55" t="s">
        <v>78</v>
      </c>
      <c r="F118" s="57" t="s">
        <v>528</v>
      </c>
      <c r="G118" s="56" t="s">
        <v>579</v>
      </c>
      <c r="H118" s="55" t="s">
        <v>115</v>
      </c>
      <c r="I118" s="55" t="s">
        <v>689</v>
      </c>
      <c r="J118" s="57" t="s">
        <v>81</v>
      </c>
      <c r="K118" s="55" t="s">
        <v>74</v>
      </c>
      <c r="L118" s="63">
        <v>6510000</v>
      </c>
      <c r="M118" s="63">
        <v>6510000</v>
      </c>
      <c r="N118" s="63">
        <v>8751588.3000000007</v>
      </c>
      <c r="O118" s="63">
        <v>6312992.1299999999</v>
      </c>
      <c r="P118" s="63">
        <v>6312992.1299999999</v>
      </c>
      <c r="Q118" s="63">
        <v>8486744.7101229001</v>
      </c>
      <c r="R118" s="63">
        <v>4000000</v>
      </c>
      <c r="S118" s="63">
        <v>4000000</v>
      </c>
      <c r="T118" s="63">
        <v>5377320</v>
      </c>
      <c r="U118" s="55" t="s">
        <v>75</v>
      </c>
      <c r="V118" s="55" t="s">
        <v>1055</v>
      </c>
      <c r="W118" s="55" t="s">
        <v>81</v>
      </c>
      <c r="X118" s="59" t="s">
        <v>78</v>
      </c>
      <c r="Y118" s="59" t="s">
        <v>75</v>
      </c>
      <c r="Z118" s="55">
        <v>0</v>
      </c>
      <c r="AA118" s="55" t="s">
        <v>78</v>
      </c>
      <c r="AB118" s="55">
        <v>999</v>
      </c>
      <c r="AC118" s="55" t="s">
        <v>1056</v>
      </c>
      <c r="AD118" s="55">
        <v>0</v>
      </c>
      <c r="AE118" s="55" t="s">
        <v>78</v>
      </c>
      <c r="AF118" s="55">
        <v>2</v>
      </c>
      <c r="AG118" s="55" t="s">
        <v>81</v>
      </c>
      <c r="AH118" s="55" t="s">
        <v>78</v>
      </c>
      <c r="AI118" s="59" t="s">
        <v>75</v>
      </c>
      <c r="AJ118" s="55" t="s">
        <v>795</v>
      </c>
      <c r="AK118" s="55" t="s">
        <v>78</v>
      </c>
      <c r="AL118" s="55" t="s">
        <v>81</v>
      </c>
      <c r="AM118" s="55" t="s">
        <v>81</v>
      </c>
      <c r="AN118" s="55" t="s">
        <v>78</v>
      </c>
      <c r="AO118" s="60" t="s">
        <v>81</v>
      </c>
      <c r="AP118" s="58" t="s">
        <v>74</v>
      </c>
      <c r="AQ118" s="55" t="s">
        <v>115</v>
      </c>
    </row>
    <row r="119" spans="1:43" ht="16.2" hidden="1" x14ac:dyDescent="0.45">
      <c r="A119" s="55" t="s">
        <v>1057</v>
      </c>
      <c r="B119" s="55" t="s">
        <v>1058</v>
      </c>
      <c r="C119" s="55">
        <v>2017</v>
      </c>
      <c r="D119" s="55" t="s">
        <v>172</v>
      </c>
      <c r="E119" s="55" t="s">
        <v>78</v>
      </c>
      <c r="F119" s="57" t="s">
        <v>537</v>
      </c>
      <c r="G119" s="56" t="s">
        <v>228</v>
      </c>
      <c r="H119" s="55" t="s">
        <v>228</v>
      </c>
      <c r="I119" s="55" t="s">
        <v>689</v>
      </c>
      <c r="J119" s="57" t="s">
        <v>81</v>
      </c>
      <c r="K119" s="55" t="s">
        <v>104</v>
      </c>
      <c r="L119" s="63">
        <v>115984000</v>
      </c>
      <c r="M119" s="63">
        <v>90943591.512851477</v>
      </c>
      <c r="N119" s="63">
        <v>122258198.37847163</v>
      </c>
      <c r="O119" s="63">
        <v>80824311.019999996</v>
      </c>
      <c r="P119" s="63">
        <v>80824311.019999996</v>
      </c>
      <c r="Q119" s="63">
        <v>108654546.0335166</v>
      </c>
      <c r="R119" s="63">
        <v>80824311.019999996</v>
      </c>
      <c r="S119" s="63">
        <v>80824311.019999996</v>
      </c>
      <c r="T119" s="63">
        <v>108654546.0335166</v>
      </c>
      <c r="U119" s="55" t="s">
        <v>81</v>
      </c>
      <c r="V119" s="55" t="s">
        <v>1042</v>
      </c>
      <c r="W119" s="55" t="s">
        <v>81</v>
      </c>
      <c r="X119" s="59" t="s">
        <v>78</v>
      </c>
      <c r="Y119" s="59" t="s">
        <v>81</v>
      </c>
      <c r="Z119" s="55">
        <v>0</v>
      </c>
      <c r="AA119" s="55" t="s">
        <v>78</v>
      </c>
      <c r="AB119" s="55">
        <v>0</v>
      </c>
      <c r="AC119" s="55" t="s">
        <v>78</v>
      </c>
      <c r="AD119" s="55">
        <v>0</v>
      </c>
      <c r="AE119" s="55" t="s">
        <v>78</v>
      </c>
      <c r="AF119" s="55">
        <v>0</v>
      </c>
      <c r="AG119" s="55" t="s">
        <v>81</v>
      </c>
      <c r="AH119" s="55" t="s">
        <v>78</v>
      </c>
      <c r="AI119" s="59" t="s">
        <v>81</v>
      </c>
      <c r="AJ119" s="55" t="s">
        <v>78</v>
      </c>
      <c r="AK119" s="55" t="s">
        <v>78</v>
      </c>
      <c r="AL119" s="55" t="s">
        <v>81</v>
      </c>
      <c r="AM119" s="55" t="s">
        <v>81</v>
      </c>
      <c r="AN119" s="55" t="s">
        <v>78</v>
      </c>
      <c r="AO119" s="60" t="s">
        <v>81</v>
      </c>
      <c r="AP119" s="58" t="s">
        <v>104</v>
      </c>
      <c r="AQ119" s="55" t="s">
        <v>228</v>
      </c>
    </row>
    <row r="120" spans="1:43" ht="16.2" hidden="1" x14ac:dyDescent="0.45">
      <c r="A120" s="55" t="s">
        <v>1059</v>
      </c>
      <c r="B120" s="55" t="s">
        <v>1060</v>
      </c>
      <c r="C120" s="55">
        <v>2017</v>
      </c>
      <c r="D120" s="55" t="s">
        <v>172</v>
      </c>
      <c r="E120" s="55" t="s">
        <v>78</v>
      </c>
      <c r="F120" s="57" t="s">
        <v>537</v>
      </c>
      <c r="G120" s="56" t="s">
        <v>228</v>
      </c>
      <c r="H120" s="55" t="s">
        <v>228</v>
      </c>
      <c r="I120" s="55" t="s">
        <v>689</v>
      </c>
      <c r="J120" s="57" t="s">
        <v>81</v>
      </c>
      <c r="K120" s="55" t="s">
        <v>74</v>
      </c>
      <c r="L120" s="63">
        <v>991095</v>
      </c>
      <c r="M120" s="63">
        <v>991095</v>
      </c>
      <c r="N120" s="63">
        <v>1332358.74135</v>
      </c>
      <c r="O120" s="63">
        <v>991095</v>
      </c>
      <c r="P120" s="63">
        <v>991095</v>
      </c>
      <c r="Q120" s="63">
        <v>1332358.74135</v>
      </c>
      <c r="R120" s="63">
        <v>991095</v>
      </c>
      <c r="S120" s="63">
        <v>991095</v>
      </c>
      <c r="T120" s="63">
        <v>1332358.74135</v>
      </c>
      <c r="U120" s="55" t="s">
        <v>81</v>
      </c>
      <c r="V120" s="55" t="s">
        <v>78</v>
      </c>
      <c r="W120" s="55" t="s">
        <v>81</v>
      </c>
      <c r="X120" s="59" t="s">
        <v>78</v>
      </c>
      <c r="Y120" s="59" t="s">
        <v>81</v>
      </c>
      <c r="Z120" s="55">
        <v>0</v>
      </c>
      <c r="AA120" s="55" t="s">
        <v>78</v>
      </c>
      <c r="AB120" s="55">
        <v>0</v>
      </c>
      <c r="AC120" s="55" t="s">
        <v>78</v>
      </c>
      <c r="AD120" s="55">
        <v>0</v>
      </c>
      <c r="AE120" s="55" t="s">
        <v>78</v>
      </c>
      <c r="AF120" s="55">
        <v>0</v>
      </c>
      <c r="AG120" s="55" t="s">
        <v>81</v>
      </c>
      <c r="AH120" s="55" t="s">
        <v>78</v>
      </c>
      <c r="AI120" s="59" t="s">
        <v>81</v>
      </c>
      <c r="AJ120" s="55" t="s">
        <v>78</v>
      </c>
      <c r="AK120" s="55" t="s">
        <v>78</v>
      </c>
      <c r="AL120" s="55" t="s">
        <v>81</v>
      </c>
      <c r="AM120" s="55" t="s">
        <v>81</v>
      </c>
      <c r="AN120" s="55" t="s">
        <v>78</v>
      </c>
      <c r="AO120" s="60" t="s">
        <v>81</v>
      </c>
      <c r="AP120" s="58" t="s">
        <v>74</v>
      </c>
      <c r="AQ120" s="55" t="s">
        <v>228</v>
      </c>
    </row>
    <row r="121" spans="1:43" ht="16.2" x14ac:dyDescent="0.45">
      <c r="A121" s="55" t="s">
        <v>1061</v>
      </c>
      <c r="B121" s="56" t="s">
        <v>1062</v>
      </c>
      <c r="C121" s="55">
        <v>2017</v>
      </c>
      <c r="D121" s="55" t="s">
        <v>172</v>
      </c>
      <c r="E121" s="55" t="s">
        <v>78</v>
      </c>
      <c r="F121" s="57" t="s">
        <v>537</v>
      </c>
      <c r="G121" s="56" t="s">
        <v>572</v>
      </c>
      <c r="H121" s="55" t="s">
        <v>466</v>
      </c>
      <c r="I121" s="55" t="s">
        <v>689</v>
      </c>
      <c r="J121" s="57" t="s">
        <v>81</v>
      </c>
      <c r="K121" s="55" t="s">
        <v>104</v>
      </c>
      <c r="L121" s="63">
        <v>94040000</v>
      </c>
      <c r="M121" s="63">
        <v>73737199.491900206</v>
      </c>
      <c r="N121" s="63">
        <v>99127129.392946199</v>
      </c>
      <c r="O121" s="63">
        <v>69414370.079999998</v>
      </c>
      <c r="P121" s="63">
        <v>69414370.079999998</v>
      </c>
      <c r="Q121" s="63">
        <v>93315820.129646406</v>
      </c>
      <c r="R121" s="63">
        <v>69414370.079999998</v>
      </c>
      <c r="S121" s="63">
        <v>69414370.079999998</v>
      </c>
      <c r="T121" s="63">
        <v>93315820.129646406</v>
      </c>
      <c r="U121" s="55" t="s">
        <v>75</v>
      </c>
      <c r="V121" s="55" t="s">
        <v>1063</v>
      </c>
      <c r="W121" s="55" t="s">
        <v>81</v>
      </c>
      <c r="X121" s="59" t="s">
        <v>78</v>
      </c>
      <c r="Y121" s="59" t="s">
        <v>81</v>
      </c>
      <c r="Z121" s="55">
        <v>0</v>
      </c>
      <c r="AA121" s="55" t="s">
        <v>78</v>
      </c>
      <c r="AB121" s="55">
        <v>0</v>
      </c>
      <c r="AC121" s="55" t="s">
        <v>78</v>
      </c>
      <c r="AD121" s="55">
        <v>0</v>
      </c>
      <c r="AE121" s="55" t="s">
        <v>78</v>
      </c>
      <c r="AF121" s="55">
        <v>0</v>
      </c>
      <c r="AG121" s="55" t="s">
        <v>81</v>
      </c>
      <c r="AH121" s="55" t="s">
        <v>78</v>
      </c>
      <c r="AI121" s="59" t="s">
        <v>75</v>
      </c>
      <c r="AJ121" s="55" t="s">
        <v>72</v>
      </c>
      <c r="AK121" s="55" t="s">
        <v>1064</v>
      </c>
      <c r="AL121" s="55" t="s">
        <v>75</v>
      </c>
      <c r="AM121" s="55" t="s">
        <v>81</v>
      </c>
      <c r="AN121" s="55" t="s">
        <v>78</v>
      </c>
      <c r="AO121" s="60" t="s">
        <v>81</v>
      </c>
      <c r="AP121" s="58" t="s">
        <v>104</v>
      </c>
      <c r="AQ121" s="55" t="s">
        <v>466</v>
      </c>
    </row>
    <row r="122" spans="1:43" ht="16.2" hidden="1" x14ac:dyDescent="0.45">
      <c r="A122" s="55" t="s">
        <v>1065</v>
      </c>
      <c r="B122" s="55" t="s">
        <v>1066</v>
      </c>
      <c r="C122" s="55">
        <v>2017</v>
      </c>
      <c r="D122" s="55" t="s">
        <v>172</v>
      </c>
      <c r="E122" s="55" t="s">
        <v>78</v>
      </c>
      <c r="F122" s="57" t="s">
        <v>537</v>
      </c>
      <c r="G122" s="56" t="s">
        <v>587</v>
      </c>
      <c r="H122" s="55" t="s">
        <v>256</v>
      </c>
      <c r="I122" s="55" t="s">
        <v>689</v>
      </c>
      <c r="J122" s="57" t="s">
        <v>81</v>
      </c>
      <c r="K122" s="55" t="s">
        <v>104</v>
      </c>
      <c r="L122" s="63">
        <v>117400000</v>
      </c>
      <c r="M122" s="63">
        <v>92053883.67023696</v>
      </c>
      <c r="N122" s="63">
        <v>123750797.43440965</v>
      </c>
      <c r="O122" s="63">
        <v>96292650.920000002</v>
      </c>
      <c r="P122" s="63">
        <v>96292650.920000002</v>
      </c>
      <c r="Q122" s="63">
        <v>129449099.41128361</v>
      </c>
      <c r="R122" s="63">
        <v>96292650.920000002</v>
      </c>
      <c r="S122" s="63">
        <v>96292650.920000002</v>
      </c>
      <c r="T122" s="63">
        <v>129449099.41128361</v>
      </c>
      <c r="U122" s="55" t="s">
        <v>75</v>
      </c>
      <c r="V122" s="55" t="s">
        <v>1067</v>
      </c>
      <c r="W122" s="55" t="s">
        <v>81</v>
      </c>
      <c r="X122" s="59" t="s">
        <v>78</v>
      </c>
      <c r="Y122" s="59" t="s">
        <v>75</v>
      </c>
      <c r="Z122" s="55">
        <v>999</v>
      </c>
      <c r="AA122" s="55" t="s">
        <v>1068</v>
      </c>
      <c r="AB122" s="55">
        <v>999</v>
      </c>
      <c r="AC122" s="55" t="s">
        <v>1069</v>
      </c>
      <c r="AD122" s="55">
        <v>0</v>
      </c>
      <c r="AE122" s="55" t="s">
        <v>78</v>
      </c>
      <c r="AF122" s="55">
        <v>2</v>
      </c>
      <c r="AG122" s="55" t="s">
        <v>81</v>
      </c>
      <c r="AH122" s="55" t="s">
        <v>78</v>
      </c>
      <c r="AI122" s="59" t="s">
        <v>81</v>
      </c>
      <c r="AJ122" s="55" t="s">
        <v>78</v>
      </c>
      <c r="AK122" s="55" t="s">
        <v>78</v>
      </c>
      <c r="AL122" s="55" t="s">
        <v>81</v>
      </c>
      <c r="AM122" s="55" t="s">
        <v>81</v>
      </c>
      <c r="AN122" s="55" t="s">
        <v>78</v>
      </c>
      <c r="AO122" s="60" t="s">
        <v>81</v>
      </c>
      <c r="AP122" s="58" t="s">
        <v>104</v>
      </c>
      <c r="AQ122" s="55" t="s">
        <v>256</v>
      </c>
    </row>
    <row r="123" spans="1:43" ht="16.2" hidden="1" x14ac:dyDescent="0.45">
      <c r="A123" s="55" t="s">
        <v>1070</v>
      </c>
      <c r="B123" s="55" t="s">
        <v>1071</v>
      </c>
      <c r="C123" s="55">
        <v>2017</v>
      </c>
      <c r="D123" s="55" t="s">
        <v>433</v>
      </c>
      <c r="E123" s="55" t="s">
        <v>78</v>
      </c>
      <c r="F123" s="57" t="s">
        <v>564</v>
      </c>
      <c r="G123" s="55" t="s">
        <v>597</v>
      </c>
      <c r="H123" s="55" t="s">
        <v>101</v>
      </c>
      <c r="I123" s="55" t="s">
        <v>676</v>
      </c>
      <c r="J123" s="57" t="s">
        <v>81</v>
      </c>
      <c r="K123" s="55" t="s">
        <v>74</v>
      </c>
      <c r="L123" s="63">
        <v>9530000</v>
      </c>
      <c r="M123" s="63">
        <v>9530000</v>
      </c>
      <c r="N123" s="63">
        <v>12811464.9</v>
      </c>
      <c r="O123" s="63">
        <v>9530000</v>
      </c>
      <c r="P123" s="63">
        <v>9530000</v>
      </c>
      <c r="Q123" s="63">
        <v>12811464.9</v>
      </c>
      <c r="R123" s="63">
        <v>9530000</v>
      </c>
      <c r="S123" s="63">
        <v>9530000</v>
      </c>
      <c r="T123" s="63">
        <v>12811464.9</v>
      </c>
      <c r="U123" s="55" t="s">
        <v>81</v>
      </c>
      <c r="V123" s="55" t="s">
        <v>78</v>
      </c>
      <c r="W123" s="55" t="s">
        <v>81</v>
      </c>
      <c r="X123" s="59" t="s">
        <v>78</v>
      </c>
      <c r="Y123" s="59" t="s">
        <v>81</v>
      </c>
      <c r="Z123" s="55">
        <v>0</v>
      </c>
      <c r="AA123" s="55" t="s">
        <v>78</v>
      </c>
      <c r="AB123" s="55">
        <v>0</v>
      </c>
      <c r="AC123" s="55" t="s">
        <v>78</v>
      </c>
      <c r="AD123" s="55">
        <v>0</v>
      </c>
      <c r="AE123" s="55" t="s">
        <v>78</v>
      </c>
      <c r="AF123" s="55">
        <v>0</v>
      </c>
      <c r="AG123" s="55" t="s">
        <v>81</v>
      </c>
      <c r="AH123" s="55" t="s">
        <v>78</v>
      </c>
      <c r="AI123" s="59" t="s">
        <v>81</v>
      </c>
      <c r="AJ123" s="55" t="s">
        <v>78</v>
      </c>
      <c r="AK123" s="55" t="s">
        <v>78</v>
      </c>
      <c r="AL123" s="55" t="s">
        <v>81</v>
      </c>
      <c r="AM123" s="55" t="s">
        <v>81</v>
      </c>
      <c r="AN123" s="55" t="s">
        <v>78</v>
      </c>
      <c r="AO123" s="60" t="s">
        <v>81</v>
      </c>
      <c r="AP123" s="58" t="s">
        <v>74</v>
      </c>
      <c r="AQ123" s="55" t="s">
        <v>101</v>
      </c>
    </row>
    <row r="124" spans="1:43" ht="16.2" hidden="1" x14ac:dyDescent="0.45">
      <c r="A124" s="55" t="s">
        <v>1072</v>
      </c>
      <c r="B124" s="55" t="s">
        <v>1073</v>
      </c>
      <c r="C124" s="55">
        <v>2017</v>
      </c>
      <c r="D124" s="55" t="s">
        <v>500</v>
      </c>
      <c r="E124" s="55" t="s">
        <v>78</v>
      </c>
      <c r="F124" s="57" t="s">
        <v>547</v>
      </c>
      <c r="G124" s="55" t="s">
        <v>597</v>
      </c>
      <c r="H124" s="55" t="s">
        <v>101</v>
      </c>
      <c r="I124" s="55" t="s">
        <v>676</v>
      </c>
      <c r="J124" s="57" t="s">
        <v>81</v>
      </c>
      <c r="K124" s="55" t="s">
        <v>74</v>
      </c>
      <c r="L124" s="63">
        <v>10000000</v>
      </c>
      <c r="M124" s="63">
        <v>10000000</v>
      </c>
      <c r="N124" s="63">
        <v>13443300</v>
      </c>
      <c r="O124" s="63">
        <v>10000000</v>
      </c>
      <c r="P124" s="63">
        <v>10000000</v>
      </c>
      <c r="Q124" s="63">
        <v>13443300</v>
      </c>
      <c r="R124" s="63">
        <v>10000000</v>
      </c>
      <c r="S124" s="63">
        <v>10000000</v>
      </c>
      <c r="T124" s="63">
        <v>13443300</v>
      </c>
      <c r="U124" s="55" t="s">
        <v>75</v>
      </c>
      <c r="V124" s="55" t="s">
        <v>1074</v>
      </c>
      <c r="W124" s="55" t="s">
        <v>81</v>
      </c>
      <c r="X124" s="59" t="s">
        <v>78</v>
      </c>
      <c r="Y124" s="59" t="s">
        <v>81</v>
      </c>
      <c r="Z124" s="55">
        <v>0</v>
      </c>
      <c r="AA124" s="55" t="s">
        <v>78</v>
      </c>
      <c r="AB124" s="55">
        <v>0</v>
      </c>
      <c r="AC124" s="55" t="s">
        <v>78</v>
      </c>
      <c r="AD124" s="55">
        <v>0</v>
      </c>
      <c r="AE124" s="55" t="s">
        <v>78</v>
      </c>
      <c r="AF124" s="55">
        <v>0</v>
      </c>
      <c r="AG124" s="55" t="s">
        <v>81</v>
      </c>
      <c r="AH124" s="55" t="s">
        <v>78</v>
      </c>
      <c r="AI124" s="59" t="s">
        <v>75</v>
      </c>
      <c r="AJ124" s="55" t="s">
        <v>256</v>
      </c>
      <c r="AK124" s="55" t="s">
        <v>78</v>
      </c>
      <c r="AL124" s="55" t="s">
        <v>81</v>
      </c>
      <c r="AM124" s="55" t="s">
        <v>81</v>
      </c>
      <c r="AN124" s="55" t="s">
        <v>78</v>
      </c>
      <c r="AO124" s="60" t="s">
        <v>81</v>
      </c>
      <c r="AP124" s="58" t="s">
        <v>74</v>
      </c>
      <c r="AQ124" s="55" t="s">
        <v>101</v>
      </c>
    </row>
    <row r="125" spans="1:43" ht="16.2" hidden="1" x14ac:dyDescent="0.45">
      <c r="A125" s="55" t="s">
        <v>1075</v>
      </c>
      <c r="B125" s="56" t="s">
        <v>1076</v>
      </c>
      <c r="C125" s="55">
        <v>2017</v>
      </c>
      <c r="D125" s="55" t="s">
        <v>502</v>
      </c>
      <c r="E125" s="55" t="s">
        <v>78</v>
      </c>
      <c r="F125" s="57" t="s">
        <v>548</v>
      </c>
      <c r="G125" s="56" t="s">
        <v>590</v>
      </c>
      <c r="H125" s="56" t="s">
        <v>256</v>
      </c>
      <c r="I125" s="56" t="s">
        <v>676</v>
      </c>
      <c r="J125" s="61" t="s">
        <v>81</v>
      </c>
      <c r="K125" s="55" t="s">
        <v>74</v>
      </c>
      <c r="L125" s="63">
        <v>37879000</v>
      </c>
      <c r="M125" s="63">
        <v>37879000</v>
      </c>
      <c r="N125" s="63">
        <v>50921876.07</v>
      </c>
      <c r="O125" s="63">
        <v>30000000</v>
      </c>
      <c r="P125" s="63">
        <v>30000000</v>
      </c>
      <c r="Q125" s="63">
        <v>40329900</v>
      </c>
      <c r="R125" s="63">
        <v>30000000</v>
      </c>
      <c r="S125" s="63">
        <v>30000000</v>
      </c>
      <c r="T125" s="63">
        <v>40329900</v>
      </c>
      <c r="U125" s="55" t="s">
        <v>75</v>
      </c>
      <c r="V125" s="55" t="s">
        <v>1077</v>
      </c>
      <c r="W125" s="55" t="s">
        <v>81</v>
      </c>
      <c r="X125" s="59" t="s">
        <v>78</v>
      </c>
      <c r="Y125" s="59" t="s">
        <v>75</v>
      </c>
      <c r="Z125" s="55">
        <v>999</v>
      </c>
      <c r="AA125" s="55" t="s">
        <v>1078</v>
      </c>
      <c r="AB125" s="55">
        <v>999</v>
      </c>
      <c r="AC125" s="55" t="s">
        <v>1079</v>
      </c>
      <c r="AD125" s="55">
        <v>0</v>
      </c>
      <c r="AE125" s="55" t="s">
        <v>78</v>
      </c>
      <c r="AF125" s="55">
        <v>2</v>
      </c>
      <c r="AG125" s="55" t="s">
        <v>81</v>
      </c>
      <c r="AH125" s="55" t="s">
        <v>78</v>
      </c>
      <c r="AI125" s="59" t="s">
        <v>75</v>
      </c>
      <c r="AJ125" s="55" t="s">
        <v>256</v>
      </c>
      <c r="AK125" s="55" t="s">
        <v>78</v>
      </c>
      <c r="AL125" s="55" t="s">
        <v>81</v>
      </c>
      <c r="AM125" s="55" t="s">
        <v>81</v>
      </c>
      <c r="AN125" s="55" t="s">
        <v>78</v>
      </c>
      <c r="AO125" s="60" t="s">
        <v>81</v>
      </c>
      <c r="AP125" s="58" t="s">
        <v>74</v>
      </c>
      <c r="AQ125" s="56" t="s">
        <v>256</v>
      </c>
    </row>
    <row r="126" spans="1:43" ht="16.2" hidden="1" x14ac:dyDescent="0.45">
      <c r="A126" s="55" t="s">
        <v>1080</v>
      </c>
      <c r="B126" s="56" t="s">
        <v>1081</v>
      </c>
      <c r="C126" s="55">
        <v>2017</v>
      </c>
      <c r="D126" s="55" t="s">
        <v>502</v>
      </c>
      <c r="E126" s="55" t="s">
        <v>78</v>
      </c>
      <c r="F126" s="57" t="s">
        <v>548</v>
      </c>
      <c r="G126" s="55" t="s">
        <v>597</v>
      </c>
      <c r="H126" s="56" t="s">
        <v>101</v>
      </c>
      <c r="I126" s="56" t="s">
        <v>676</v>
      </c>
      <c r="J126" s="61" t="s">
        <v>81</v>
      </c>
      <c r="K126" s="55" t="s">
        <v>74</v>
      </c>
      <c r="L126" s="63">
        <v>1642000</v>
      </c>
      <c r="M126" s="63">
        <v>1642000</v>
      </c>
      <c r="N126" s="63">
        <v>2207389.86</v>
      </c>
      <c r="O126" s="63">
        <v>1000000</v>
      </c>
      <c r="P126" s="63">
        <v>1000000</v>
      </c>
      <c r="Q126" s="63">
        <v>1344330</v>
      </c>
      <c r="R126" s="63">
        <v>1000000</v>
      </c>
      <c r="S126" s="63">
        <v>1000000</v>
      </c>
      <c r="T126" s="63">
        <v>1344330</v>
      </c>
      <c r="U126" s="55" t="s">
        <v>81</v>
      </c>
      <c r="V126" s="55" t="s">
        <v>78</v>
      </c>
      <c r="W126" s="55" t="s">
        <v>81</v>
      </c>
      <c r="X126" s="59" t="s">
        <v>78</v>
      </c>
      <c r="Y126" s="59" t="s">
        <v>81</v>
      </c>
      <c r="Z126" s="55">
        <v>0</v>
      </c>
      <c r="AA126" s="55" t="s">
        <v>78</v>
      </c>
      <c r="AB126" s="55">
        <v>0</v>
      </c>
      <c r="AC126" s="55" t="s">
        <v>78</v>
      </c>
      <c r="AD126" s="55">
        <v>0</v>
      </c>
      <c r="AE126" s="55" t="s">
        <v>78</v>
      </c>
      <c r="AF126" s="55">
        <v>0</v>
      </c>
      <c r="AG126" s="55" t="s">
        <v>81</v>
      </c>
      <c r="AH126" s="55" t="s">
        <v>78</v>
      </c>
      <c r="AI126" s="59" t="s">
        <v>81</v>
      </c>
      <c r="AJ126" s="55" t="s">
        <v>78</v>
      </c>
      <c r="AK126" s="55" t="s">
        <v>78</v>
      </c>
      <c r="AL126" s="55" t="s">
        <v>81</v>
      </c>
      <c r="AM126" s="55" t="s">
        <v>81</v>
      </c>
      <c r="AN126" s="55" t="s">
        <v>78</v>
      </c>
      <c r="AO126" s="60" t="s">
        <v>81</v>
      </c>
      <c r="AP126" s="58" t="s">
        <v>74</v>
      </c>
      <c r="AQ126" s="56" t="s">
        <v>101</v>
      </c>
    </row>
    <row r="127" spans="1:43" ht="16.2" hidden="1" x14ac:dyDescent="0.45">
      <c r="A127" s="55" t="s">
        <v>1082</v>
      </c>
      <c r="B127" s="56" t="s">
        <v>1083</v>
      </c>
      <c r="C127" s="55">
        <v>2017</v>
      </c>
      <c r="D127" s="55" t="s">
        <v>502</v>
      </c>
      <c r="E127" s="55" t="s">
        <v>78</v>
      </c>
      <c r="F127" s="57" t="s">
        <v>548</v>
      </c>
      <c r="G127" s="56" t="s">
        <v>589</v>
      </c>
      <c r="H127" s="56" t="s">
        <v>256</v>
      </c>
      <c r="I127" s="56" t="s">
        <v>676</v>
      </c>
      <c r="J127" s="61" t="s">
        <v>75</v>
      </c>
      <c r="K127" s="55" t="s">
        <v>104</v>
      </c>
      <c r="L127" s="63">
        <v>2128644</v>
      </c>
      <c r="M127" s="63">
        <v>1669079.6179842239</v>
      </c>
      <c r="N127" s="63">
        <v>2243793.8028447316</v>
      </c>
      <c r="O127" s="63">
        <v>1636921.75</v>
      </c>
      <c r="P127" s="63">
        <v>1636921.75</v>
      </c>
      <c r="Q127" s="63">
        <v>2200563.0161775001</v>
      </c>
      <c r="R127" s="63">
        <v>0</v>
      </c>
      <c r="S127" s="63">
        <v>0</v>
      </c>
      <c r="T127" s="63">
        <v>0</v>
      </c>
      <c r="U127" s="55" t="s">
        <v>81</v>
      </c>
      <c r="V127" s="55" t="s">
        <v>78</v>
      </c>
      <c r="W127" s="55" t="s">
        <v>81</v>
      </c>
      <c r="X127" s="59" t="s">
        <v>78</v>
      </c>
      <c r="Y127" s="59" t="s">
        <v>81</v>
      </c>
      <c r="Z127" s="55">
        <v>0</v>
      </c>
      <c r="AA127" s="55" t="s">
        <v>78</v>
      </c>
      <c r="AB127" s="55">
        <v>0</v>
      </c>
      <c r="AC127" s="55" t="s">
        <v>78</v>
      </c>
      <c r="AD127" s="55">
        <v>0</v>
      </c>
      <c r="AE127" s="55" t="s">
        <v>78</v>
      </c>
      <c r="AF127" s="55">
        <v>0</v>
      </c>
      <c r="AG127" s="55" t="s">
        <v>75</v>
      </c>
      <c r="AH127" s="55" t="s">
        <v>1084</v>
      </c>
      <c r="AI127" s="59" t="s">
        <v>81</v>
      </c>
      <c r="AJ127" s="55" t="s">
        <v>78</v>
      </c>
      <c r="AK127" s="55" t="s">
        <v>78</v>
      </c>
      <c r="AL127" s="55" t="s">
        <v>81</v>
      </c>
      <c r="AM127" s="55" t="s">
        <v>81</v>
      </c>
      <c r="AN127" s="55" t="s">
        <v>78</v>
      </c>
      <c r="AO127" s="60" t="s">
        <v>81</v>
      </c>
      <c r="AP127" s="58" t="s">
        <v>104</v>
      </c>
      <c r="AQ127" s="56" t="s">
        <v>256</v>
      </c>
    </row>
    <row r="128" spans="1:43" ht="16.2" hidden="1" x14ac:dyDescent="0.45">
      <c r="A128" s="55" t="s">
        <v>1085</v>
      </c>
      <c r="B128" s="56" t="s">
        <v>1086</v>
      </c>
      <c r="C128" s="55">
        <v>2017</v>
      </c>
      <c r="D128" s="55" t="s">
        <v>87</v>
      </c>
      <c r="E128" s="55" t="s">
        <v>1087</v>
      </c>
      <c r="F128" s="57" t="s">
        <v>1848</v>
      </c>
      <c r="G128" s="56" t="s">
        <v>589</v>
      </c>
      <c r="H128" s="55" t="s">
        <v>256</v>
      </c>
      <c r="I128" s="55" t="s">
        <v>676</v>
      </c>
      <c r="J128" s="57" t="s">
        <v>75</v>
      </c>
      <c r="K128" s="55" t="s">
        <v>104</v>
      </c>
      <c r="L128" s="63">
        <v>1706070</v>
      </c>
      <c r="M128" s="63">
        <v>1337737.3876770118</v>
      </c>
      <c r="N128" s="63">
        <v>1798360.5023758372</v>
      </c>
      <c r="O128" s="63">
        <v>903213.58</v>
      </c>
      <c r="P128" s="63">
        <v>903213.58</v>
      </c>
      <c r="Q128" s="63">
        <v>1214217.1120014</v>
      </c>
      <c r="R128" s="63">
        <v>0</v>
      </c>
      <c r="S128" s="63">
        <v>0</v>
      </c>
      <c r="T128" s="63">
        <v>0</v>
      </c>
      <c r="U128" s="55" t="s">
        <v>81</v>
      </c>
      <c r="V128" s="55" t="s">
        <v>78</v>
      </c>
      <c r="W128" s="55" t="s">
        <v>81</v>
      </c>
      <c r="X128" s="59" t="s">
        <v>78</v>
      </c>
      <c r="Y128" s="59" t="s">
        <v>81</v>
      </c>
      <c r="Z128" s="55">
        <v>0</v>
      </c>
      <c r="AA128" s="55" t="s">
        <v>78</v>
      </c>
      <c r="AB128" s="55">
        <v>0</v>
      </c>
      <c r="AC128" s="55" t="s">
        <v>78</v>
      </c>
      <c r="AD128" s="55">
        <v>0</v>
      </c>
      <c r="AE128" s="55" t="s">
        <v>78</v>
      </c>
      <c r="AF128" s="55">
        <v>0</v>
      </c>
      <c r="AG128" s="55" t="s">
        <v>81</v>
      </c>
      <c r="AH128" s="55" t="s">
        <v>78</v>
      </c>
      <c r="AI128" s="59" t="s">
        <v>81</v>
      </c>
      <c r="AJ128" s="55" t="s">
        <v>78</v>
      </c>
      <c r="AK128" s="55" t="s">
        <v>78</v>
      </c>
      <c r="AL128" s="55" t="s">
        <v>81</v>
      </c>
      <c r="AM128" s="55" t="s">
        <v>81</v>
      </c>
      <c r="AN128" s="55" t="s">
        <v>78</v>
      </c>
      <c r="AO128" s="60" t="s">
        <v>81</v>
      </c>
      <c r="AP128" s="58" t="s">
        <v>104</v>
      </c>
      <c r="AQ128" s="55" t="s">
        <v>256</v>
      </c>
    </row>
    <row r="129" spans="1:43" ht="16.2" hidden="1" x14ac:dyDescent="0.45">
      <c r="A129" s="55" t="s">
        <v>1088</v>
      </c>
      <c r="B129" s="56" t="s">
        <v>1089</v>
      </c>
      <c r="C129" s="55">
        <v>2017</v>
      </c>
      <c r="D129" s="55" t="s">
        <v>87</v>
      </c>
      <c r="E129" s="55" t="s">
        <v>1090</v>
      </c>
      <c r="F129" s="57" t="s">
        <v>1848</v>
      </c>
      <c r="G129" s="56" t="s">
        <v>599</v>
      </c>
      <c r="H129" s="55" t="s">
        <v>101</v>
      </c>
      <c r="I129" s="55" t="s">
        <v>676</v>
      </c>
      <c r="J129" s="57" t="s">
        <v>81</v>
      </c>
      <c r="K129" s="55" t="s">
        <v>74</v>
      </c>
      <c r="L129" s="63">
        <v>479000</v>
      </c>
      <c r="M129" s="63">
        <v>479000</v>
      </c>
      <c r="N129" s="63">
        <v>643934.07000000007</v>
      </c>
      <c r="O129" s="63">
        <v>479000</v>
      </c>
      <c r="P129" s="63">
        <v>479000</v>
      </c>
      <c r="Q129" s="63">
        <v>643934.07000000007</v>
      </c>
      <c r="R129" s="63">
        <v>479000</v>
      </c>
      <c r="S129" s="63">
        <v>479000</v>
      </c>
      <c r="T129" s="63">
        <v>643934.07000000007</v>
      </c>
      <c r="U129" s="55" t="s">
        <v>81</v>
      </c>
      <c r="V129" s="55" t="s">
        <v>78</v>
      </c>
      <c r="W129" s="55" t="s">
        <v>81</v>
      </c>
      <c r="X129" s="59" t="s">
        <v>78</v>
      </c>
      <c r="Y129" s="59" t="s">
        <v>81</v>
      </c>
      <c r="Z129" s="55">
        <v>0</v>
      </c>
      <c r="AA129" s="55" t="s">
        <v>78</v>
      </c>
      <c r="AB129" s="55">
        <v>0</v>
      </c>
      <c r="AC129" s="55" t="s">
        <v>78</v>
      </c>
      <c r="AD129" s="55">
        <v>0</v>
      </c>
      <c r="AE129" s="55" t="s">
        <v>78</v>
      </c>
      <c r="AF129" s="55">
        <v>0</v>
      </c>
      <c r="AG129" s="55" t="s">
        <v>81</v>
      </c>
      <c r="AH129" s="55" t="s">
        <v>78</v>
      </c>
      <c r="AI129" s="59" t="s">
        <v>81</v>
      </c>
      <c r="AJ129" s="55" t="s">
        <v>78</v>
      </c>
      <c r="AK129" s="55" t="s">
        <v>78</v>
      </c>
      <c r="AL129" s="55" t="s">
        <v>81</v>
      </c>
      <c r="AM129" s="55" t="s">
        <v>81</v>
      </c>
      <c r="AN129" s="55" t="s">
        <v>78</v>
      </c>
      <c r="AO129" s="60" t="s">
        <v>81</v>
      </c>
      <c r="AP129" s="58" t="s">
        <v>74</v>
      </c>
      <c r="AQ129" s="55" t="s">
        <v>101</v>
      </c>
    </row>
    <row r="130" spans="1:43" ht="16.2" hidden="1" x14ac:dyDescent="0.45">
      <c r="A130" s="55" t="s">
        <v>1091</v>
      </c>
      <c r="B130" s="56" t="s">
        <v>1092</v>
      </c>
      <c r="C130" s="55">
        <v>2017</v>
      </c>
      <c r="D130" s="55" t="s">
        <v>371</v>
      </c>
      <c r="E130" s="56" t="s">
        <v>78</v>
      </c>
      <c r="F130" s="57" t="s">
        <v>542</v>
      </c>
      <c r="G130" s="56" t="s">
        <v>599</v>
      </c>
      <c r="H130" s="56" t="s">
        <v>101</v>
      </c>
      <c r="I130" s="56" t="s">
        <v>676</v>
      </c>
      <c r="J130" s="61" t="s">
        <v>81</v>
      </c>
      <c r="K130" s="55" t="s">
        <v>74</v>
      </c>
      <c r="L130" s="63">
        <v>1256450</v>
      </c>
      <c r="M130" s="63">
        <v>1256450</v>
      </c>
      <c r="N130" s="63">
        <v>1689083.4284999999</v>
      </c>
      <c r="O130" s="63">
        <v>1256450</v>
      </c>
      <c r="P130" s="63">
        <v>1256450</v>
      </c>
      <c r="Q130" s="63">
        <v>1689083.4284999999</v>
      </c>
      <c r="R130" s="63">
        <v>1256450</v>
      </c>
      <c r="S130" s="63">
        <v>1256450</v>
      </c>
      <c r="T130" s="63">
        <v>1689083.4284999999</v>
      </c>
      <c r="U130" s="55" t="s">
        <v>81</v>
      </c>
      <c r="V130" s="55" t="s">
        <v>78</v>
      </c>
      <c r="W130" s="55" t="s">
        <v>81</v>
      </c>
      <c r="X130" s="59" t="s">
        <v>78</v>
      </c>
      <c r="Y130" s="59" t="s">
        <v>81</v>
      </c>
      <c r="Z130" s="55">
        <v>0</v>
      </c>
      <c r="AA130" s="55" t="s">
        <v>78</v>
      </c>
      <c r="AB130" s="55">
        <v>0</v>
      </c>
      <c r="AC130" s="55" t="s">
        <v>78</v>
      </c>
      <c r="AD130" s="55">
        <v>0</v>
      </c>
      <c r="AE130" s="55" t="s">
        <v>78</v>
      </c>
      <c r="AF130" s="55">
        <v>0</v>
      </c>
      <c r="AG130" s="55" t="s">
        <v>81</v>
      </c>
      <c r="AH130" s="55" t="s">
        <v>78</v>
      </c>
      <c r="AI130" s="59" t="s">
        <v>81</v>
      </c>
      <c r="AJ130" s="55" t="s">
        <v>78</v>
      </c>
      <c r="AK130" s="55" t="s">
        <v>78</v>
      </c>
      <c r="AL130" s="55" t="s">
        <v>81</v>
      </c>
      <c r="AM130" s="55" t="s">
        <v>81</v>
      </c>
      <c r="AN130" s="55" t="s">
        <v>78</v>
      </c>
      <c r="AO130" s="60" t="s">
        <v>81</v>
      </c>
      <c r="AP130" s="58" t="s">
        <v>74</v>
      </c>
      <c r="AQ130" s="56" t="s">
        <v>101</v>
      </c>
    </row>
    <row r="131" spans="1:43" ht="16.2" hidden="1" x14ac:dyDescent="0.45">
      <c r="A131" s="55" t="s">
        <v>1093</v>
      </c>
      <c r="B131" s="55" t="s">
        <v>1094</v>
      </c>
      <c r="C131" s="55">
        <v>2016</v>
      </c>
      <c r="D131" s="55" t="s">
        <v>497</v>
      </c>
      <c r="E131" s="56" t="s">
        <v>78</v>
      </c>
      <c r="F131" s="57" t="s">
        <v>538</v>
      </c>
      <c r="G131" s="56" t="s">
        <v>597</v>
      </c>
      <c r="H131" s="55" t="s">
        <v>101</v>
      </c>
      <c r="I131" s="55" t="s">
        <v>676</v>
      </c>
      <c r="J131" s="57" t="s">
        <v>81</v>
      </c>
      <c r="K131" s="55" t="s">
        <v>74</v>
      </c>
      <c r="L131" s="63">
        <v>35000000</v>
      </c>
      <c r="M131" s="63">
        <v>35000000</v>
      </c>
      <c r="N131" s="63">
        <v>48500550</v>
      </c>
      <c r="O131" s="63">
        <v>35000000</v>
      </c>
      <c r="P131" s="63">
        <v>35000000</v>
      </c>
      <c r="Q131" s="63">
        <v>48500550</v>
      </c>
      <c r="R131" s="63">
        <v>35000000</v>
      </c>
      <c r="S131" s="63">
        <v>35000000</v>
      </c>
      <c r="T131" s="63">
        <v>48500550</v>
      </c>
      <c r="U131" s="55" t="s">
        <v>81</v>
      </c>
      <c r="V131" s="55" t="s">
        <v>78</v>
      </c>
      <c r="W131" s="55" t="s">
        <v>81</v>
      </c>
      <c r="X131" s="59" t="s">
        <v>78</v>
      </c>
      <c r="Y131" s="59" t="s">
        <v>81</v>
      </c>
      <c r="Z131" s="55">
        <v>0</v>
      </c>
      <c r="AA131" s="55" t="s">
        <v>78</v>
      </c>
      <c r="AB131" s="55">
        <v>0</v>
      </c>
      <c r="AC131" s="55" t="s">
        <v>78</v>
      </c>
      <c r="AD131" s="55">
        <v>0</v>
      </c>
      <c r="AE131" s="55" t="s">
        <v>78</v>
      </c>
      <c r="AF131" s="55">
        <v>0</v>
      </c>
      <c r="AG131" s="55" t="s">
        <v>81</v>
      </c>
      <c r="AH131" s="55" t="s">
        <v>78</v>
      </c>
      <c r="AI131" s="59" t="s">
        <v>81</v>
      </c>
      <c r="AJ131" s="55" t="s">
        <v>78</v>
      </c>
      <c r="AK131" s="55" t="s">
        <v>78</v>
      </c>
      <c r="AL131" s="55" t="s">
        <v>81</v>
      </c>
      <c r="AM131" s="55" t="s">
        <v>81</v>
      </c>
      <c r="AN131" s="55" t="s">
        <v>78</v>
      </c>
      <c r="AO131" s="60" t="s">
        <v>81</v>
      </c>
      <c r="AP131" s="58" t="s">
        <v>74</v>
      </c>
      <c r="AQ131" s="55" t="s">
        <v>101</v>
      </c>
    </row>
    <row r="132" spans="1:43" ht="16.2" hidden="1" x14ac:dyDescent="0.45">
      <c r="A132" s="55" t="s">
        <v>1095</v>
      </c>
      <c r="B132" s="56" t="s">
        <v>1096</v>
      </c>
      <c r="C132" s="55">
        <v>2016</v>
      </c>
      <c r="D132" s="55" t="s">
        <v>396</v>
      </c>
      <c r="E132" s="56" t="s">
        <v>78</v>
      </c>
      <c r="F132" s="57" t="s">
        <v>545</v>
      </c>
      <c r="G132" s="56" t="s">
        <v>599</v>
      </c>
      <c r="H132" s="55" t="s">
        <v>101</v>
      </c>
      <c r="I132" s="55" t="s">
        <v>676</v>
      </c>
      <c r="J132" s="57" t="s">
        <v>81</v>
      </c>
      <c r="K132" s="55" t="s">
        <v>74</v>
      </c>
      <c r="L132" s="63">
        <v>7220000</v>
      </c>
      <c r="M132" s="63">
        <v>7220000</v>
      </c>
      <c r="N132" s="63">
        <v>10004970.6</v>
      </c>
      <c r="O132" s="63">
        <v>7220000</v>
      </c>
      <c r="P132" s="63">
        <v>7220000</v>
      </c>
      <c r="Q132" s="63">
        <v>10004970.6</v>
      </c>
      <c r="R132" s="63">
        <v>7220000</v>
      </c>
      <c r="S132" s="63">
        <v>7220000</v>
      </c>
      <c r="T132" s="63">
        <v>10004970.6</v>
      </c>
      <c r="U132" s="55" t="s">
        <v>81</v>
      </c>
      <c r="V132" s="55" t="s">
        <v>78</v>
      </c>
      <c r="W132" s="55" t="s">
        <v>81</v>
      </c>
      <c r="X132" s="59" t="s">
        <v>78</v>
      </c>
      <c r="Y132" s="59" t="s">
        <v>81</v>
      </c>
      <c r="Z132" s="55">
        <v>0</v>
      </c>
      <c r="AA132" s="55" t="s">
        <v>78</v>
      </c>
      <c r="AB132" s="55">
        <v>0</v>
      </c>
      <c r="AC132" s="55" t="s">
        <v>78</v>
      </c>
      <c r="AD132" s="55">
        <v>0</v>
      </c>
      <c r="AE132" s="55" t="s">
        <v>78</v>
      </c>
      <c r="AF132" s="55">
        <v>0</v>
      </c>
      <c r="AG132" s="55" t="s">
        <v>81</v>
      </c>
      <c r="AH132" s="55" t="s">
        <v>78</v>
      </c>
      <c r="AI132" s="59" t="s">
        <v>81</v>
      </c>
      <c r="AJ132" s="55" t="s">
        <v>78</v>
      </c>
      <c r="AK132" s="55" t="s">
        <v>78</v>
      </c>
      <c r="AL132" s="55" t="s">
        <v>81</v>
      </c>
      <c r="AM132" s="55" t="s">
        <v>81</v>
      </c>
      <c r="AN132" s="55" t="s">
        <v>78</v>
      </c>
      <c r="AO132" s="60" t="s">
        <v>81</v>
      </c>
      <c r="AP132" s="58" t="s">
        <v>74</v>
      </c>
      <c r="AQ132" s="55" t="s">
        <v>101</v>
      </c>
    </row>
    <row r="133" spans="1:43" ht="16.2" hidden="1" x14ac:dyDescent="0.45">
      <c r="A133" s="55" t="s">
        <v>1097</v>
      </c>
      <c r="B133" s="55" t="s">
        <v>1098</v>
      </c>
      <c r="C133" s="55">
        <v>2016</v>
      </c>
      <c r="D133" s="55" t="s">
        <v>509</v>
      </c>
      <c r="E133" s="56" t="s">
        <v>78</v>
      </c>
      <c r="F133" s="57" t="s">
        <v>560</v>
      </c>
      <c r="G133" s="56" t="s">
        <v>587</v>
      </c>
      <c r="H133" s="55" t="s">
        <v>256</v>
      </c>
      <c r="I133" s="55" t="s">
        <v>676</v>
      </c>
      <c r="J133" s="57" t="s">
        <v>81</v>
      </c>
      <c r="K133" s="55" t="s">
        <v>74</v>
      </c>
      <c r="L133" s="63">
        <v>7589000</v>
      </c>
      <c r="M133" s="63">
        <v>7589000</v>
      </c>
      <c r="N133" s="63">
        <v>10516304.969999999</v>
      </c>
      <c r="O133" s="63">
        <v>7589000</v>
      </c>
      <c r="P133" s="63">
        <v>7589000</v>
      </c>
      <c r="Q133" s="63">
        <v>10516304.969999999</v>
      </c>
      <c r="R133" s="63">
        <v>7589000</v>
      </c>
      <c r="S133" s="63">
        <v>7589000</v>
      </c>
      <c r="T133" s="63">
        <v>10516304.969999999</v>
      </c>
      <c r="U133" s="55" t="s">
        <v>81</v>
      </c>
      <c r="V133" s="55" t="s">
        <v>78</v>
      </c>
      <c r="W133" s="55" t="s">
        <v>81</v>
      </c>
      <c r="X133" s="59" t="s">
        <v>78</v>
      </c>
      <c r="Y133" s="59" t="s">
        <v>81</v>
      </c>
      <c r="Z133" s="55">
        <v>0</v>
      </c>
      <c r="AA133" s="55" t="s">
        <v>78</v>
      </c>
      <c r="AB133" s="55">
        <v>0</v>
      </c>
      <c r="AC133" s="55" t="s">
        <v>78</v>
      </c>
      <c r="AD133" s="55">
        <v>0</v>
      </c>
      <c r="AE133" s="55" t="s">
        <v>78</v>
      </c>
      <c r="AF133" s="55">
        <v>0</v>
      </c>
      <c r="AG133" s="55" t="s">
        <v>81</v>
      </c>
      <c r="AH133" s="55" t="s">
        <v>78</v>
      </c>
      <c r="AI133" s="59" t="s">
        <v>81</v>
      </c>
      <c r="AJ133" s="55" t="s">
        <v>78</v>
      </c>
      <c r="AK133" s="55" t="s">
        <v>78</v>
      </c>
      <c r="AL133" s="55" t="s">
        <v>81</v>
      </c>
      <c r="AM133" s="55" t="s">
        <v>81</v>
      </c>
      <c r="AN133" s="55" t="s">
        <v>78</v>
      </c>
      <c r="AO133" s="60" t="s">
        <v>81</v>
      </c>
      <c r="AP133" s="58" t="s">
        <v>74</v>
      </c>
      <c r="AQ133" s="55" t="s">
        <v>256</v>
      </c>
    </row>
    <row r="134" spans="1:43" ht="13.2" hidden="1" x14ac:dyDescent="0.25">
      <c r="A134" s="90" t="s">
        <v>1099</v>
      </c>
      <c r="B134" s="90" t="s">
        <v>1100</v>
      </c>
      <c r="C134" s="90">
        <v>2016</v>
      </c>
      <c r="D134" s="90" t="s">
        <v>87</v>
      </c>
      <c r="E134" s="91" t="s">
        <v>1101</v>
      </c>
      <c r="F134" s="90" t="s">
        <v>1848</v>
      </c>
      <c r="G134" s="91" t="s">
        <v>585</v>
      </c>
      <c r="H134" s="90" t="s">
        <v>228</v>
      </c>
      <c r="I134" s="90" t="s">
        <v>679</v>
      </c>
      <c r="J134" s="90" t="s">
        <v>75</v>
      </c>
      <c r="K134" s="90" t="s">
        <v>126</v>
      </c>
      <c r="L134" s="92">
        <v>2577778</v>
      </c>
      <c r="M134" s="92">
        <v>1860231.0695445724</v>
      </c>
      <c r="N134" s="92">
        <v>2577778</v>
      </c>
      <c r="O134" s="92">
        <v>2013466.5</v>
      </c>
      <c r="P134" s="92">
        <v>2013466.5</v>
      </c>
      <c r="Q134" s="92">
        <v>2790120.9330449998</v>
      </c>
      <c r="R134" s="92">
        <v>0</v>
      </c>
      <c r="S134" s="92">
        <v>0</v>
      </c>
      <c r="T134" s="92">
        <v>0</v>
      </c>
      <c r="U134" s="90" t="s">
        <v>81</v>
      </c>
      <c r="V134" s="90" t="s">
        <v>78</v>
      </c>
      <c r="W134" s="90" t="s">
        <v>81</v>
      </c>
      <c r="X134" s="93" t="s">
        <v>78</v>
      </c>
      <c r="Y134" s="93" t="s">
        <v>81</v>
      </c>
      <c r="Z134" s="90">
        <v>0</v>
      </c>
      <c r="AA134" s="90" t="s">
        <v>78</v>
      </c>
      <c r="AB134" s="90">
        <v>0</v>
      </c>
      <c r="AC134" s="90" t="s">
        <v>78</v>
      </c>
      <c r="AD134" s="90">
        <v>0</v>
      </c>
      <c r="AE134" s="90" t="s">
        <v>78</v>
      </c>
      <c r="AF134" s="90">
        <v>0</v>
      </c>
      <c r="AG134" s="90" t="s">
        <v>81</v>
      </c>
      <c r="AH134" s="90" t="s">
        <v>78</v>
      </c>
      <c r="AI134" s="93" t="s">
        <v>81</v>
      </c>
      <c r="AJ134" s="90" t="s">
        <v>78</v>
      </c>
      <c r="AK134" s="90" t="s">
        <v>78</v>
      </c>
      <c r="AL134" s="90" t="s">
        <v>81</v>
      </c>
      <c r="AM134" s="90" t="s">
        <v>81</v>
      </c>
      <c r="AN134" s="90" t="s">
        <v>78</v>
      </c>
      <c r="AO134" s="79" t="s">
        <v>81</v>
      </c>
      <c r="AP134" s="94" t="s">
        <v>126</v>
      </c>
      <c r="AQ134" s="90" t="s">
        <v>228</v>
      </c>
    </row>
    <row r="135" spans="1:43" ht="13.2" hidden="1" x14ac:dyDescent="0.25">
      <c r="A135" s="90" t="s">
        <v>1102</v>
      </c>
      <c r="B135" s="90" t="s">
        <v>1103</v>
      </c>
      <c r="C135" s="90">
        <v>2016</v>
      </c>
      <c r="D135" s="90" t="s">
        <v>87</v>
      </c>
      <c r="E135" s="91" t="s">
        <v>1101</v>
      </c>
      <c r="F135" s="90" t="s">
        <v>1848</v>
      </c>
      <c r="G135" s="91" t="s">
        <v>585</v>
      </c>
      <c r="H135" s="90" t="s">
        <v>228</v>
      </c>
      <c r="I135" s="90" t="s">
        <v>679</v>
      </c>
      <c r="J135" s="90" t="s">
        <v>75</v>
      </c>
      <c r="K135" s="90" t="s">
        <v>126</v>
      </c>
      <c r="L135" s="92">
        <v>5484000</v>
      </c>
      <c r="M135" s="92">
        <v>3957480.8945465568</v>
      </c>
      <c r="N135" s="92">
        <v>5484000</v>
      </c>
      <c r="O135" s="92">
        <v>3966181.86</v>
      </c>
      <c r="P135" s="92">
        <v>3966181.86</v>
      </c>
      <c r="Q135" s="92">
        <v>5496057.1888577994</v>
      </c>
      <c r="R135" s="92">
        <v>0</v>
      </c>
      <c r="S135" s="92">
        <v>0</v>
      </c>
      <c r="T135" s="92">
        <v>0</v>
      </c>
      <c r="U135" s="90" t="s">
        <v>81</v>
      </c>
      <c r="V135" s="90" t="s">
        <v>78</v>
      </c>
      <c r="W135" s="90" t="s">
        <v>81</v>
      </c>
      <c r="X135" s="93" t="s">
        <v>78</v>
      </c>
      <c r="Y135" s="93" t="s">
        <v>81</v>
      </c>
      <c r="Z135" s="90">
        <v>0</v>
      </c>
      <c r="AA135" s="90" t="s">
        <v>78</v>
      </c>
      <c r="AB135" s="90">
        <v>0</v>
      </c>
      <c r="AC135" s="90" t="s">
        <v>78</v>
      </c>
      <c r="AD135" s="90">
        <v>0</v>
      </c>
      <c r="AE135" s="90" t="s">
        <v>78</v>
      </c>
      <c r="AF135" s="90">
        <v>0</v>
      </c>
      <c r="AG135" s="90" t="s">
        <v>81</v>
      </c>
      <c r="AH135" s="90" t="s">
        <v>78</v>
      </c>
      <c r="AI135" s="93" t="s">
        <v>81</v>
      </c>
      <c r="AJ135" s="90" t="s">
        <v>78</v>
      </c>
      <c r="AK135" s="90" t="s">
        <v>78</v>
      </c>
      <c r="AL135" s="90" t="s">
        <v>81</v>
      </c>
      <c r="AM135" s="90" t="s">
        <v>81</v>
      </c>
      <c r="AN135" s="90" t="s">
        <v>78</v>
      </c>
      <c r="AO135" s="79" t="s">
        <v>81</v>
      </c>
      <c r="AP135" s="94" t="s">
        <v>126</v>
      </c>
      <c r="AQ135" s="90" t="s">
        <v>228</v>
      </c>
    </row>
    <row r="136" spans="1:43" ht="16.2" hidden="1" x14ac:dyDescent="0.45">
      <c r="A136" s="55" t="s">
        <v>1104</v>
      </c>
      <c r="B136" s="55" t="s">
        <v>1105</v>
      </c>
      <c r="C136" s="55">
        <v>2016</v>
      </c>
      <c r="D136" s="55" t="s">
        <v>184</v>
      </c>
      <c r="E136" s="56" t="s">
        <v>78</v>
      </c>
      <c r="F136" s="57" t="s">
        <v>554</v>
      </c>
      <c r="G136" s="56" t="s">
        <v>115</v>
      </c>
      <c r="H136" s="55" t="s">
        <v>115</v>
      </c>
      <c r="I136" s="55" t="s">
        <v>676</v>
      </c>
      <c r="J136" s="57" t="s">
        <v>81</v>
      </c>
      <c r="K136" s="55" t="s">
        <v>74</v>
      </c>
      <c r="L136" s="63">
        <v>197375833</v>
      </c>
      <c r="M136" s="63">
        <v>197375833</v>
      </c>
      <c r="N136" s="63">
        <v>273509613.06308997</v>
      </c>
      <c r="O136" s="63">
        <v>184353167.5</v>
      </c>
      <c r="P136" s="63">
        <v>184353167.5</v>
      </c>
      <c r="Q136" s="63">
        <v>255463714.79977497</v>
      </c>
      <c r="R136" s="63">
        <v>180252117.59999999</v>
      </c>
      <c r="S136" s="63">
        <v>180252117.59999999</v>
      </c>
      <c r="T136" s="63">
        <v>249780766.92184797</v>
      </c>
      <c r="U136" s="55" t="s">
        <v>75</v>
      </c>
      <c r="V136" s="55" t="s">
        <v>1106</v>
      </c>
      <c r="W136" s="55" t="s">
        <v>81</v>
      </c>
      <c r="X136" s="59" t="s">
        <v>78</v>
      </c>
      <c r="Y136" s="59" t="s">
        <v>81</v>
      </c>
      <c r="Z136" s="55">
        <v>0</v>
      </c>
      <c r="AA136" s="55" t="s">
        <v>78</v>
      </c>
      <c r="AB136" s="55">
        <v>0</v>
      </c>
      <c r="AC136" s="55" t="s">
        <v>78</v>
      </c>
      <c r="AD136" s="55">
        <v>0</v>
      </c>
      <c r="AE136" s="55" t="s">
        <v>78</v>
      </c>
      <c r="AF136" s="55">
        <v>0</v>
      </c>
      <c r="AG136" s="55" t="s">
        <v>75</v>
      </c>
      <c r="AH136" s="55" t="s">
        <v>1107</v>
      </c>
      <c r="AI136" s="59" t="s">
        <v>75</v>
      </c>
      <c r="AJ136" s="55" t="s">
        <v>466</v>
      </c>
      <c r="AK136" s="55" t="s">
        <v>1108</v>
      </c>
      <c r="AL136" s="55" t="s">
        <v>81</v>
      </c>
      <c r="AM136" s="55" t="s">
        <v>81</v>
      </c>
      <c r="AN136" s="55" t="s">
        <v>78</v>
      </c>
      <c r="AO136" s="60" t="s">
        <v>81</v>
      </c>
      <c r="AP136" s="58" t="s">
        <v>74</v>
      </c>
      <c r="AQ136" s="55" t="s">
        <v>115</v>
      </c>
    </row>
    <row r="137" spans="1:43" ht="13.2" hidden="1" x14ac:dyDescent="0.25">
      <c r="A137" s="90" t="s">
        <v>1109</v>
      </c>
      <c r="B137" s="90" t="s">
        <v>1110</v>
      </c>
      <c r="C137" s="90">
        <v>2016</v>
      </c>
      <c r="D137" s="90" t="s">
        <v>184</v>
      </c>
      <c r="E137" s="91" t="s">
        <v>78</v>
      </c>
      <c r="F137" s="90" t="s">
        <v>554</v>
      </c>
      <c r="G137" s="91" t="s">
        <v>584</v>
      </c>
      <c r="H137" s="90" t="s">
        <v>228</v>
      </c>
      <c r="I137" s="90" t="s">
        <v>679</v>
      </c>
      <c r="J137" s="90" t="s">
        <v>81</v>
      </c>
      <c r="K137" s="90" t="s">
        <v>126</v>
      </c>
      <c r="L137" s="92">
        <v>280000000</v>
      </c>
      <c r="M137" s="92">
        <v>202059564.27298248</v>
      </c>
      <c r="N137" s="92">
        <v>280000000</v>
      </c>
      <c r="O137" s="92">
        <v>202503815</v>
      </c>
      <c r="P137" s="92">
        <v>202503815</v>
      </c>
      <c r="Q137" s="92">
        <v>280615611.55994999</v>
      </c>
      <c r="R137" s="92">
        <v>180806977.69999999</v>
      </c>
      <c r="S137" s="92">
        <v>180806977.69999999</v>
      </c>
      <c r="T137" s="92">
        <v>250549653.20822096</v>
      </c>
      <c r="U137" s="90" t="s">
        <v>81</v>
      </c>
      <c r="V137" s="90" t="s">
        <v>78</v>
      </c>
      <c r="W137" s="90" t="s">
        <v>81</v>
      </c>
      <c r="X137" s="93" t="s">
        <v>78</v>
      </c>
      <c r="Y137" s="93" t="s">
        <v>81</v>
      </c>
      <c r="Z137" s="90">
        <v>0</v>
      </c>
      <c r="AA137" s="90" t="s">
        <v>78</v>
      </c>
      <c r="AB137" s="90">
        <v>0</v>
      </c>
      <c r="AC137" s="90" t="s">
        <v>78</v>
      </c>
      <c r="AD137" s="90">
        <v>0</v>
      </c>
      <c r="AE137" s="90" t="s">
        <v>78</v>
      </c>
      <c r="AF137" s="90">
        <v>0</v>
      </c>
      <c r="AG137" s="90" t="s">
        <v>81</v>
      </c>
      <c r="AH137" s="90" t="s">
        <v>78</v>
      </c>
      <c r="AI137" s="93" t="s">
        <v>81</v>
      </c>
      <c r="AJ137" s="90" t="s">
        <v>78</v>
      </c>
      <c r="AK137" s="90" t="s">
        <v>78</v>
      </c>
      <c r="AL137" s="90" t="s">
        <v>81</v>
      </c>
      <c r="AM137" s="90" t="s">
        <v>81</v>
      </c>
      <c r="AN137" s="90" t="s">
        <v>78</v>
      </c>
      <c r="AO137" s="79" t="s">
        <v>81</v>
      </c>
      <c r="AP137" s="94" t="s">
        <v>126</v>
      </c>
      <c r="AQ137" s="90" t="s">
        <v>228</v>
      </c>
    </row>
    <row r="138" spans="1:43" ht="16.2" hidden="1" x14ac:dyDescent="0.45">
      <c r="A138" s="55" t="s">
        <v>1111</v>
      </c>
      <c r="B138" s="55" t="s">
        <v>1112</v>
      </c>
      <c r="C138" s="55">
        <v>2016</v>
      </c>
      <c r="D138" s="55" t="s">
        <v>226</v>
      </c>
      <c r="E138" s="56" t="s">
        <v>78</v>
      </c>
      <c r="F138" s="57" t="s">
        <v>534</v>
      </c>
      <c r="G138" s="55" t="s">
        <v>596</v>
      </c>
      <c r="H138" s="55" t="s">
        <v>101</v>
      </c>
      <c r="I138" s="55" t="s">
        <v>689</v>
      </c>
      <c r="J138" s="57" t="s">
        <v>81</v>
      </c>
      <c r="K138" s="55" t="s">
        <v>126</v>
      </c>
      <c r="L138" s="63">
        <v>500000000</v>
      </c>
      <c r="M138" s="63">
        <v>360820650.48746872</v>
      </c>
      <c r="N138" s="63">
        <v>500000000</v>
      </c>
      <c r="O138" s="63">
        <v>361613955.39999998</v>
      </c>
      <c r="P138" s="63">
        <v>361613955.39999998</v>
      </c>
      <c r="Q138" s="63">
        <v>501099306.41644192</v>
      </c>
      <c r="R138" s="63">
        <v>361613955.39999998</v>
      </c>
      <c r="S138" s="63">
        <v>361613955.39999998</v>
      </c>
      <c r="T138" s="63">
        <v>501099306.41644192</v>
      </c>
      <c r="U138" s="55" t="s">
        <v>81</v>
      </c>
      <c r="V138" s="55" t="s">
        <v>78</v>
      </c>
      <c r="W138" s="55" t="s">
        <v>81</v>
      </c>
      <c r="X138" s="59" t="s">
        <v>78</v>
      </c>
      <c r="Y138" s="59" t="s">
        <v>81</v>
      </c>
      <c r="Z138" s="55">
        <v>0</v>
      </c>
      <c r="AA138" s="55" t="s">
        <v>78</v>
      </c>
      <c r="AB138" s="55">
        <v>0</v>
      </c>
      <c r="AC138" s="55" t="s">
        <v>78</v>
      </c>
      <c r="AD138" s="55">
        <v>0</v>
      </c>
      <c r="AE138" s="55" t="s">
        <v>78</v>
      </c>
      <c r="AF138" s="55">
        <v>0</v>
      </c>
      <c r="AG138" s="55" t="s">
        <v>81</v>
      </c>
      <c r="AH138" s="55" t="s">
        <v>78</v>
      </c>
      <c r="AI138" s="59" t="s">
        <v>81</v>
      </c>
      <c r="AJ138" s="55" t="s">
        <v>78</v>
      </c>
      <c r="AK138" s="55" t="s">
        <v>78</v>
      </c>
      <c r="AL138" s="55" t="s">
        <v>81</v>
      </c>
      <c r="AM138" s="55" t="s">
        <v>81</v>
      </c>
      <c r="AN138" s="55" t="s">
        <v>78</v>
      </c>
      <c r="AO138" s="60" t="s">
        <v>81</v>
      </c>
      <c r="AP138" s="58" t="s">
        <v>126</v>
      </c>
      <c r="AQ138" s="55" t="s">
        <v>101</v>
      </c>
    </row>
    <row r="139" spans="1:43" ht="16.2" hidden="1" x14ac:dyDescent="0.45">
      <c r="A139" s="55" t="s">
        <v>1113</v>
      </c>
      <c r="B139" s="55" t="s">
        <v>1114</v>
      </c>
      <c r="C139" s="55">
        <v>2016</v>
      </c>
      <c r="D139" s="55" t="s">
        <v>297</v>
      </c>
      <c r="E139" s="56" t="s">
        <v>78</v>
      </c>
      <c r="F139" s="57" t="s">
        <v>566</v>
      </c>
      <c r="G139" s="56" t="s">
        <v>228</v>
      </c>
      <c r="H139" s="55" t="s">
        <v>228</v>
      </c>
      <c r="I139" s="55" t="s">
        <v>676</v>
      </c>
      <c r="J139" s="57" t="s">
        <v>81</v>
      </c>
      <c r="K139" s="55" t="s">
        <v>74</v>
      </c>
      <c r="L139" s="63">
        <v>263290000</v>
      </c>
      <c r="M139" s="63">
        <v>263290000</v>
      </c>
      <c r="N139" s="63">
        <v>364848851.69999999</v>
      </c>
      <c r="O139" s="63">
        <v>67270000</v>
      </c>
      <c r="P139" s="63">
        <v>67270000</v>
      </c>
      <c r="Q139" s="63">
        <v>93218057.099999994</v>
      </c>
      <c r="R139" s="63">
        <v>67270000</v>
      </c>
      <c r="S139" s="63">
        <v>67270000</v>
      </c>
      <c r="T139" s="63">
        <v>93218057.099999994</v>
      </c>
      <c r="U139" s="55" t="s">
        <v>81</v>
      </c>
      <c r="V139" s="55" t="s">
        <v>78</v>
      </c>
      <c r="W139" s="55" t="s">
        <v>81</v>
      </c>
      <c r="X139" s="59" t="s">
        <v>78</v>
      </c>
      <c r="Y139" s="59" t="s">
        <v>81</v>
      </c>
      <c r="Z139" s="55">
        <v>0</v>
      </c>
      <c r="AA139" s="55" t="s">
        <v>78</v>
      </c>
      <c r="AB139" s="55">
        <v>0</v>
      </c>
      <c r="AC139" s="55" t="s">
        <v>78</v>
      </c>
      <c r="AD139" s="55">
        <v>0</v>
      </c>
      <c r="AE139" s="55" t="s">
        <v>78</v>
      </c>
      <c r="AF139" s="55">
        <v>0</v>
      </c>
      <c r="AG139" s="55" t="s">
        <v>81</v>
      </c>
      <c r="AH139" s="55" t="s">
        <v>78</v>
      </c>
      <c r="AI139" s="59" t="s">
        <v>81</v>
      </c>
      <c r="AJ139" s="55" t="s">
        <v>78</v>
      </c>
      <c r="AK139" s="55" t="s">
        <v>78</v>
      </c>
      <c r="AL139" s="55" t="s">
        <v>81</v>
      </c>
      <c r="AM139" s="55" t="s">
        <v>81</v>
      </c>
      <c r="AN139" s="55" t="s">
        <v>78</v>
      </c>
      <c r="AO139" s="60" t="s">
        <v>81</v>
      </c>
      <c r="AP139" s="58" t="s">
        <v>74</v>
      </c>
      <c r="AQ139" s="55" t="s">
        <v>228</v>
      </c>
    </row>
    <row r="140" spans="1:43" ht="16.2" x14ac:dyDescent="0.45">
      <c r="A140" s="55" t="s">
        <v>1115</v>
      </c>
      <c r="B140" s="55" t="s">
        <v>1116</v>
      </c>
      <c r="C140" s="55">
        <v>2016</v>
      </c>
      <c r="D140" s="55" t="s">
        <v>501</v>
      </c>
      <c r="E140" s="56" t="s">
        <v>78</v>
      </c>
      <c r="F140" s="57" t="s">
        <v>551</v>
      </c>
      <c r="G140" s="56" t="s">
        <v>466</v>
      </c>
      <c r="H140" s="55" t="s">
        <v>466</v>
      </c>
      <c r="I140" s="55" t="s">
        <v>676</v>
      </c>
      <c r="J140" s="57" t="s">
        <v>81</v>
      </c>
      <c r="K140" s="55" t="s">
        <v>74</v>
      </c>
      <c r="L140" s="63">
        <v>9700071</v>
      </c>
      <c r="M140" s="63">
        <v>9700071</v>
      </c>
      <c r="N140" s="63">
        <v>13441679.386829998</v>
      </c>
      <c r="O140" s="63">
        <v>8770071</v>
      </c>
      <c r="P140" s="63">
        <v>8770071</v>
      </c>
      <c r="Q140" s="63">
        <v>12152950.48683</v>
      </c>
      <c r="R140" s="63">
        <v>8770071</v>
      </c>
      <c r="S140" s="63">
        <v>8770071</v>
      </c>
      <c r="T140" s="63">
        <v>12152950.48683</v>
      </c>
      <c r="U140" s="55" t="s">
        <v>81</v>
      </c>
      <c r="V140" s="55" t="s">
        <v>78</v>
      </c>
      <c r="W140" s="55" t="s">
        <v>81</v>
      </c>
      <c r="X140" s="59" t="s">
        <v>78</v>
      </c>
      <c r="Y140" s="59" t="s">
        <v>81</v>
      </c>
      <c r="Z140" s="55">
        <v>0</v>
      </c>
      <c r="AA140" s="55" t="s">
        <v>78</v>
      </c>
      <c r="AB140" s="55">
        <v>0</v>
      </c>
      <c r="AC140" s="55" t="s">
        <v>78</v>
      </c>
      <c r="AD140" s="55">
        <v>0</v>
      </c>
      <c r="AE140" s="55" t="s">
        <v>78</v>
      </c>
      <c r="AF140" s="55">
        <v>0</v>
      </c>
      <c r="AG140" s="55" t="s">
        <v>81</v>
      </c>
      <c r="AH140" s="55" t="s">
        <v>78</v>
      </c>
      <c r="AI140" s="59" t="s">
        <v>81</v>
      </c>
      <c r="AJ140" s="55" t="s">
        <v>78</v>
      </c>
      <c r="AK140" s="55" t="s">
        <v>78</v>
      </c>
      <c r="AL140" s="55" t="s">
        <v>81</v>
      </c>
      <c r="AM140" s="55" t="s">
        <v>81</v>
      </c>
      <c r="AN140" s="55" t="s">
        <v>78</v>
      </c>
      <c r="AO140" s="60" t="s">
        <v>81</v>
      </c>
      <c r="AP140" s="58" t="s">
        <v>74</v>
      </c>
      <c r="AQ140" s="55" t="s">
        <v>466</v>
      </c>
    </row>
    <row r="141" spans="1:43" ht="16.2" hidden="1" x14ac:dyDescent="0.45">
      <c r="A141" s="55" t="s">
        <v>1117</v>
      </c>
      <c r="B141" s="55" t="s">
        <v>1118</v>
      </c>
      <c r="C141" s="55">
        <v>2016</v>
      </c>
      <c r="D141" s="55" t="s">
        <v>509</v>
      </c>
      <c r="E141" s="56" t="s">
        <v>78</v>
      </c>
      <c r="F141" s="57" t="s">
        <v>560</v>
      </c>
      <c r="G141" s="56" t="s">
        <v>580</v>
      </c>
      <c r="H141" s="55" t="s">
        <v>115</v>
      </c>
      <c r="I141" s="55" t="s">
        <v>676</v>
      </c>
      <c r="J141" s="57" t="s">
        <v>81</v>
      </c>
      <c r="K141" s="55" t="s">
        <v>74</v>
      </c>
      <c r="L141" s="63">
        <v>6000000</v>
      </c>
      <c r="M141" s="63">
        <v>6000000</v>
      </c>
      <c r="N141" s="63">
        <v>8314379.9999999991</v>
      </c>
      <c r="O141" s="63">
        <v>5500000</v>
      </c>
      <c r="P141" s="63">
        <v>5500000</v>
      </c>
      <c r="Q141" s="63">
        <v>7621514.9999999991</v>
      </c>
      <c r="R141" s="63">
        <v>5500000</v>
      </c>
      <c r="S141" s="63">
        <v>5500000</v>
      </c>
      <c r="T141" s="63">
        <v>7621514.9999999991</v>
      </c>
      <c r="U141" s="55" t="s">
        <v>81</v>
      </c>
      <c r="V141" s="55" t="s">
        <v>78</v>
      </c>
      <c r="W141" s="55" t="s">
        <v>81</v>
      </c>
      <c r="X141" s="59" t="s">
        <v>78</v>
      </c>
      <c r="Y141" s="59" t="s">
        <v>81</v>
      </c>
      <c r="Z141" s="55">
        <v>0</v>
      </c>
      <c r="AA141" s="55" t="s">
        <v>78</v>
      </c>
      <c r="AB141" s="55">
        <v>0</v>
      </c>
      <c r="AC141" s="55" t="s">
        <v>78</v>
      </c>
      <c r="AD141" s="55">
        <v>0</v>
      </c>
      <c r="AE141" s="55" t="s">
        <v>78</v>
      </c>
      <c r="AF141" s="55">
        <v>0</v>
      </c>
      <c r="AG141" s="55" t="s">
        <v>81</v>
      </c>
      <c r="AH141" s="55" t="s">
        <v>78</v>
      </c>
      <c r="AI141" s="59" t="s">
        <v>81</v>
      </c>
      <c r="AJ141" s="55" t="s">
        <v>78</v>
      </c>
      <c r="AK141" s="55" t="s">
        <v>78</v>
      </c>
      <c r="AL141" s="55" t="s">
        <v>81</v>
      </c>
      <c r="AM141" s="55" t="s">
        <v>81</v>
      </c>
      <c r="AN141" s="55" t="s">
        <v>78</v>
      </c>
      <c r="AO141" s="60" t="s">
        <v>81</v>
      </c>
      <c r="AP141" s="58" t="s">
        <v>74</v>
      </c>
      <c r="AQ141" s="55" t="s">
        <v>115</v>
      </c>
    </row>
    <row r="142" spans="1:43" ht="16.2" hidden="1" x14ac:dyDescent="0.45">
      <c r="A142" s="55" t="s">
        <v>1119</v>
      </c>
      <c r="B142" s="55" t="s">
        <v>1120</v>
      </c>
      <c r="C142" s="55">
        <v>2016</v>
      </c>
      <c r="D142" s="55" t="s">
        <v>314</v>
      </c>
      <c r="E142" s="56" t="s">
        <v>78</v>
      </c>
      <c r="F142" s="57" t="s">
        <v>557</v>
      </c>
      <c r="G142" s="56" t="s">
        <v>585</v>
      </c>
      <c r="H142" s="55" t="s">
        <v>228</v>
      </c>
      <c r="I142" s="55" t="s">
        <v>676</v>
      </c>
      <c r="J142" s="57" t="s">
        <v>81</v>
      </c>
      <c r="K142" s="55" t="s">
        <v>74</v>
      </c>
      <c r="L142" s="63">
        <v>23250000</v>
      </c>
      <c r="M142" s="63">
        <v>23250000</v>
      </c>
      <c r="N142" s="63">
        <v>32218222.499999996</v>
      </c>
      <c r="O142" s="63">
        <v>20950000</v>
      </c>
      <c r="P142" s="63">
        <v>20950000</v>
      </c>
      <c r="Q142" s="63">
        <v>29031043.499999996</v>
      </c>
      <c r="R142" s="63">
        <v>20950000</v>
      </c>
      <c r="S142" s="63">
        <v>20950000</v>
      </c>
      <c r="T142" s="63">
        <v>29031043.499999996</v>
      </c>
      <c r="U142" s="55" t="s">
        <v>75</v>
      </c>
      <c r="V142" s="55" t="s">
        <v>1121</v>
      </c>
      <c r="W142" s="55" t="s">
        <v>75</v>
      </c>
      <c r="X142" s="59" t="s">
        <v>1122</v>
      </c>
      <c r="Y142" s="59" t="s">
        <v>81</v>
      </c>
      <c r="Z142" s="55">
        <v>0</v>
      </c>
      <c r="AA142" s="55" t="s">
        <v>78</v>
      </c>
      <c r="AB142" s="55">
        <v>0</v>
      </c>
      <c r="AC142" s="55" t="s">
        <v>78</v>
      </c>
      <c r="AD142" s="55">
        <v>0</v>
      </c>
      <c r="AE142" s="55" t="s">
        <v>78</v>
      </c>
      <c r="AF142" s="55">
        <v>0</v>
      </c>
      <c r="AG142" s="55" t="s">
        <v>75</v>
      </c>
      <c r="AH142" s="55" t="s">
        <v>1123</v>
      </c>
      <c r="AI142" s="59" t="s">
        <v>75</v>
      </c>
      <c r="AJ142" s="55" t="s">
        <v>795</v>
      </c>
      <c r="AK142" s="55" t="s">
        <v>934</v>
      </c>
      <c r="AL142" s="55" t="s">
        <v>75</v>
      </c>
      <c r="AM142" s="55" t="s">
        <v>81</v>
      </c>
      <c r="AN142" s="55" t="s">
        <v>78</v>
      </c>
      <c r="AO142" s="60" t="s">
        <v>81</v>
      </c>
      <c r="AP142" s="58" t="s">
        <v>74</v>
      </c>
      <c r="AQ142" s="55" t="s">
        <v>228</v>
      </c>
    </row>
    <row r="143" spans="1:43" ht="13.2" hidden="1" x14ac:dyDescent="0.25">
      <c r="A143" s="90" t="s">
        <v>1124</v>
      </c>
      <c r="B143" s="90" t="s">
        <v>1125</v>
      </c>
      <c r="C143" s="90">
        <v>2016</v>
      </c>
      <c r="D143" s="90" t="s">
        <v>254</v>
      </c>
      <c r="E143" s="91" t="s">
        <v>78</v>
      </c>
      <c r="F143" s="90" t="s">
        <v>555</v>
      </c>
      <c r="G143" s="91" t="s">
        <v>588</v>
      </c>
      <c r="H143" s="90" t="s">
        <v>256</v>
      </c>
      <c r="I143" s="90" t="s">
        <v>679</v>
      </c>
      <c r="J143" s="90" t="s">
        <v>75</v>
      </c>
      <c r="K143" s="90" t="s">
        <v>104</v>
      </c>
      <c r="L143" s="92">
        <v>2250614</v>
      </c>
      <c r="M143" s="92">
        <v>1768196.8526826049</v>
      </c>
      <c r="N143" s="92">
        <v>2450243.424667866</v>
      </c>
      <c r="O143" s="92">
        <v>1600142.72</v>
      </c>
      <c r="P143" s="92">
        <v>1600142.72</v>
      </c>
      <c r="Q143" s="92">
        <v>2217365.7713855999</v>
      </c>
      <c r="R143" s="92">
        <v>0</v>
      </c>
      <c r="S143" s="92">
        <v>0</v>
      </c>
      <c r="T143" s="92">
        <v>0</v>
      </c>
      <c r="U143" s="90" t="s">
        <v>81</v>
      </c>
      <c r="V143" s="90" t="s">
        <v>78</v>
      </c>
      <c r="W143" s="90" t="s">
        <v>81</v>
      </c>
      <c r="X143" s="93" t="s">
        <v>78</v>
      </c>
      <c r="Y143" s="93" t="s">
        <v>81</v>
      </c>
      <c r="Z143" s="90">
        <v>0</v>
      </c>
      <c r="AA143" s="90" t="s">
        <v>78</v>
      </c>
      <c r="AB143" s="90">
        <v>0</v>
      </c>
      <c r="AC143" s="90" t="s">
        <v>78</v>
      </c>
      <c r="AD143" s="90">
        <v>0</v>
      </c>
      <c r="AE143" s="90" t="s">
        <v>78</v>
      </c>
      <c r="AF143" s="90">
        <v>0</v>
      </c>
      <c r="AG143" s="90" t="s">
        <v>81</v>
      </c>
      <c r="AH143" s="90" t="s">
        <v>78</v>
      </c>
      <c r="AI143" s="93" t="s">
        <v>81</v>
      </c>
      <c r="AJ143" s="90" t="s">
        <v>78</v>
      </c>
      <c r="AK143" s="90" t="s">
        <v>78</v>
      </c>
      <c r="AL143" s="90" t="s">
        <v>81</v>
      </c>
      <c r="AM143" s="90" t="s">
        <v>81</v>
      </c>
      <c r="AN143" s="90" t="s">
        <v>78</v>
      </c>
      <c r="AO143" s="79" t="s">
        <v>81</v>
      </c>
      <c r="AP143" s="94" t="s">
        <v>104</v>
      </c>
      <c r="AQ143" s="90" t="s">
        <v>256</v>
      </c>
    </row>
    <row r="144" spans="1:43" ht="16.2" hidden="1" x14ac:dyDescent="0.45">
      <c r="A144" s="55" t="s">
        <v>1126</v>
      </c>
      <c r="B144" s="55" t="s">
        <v>1127</v>
      </c>
      <c r="C144" s="55">
        <v>2016</v>
      </c>
      <c r="D144" s="55" t="s">
        <v>496</v>
      </c>
      <c r="E144" s="56" t="s">
        <v>78</v>
      </c>
      <c r="F144" s="57" t="s">
        <v>535</v>
      </c>
      <c r="G144" s="56" t="s">
        <v>589</v>
      </c>
      <c r="H144" s="55" t="s">
        <v>256</v>
      </c>
      <c r="I144" s="55" t="s">
        <v>676</v>
      </c>
      <c r="J144" s="57" t="s">
        <v>81</v>
      </c>
      <c r="K144" s="55" t="s">
        <v>74</v>
      </c>
      <c r="L144" s="63">
        <v>467860.14</v>
      </c>
      <c r="M144" s="63">
        <v>467860.14</v>
      </c>
      <c r="N144" s="63">
        <v>648327.83180219994</v>
      </c>
      <c r="O144" s="63">
        <v>467860.14</v>
      </c>
      <c r="P144" s="63">
        <v>467860.14</v>
      </c>
      <c r="Q144" s="63">
        <v>648327.83180219994</v>
      </c>
      <c r="R144" s="63">
        <v>467860.14</v>
      </c>
      <c r="S144" s="63">
        <v>467860.14</v>
      </c>
      <c r="T144" s="63">
        <v>648327.83180219994</v>
      </c>
      <c r="U144" s="55" t="s">
        <v>81</v>
      </c>
      <c r="V144" s="55" t="s">
        <v>78</v>
      </c>
      <c r="W144" s="55" t="s">
        <v>81</v>
      </c>
      <c r="X144" s="59" t="s">
        <v>78</v>
      </c>
      <c r="Y144" s="59" t="s">
        <v>81</v>
      </c>
      <c r="Z144" s="55">
        <v>0</v>
      </c>
      <c r="AA144" s="55" t="s">
        <v>78</v>
      </c>
      <c r="AB144" s="55">
        <v>0</v>
      </c>
      <c r="AC144" s="55" t="s">
        <v>78</v>
      </c>
      <c r="AD144" s="55">
        <v>0</v>
      </c>
      <c r="AE144" s="55" t="s">
        <v>78</v>
      </c>
      <c r="AF144" s="55">
        <v>0</v>
      </c>
      <c r="AG144" s="55" t="s">
        <v>81</v>
      </c>
      <c r="AH144" s="55" t="s">
        <v>78</v>
      </c>
      <c r="AI144" s="59" t="s">
        <v>81</v>
      </c>
      <c r="AJ144" s="55" t="s">
        <v>78</v>
      </c>
      <c r="AK144" s="55" t="s">
        <v>78</v>
      </c>
      <c r="AL144" s="55" t="s">
        <v>81</v>
      </c>
      <c r="AM144" s="55" t="s">
        <v>81</v>
      </c>
      <c r="AN144" s="55" t="s">
        <v>78</v>
      </c>
      <c r="AO144" s="60" t="s">
        <v>81</v>
      </c>
      <c r="AP144" s="58" t="s">
        <v>74</v>
      </c>
      <c r="AQ144" s="55" t="s">
        <v>256</v>
      </c>
    </row>
    <row r="145" spans="1:43" ht="16.2" hidden="1" x14ac:dyDescent="0.45">
      <c r="A145" s="55" t="s">
        <v>1128</v>
      </c>
      <c r="B145" s="55" t="s">
        <v>1129</v>
      </c>
      <c r="C145" s="55">
        <v>2016</v>
      </c>
      <c r="D145" s="55" t="s">
        <v>516</v>
      </c>
      <c r="E145" s="56" t="s">
        <v>78</v>
      </c>
      <c r="F145" s="57" t="s">
        <v>569</v>
      </c>
      <c r="G145" s="56" t="s">
        <v>583</v>
      </c>
      <c r="H145" s="55" t="s">
        <v>228</v>
      </c>
      <c r="I145" s="55" t="s">
        <v>689</v>
      </c>
      <c r="J145" s="57" t="s">
        <v>81</v>
      </c>
      <c r="K145" s="55" t="s">
        <v>126</v>
      </c>
      <c r="L145" s="63">
        <v>45395470</v>
      </c>
      <c r="M145" s="63">
        <v>32759246.029168744</v>
      </c>
      <c r="N145" s="63">
        <v>45395470</v>
      </c>
      <c r="O145" s="63">
        <v>32831270.93</v>
      </c>
      <c r="P145" s="63">
        <v>32831270.93</v>
      </c>
      <c r="Q145" s="63">
        <v>45495277.065828897</v>
      </c>
      <c r="R145" s="63">
        <v>32831270.93</v>
      </c>
      <c r="S145" s="63">
        <v>32831270.93</v>
      </c>
      <c r="T145" s="63">
        <v>45495277.065828897</v>
      </c>
      <c r="U145" s="55" t="s">
        <v>75</v>
      </c>
      <c r="V145" s="55" t="s">
        <v>1130</v>
      </c>
      <c r="W145" s="55" t="s">
        <v>75</v>
      </c>
      <c r="X145" s="59" t="s">
        <v>1131</v>
      </c>
      <c r="Y145" s="59" t="s">
        <v>75</v>
      </c>
      <c r="Z145" s="55">
        <v>0</v>
      </c>
      <c r="AA145" s="55" t="s">
        <v>78</v>
      </c>
      <c r="AB145" s="55">
        <v>999</v>
      </c>
      <c r="AC145" s="55" t="s">
        <v>1132</v>
      </c>
      <c r="AD145" s="55">
        <v>0</v>
      </c>
      <c r="AE145" s="55" t="s">
        <v>78</v>
      </c>
      <c r="AF145" s="55">
        <v>1</v>
      </c>
      <c r="AG145" s="55" t="s">
        <v>75</v>
      </c>
      <c r="AH145" s="55">
        <v>0</v>
      </c>
      <c r="AI145" s="59" t="s">
        <v>75</v>
      </c>
      <c r="AJ145" s="55" t="s">
        <v>228</v>
      </c>
      <c r="AK145" s="55" t="s">
        <v>1108</v>
      </c>
      <c r="AL145" s="55" t="s">
        <v>81</v>
      </c>
      <c r="AM145" s="55" t="s">
        <v>81</v>
      </c>
      <c r="AN145" s="55" t="s">
        <v>78</v>
      </c>
      <c r="AO145" s="60" t="s">
        <v>75</v>
      </c>
      <c r="AP145" s="58" t="s">
        <v>126</v>
      </c>
      <c r="AQ145" s="55" t="s">
        <v>228</v>
      </c>
    </row>
    <row r="146" spans="1:43" ht="16.2" hidden="1" x14ac:dyDescent="0.45">
      <c r="A146" s="55" t="s">
        <v>1133</v>
      </c>
      <c r="B146" s="55" t="s">
        <v>1134</v>
      </c>
      <c r="C146" s="55">
        <v>2016</v>
      </c>
      <c r="D146" s="55" t="s">
        <v>516</v>
      </c>
      <c r="E146" s="56" t="s">
        <v>78</v>
      </c>
      <c r="F146" s="57" t="s">
        <v>569</v>
      </c>
      <c r="G146" s="56" t="s">
        <v>587</v>
      </c>
      <c r="H146" s="55" t="s">
        <v>256</v>
      </c>
      <c r="I146" s="55" t="s">
        <v>689</v>
      </c>
      <c r="J146" s="57" t="s">
        <v>81</v>
      </c>
      <c r="K146" s="55" t="s">
        <v>126</v>
      </c>
      <c r="L146" s="63">
        <v>150614905</v>
      </c>
      <c r="M146" s="63">
        <v>108689935.99041662</v>
      </c>
      <c r="N146" s="63">
        <v>150614905</v>
      </c>
      <c r="O146" s="63">
        <v>97887340.109999999</v>
      </c>
      <c r="P146" s="63">
        <v>97887340.109999999</v>
      </c>
      <c r="Q146" s="63">
        <v>135645423.81063029</v>
      </c>
      <c r="R146" s="63">
        <v>87038921.450000003</v>
      </c>
      <c r="S146" s="63">
        <v>87038921.450000003</v>
      </c>
      <c r="T146" s="63">
        <v>120612444.6209085</v>
      </c>
      <c r="U146" s="55" t="s">
        <v>81</v>
      </c>
      <c r="V146" s="55" t="s">
        <v>78</v>
      </c>
      <c r="W146" s="55" t="s">
        <v>81</v>
      </c>
      <c r="X146" s="59" t="s">
        <v>78</v>
      </c>
      <c r="Y146" s="59" t="s">
        <v>81</v>
      </c>
      <c r="Z146" s="55">
        <v>0</v>
      </c>
      <c r="AA146" s="55" t="s">
        <v>78</v>
      </c>
      <c r="AB146" s="55">
        <v>0</v>
      </c>
      <c r="AC146" s="55" t="s">
        <v>78</v>
      </c>
      <c r="AD146" s="55">
        <v>0</v>
      </c>
      <c r="AE146" s="55" t="s">
        <v>78</v>
      </c>
      <c r="AF146" s="55">
        <v>0</v>
      </c>
      <c r="AG146" s="55" t="s">
        <v>81</v>
      </c>
      <c r="AH146" s="55" t="s">
        <v>78</v>
      </c>
      <c r="AI146" s="59" t="s">
        <v>81</v>
      </c>
      <c r="AJ146" s="55" t="s">
        <v>78</v>
      </c>
      <c r="AK146" s="55" t="s">
        <v>78</v>
      </c>
      <c r="AL146" s="55" t="s">
        <v>81</v>
      </c>
      <c r="AM146" s="55" t="s">
        <v>81</v>
      </c>
      <c r="AN146" s="55" t="s">
        <v>78</v>
      </c>
      <c r="AO146" s="60" t="s">
        <v>81</v>
      </c>
      <c r="AP146" s="58" t="s">
        <v>126</v>
      </c>
      <c r="AQ146" s="55" t="s">
        <v>256</v>
      </c>
    </row>
    <row r="147" spans="1:43" ht="13.2" hidden="1" x14ac:dyDescent="0.25">
      <c r="A147" s="90" t="s">
        <v>1135</v>
      </c>
      <c r="B147" s="90" t="s">
        <v>1136</v>
      </c>
      <c r="C147" s="90">
        <v>2016</v>
      </c>
      <c r="D147" s="90" t="s">
        <v>87</v>
      </c>
      <c r="E147" s="91" t="s">
        <v>1137</v>
      </c>
      <c r="F147" s="90" t="s">
        <v>1848</v>
      </c>
      <c r="G147" s="91" t="s">
        <v>589</v>
      </c>
      <c r="H147" s="90" t="s">
        <v>256</v>
      </c>
      <c r="I147" s="90" t="s">
        <v>679</v>
      </c>
      <c r="J147" s="90" t="s">
        <v>75</v>
      </c>
      <c r="K147" s="90" t="s">
        <v>126</v>
      </c>
      <c r="L147" s="92">
        <v>4000000</v>
      </c>
      <c r="M147" s="92">
        <v>2886565.2038997496</v>
      </c>
      <c r="N147" s="92">
        <v>3999999.9999999995</v>
      </c>
      <c r="O147" s="92">
        <v>2535852.52</v>
      </c>
      <c r="P147" s="92">
        <v>2535852.52</v>
      </c>
      <c r="Q147" s="92">
        <v>3514006.9125395999</v>
      </c>
      <c r="R147" s="92">
        <v>0</v>
      </c>
      <c r="S147" s="92">
        <v>0</v>
      </c>
      <c r="T147" s="92">
        <v>0</v>
      </c>
      <c r="U147" s="90" t="s">
        <v>81</v>
      </c>
      <c r="V147" s="90" t="s">
        <v>78</v>
      </c>
      <c r="W147" s="90" t="s">
        <v>81</v>
      </c>
      <c r="X147" s="93" t="s">
        <v>78</v>
      </c>
      <c r="Y147" s="93" t="s">
        <v>81</v>
      </c>
      <c r="Z147" s="90">
        <v>0</v>
      </c>
      <c r="AA147" s="90" t="s">
        <v>78</v>
      </c>
      <c r="AB147" s="90">
        <v>0</v>
      </c>
      <c r="AC147" s="90" t="s">
        <v>78</v>
      </c>
      <c r="AD147" s="90">
        <v>0</v>
      </c>
      <c r="AE147" s="90" t="s">
        <v>78</v>
      </c>
      <c r="AF147" s="90">
        <v>0</v>
      </c>
      <c r="AG147" s="90" t="s">
        <v>81</v>
      </c>
      <c r="AH147" s="90" t="s">
        <v>78</v>
      </c>
      <c r="AI147" s="93" t="s">
        <v>81</v>
      </c>
      <c r="AJ147" s="90" t="s">
        <v>78</v>
      </c>
      <c r="AK147" s="90" t="s">
        <v>78</v>
      </c>
      <c r="AL147" s="90" t="s">
        <v>81</v>
      </c>
      <c r="AM147" s="90" t="s">
        <v>81</v>
      </c>
      <c r="AN147" s="90" t="s">
        <v>78</v>
      </c>
      <c r="AO147" s="79" t="s">
        <v>81</v>
      </c>
      <c r="AP147" s="94" t="s">
        <v>126</v>
      </c>
      <c r="AQ147" s="90" t="s">
        <v>256</v>
      </c>
    </row>
    <row r="148" spans="1:43" ht="16.2" hidden="1" x14ac:dyDescent="0.45">
      <c r="A148" s="55" t="s">
        <v>1138</v>
      </c>
      <c r="B148" s="55" t="s">
        <v>1139</v>
      </c>
      <c r="C148" s="55">
        <v>2016</v>
      </c>
      <c r="D148" s="55" t="s">
        <v>145</v>
      </c>
      <c r="E148" s="56" t="s">
        <v>78</v>
      </c>
      <c r="F148" s="57" t="s">
        <v>543</v>
      </c>
      <c r="G148" s="56" t="s">
        <v>587</v>
      </c>
      <c r="H148" s="55" t="s">
        <v>256</v>
      </c>
      <c r="I148" s="55" t="s">
        <v>689</v>
      </c>
      <c r="J148" s="57" t="s">
        <v>81</v>
      </c>
      <c r="K148" s="55" t="s">
        <v>74</v>
      </c>
      <c r="L148" s="63">
        <v>325316554</v>
      </c>
      <c r="M148" s="63">
        <v>325316554</v>
      </c>
      <c r="N148" s="63">
        <v>450800908.37441999</v>
      </c>
      <c r="O148" s="63">
        <v>282534354.60000002</v>
      </c>
      <c r="P148" s="63">
        <v>282534354.60000002</v>
      </c>
      <c r="Q148" s="63">
        <v>391516331.19985801</v>
      </c>
      <c r="R148" s="63">
        <v>282534354.60000002</v>
      </c>
      <c r="S148" s="63">
        <v>282534354.60000002</v>
      </c>
      <c r="T148" s="63">
        <v>391516331.19985801</v>
      </c>
      <c r="U148" s="55" t="s">
        <v>81</v>
      </c>
      <c r="V148" s="55" t="s">
        <v>78</v>
      </c>
      <c r="W148" s="55" t="s">
        <v>81</v>
      </c>
      <c r="X148" s="59" t="s">
        <v>78</v>
      </c>
      <c r="Y148" s="59" t="s">
        <v>81</v>
      </c>
      <c r="Z148" s="55">
        <v>0</v>
      </c>
      <c r="AA148" s="55" t="s">
        <v>78</v>
      </c>
      <c r="AB148" s="55">
        <v>0</v>
      </c>
      <c r="AC148" s="55" t="s">
        <v>78</v>
      </c>
      <c r="AD148" s="55">
        <v>0</v>
      </c>
      <c r="AE148" s="55" t="s">
        <v>78</v>
      </c>
      <c r="AF148" s="55">
        <v>0</v>
      </c>
      <c r="AG148" s="55" t="s">
        <v>81</v>
      </c>
      <c r="AH148" s="55" t="s">
        <v>78</v>
      </c>
      <c r="AI148" s="59" t="s">
        <v>81</v>
      </c>
      <c r="AJ148" s="55" t="s">
        <v>78</v>
      </c>
      <c r="AK148" s="55" t="s">
        <v>78</v>
      </c>
      <c r="AL148" s="55" t="s">
        <v>81</v>
      </c>
      <c r="AM148" s="55" t="s">
        <v>81</v>
      </c>
      <c r="AN148" s="55" t="s">
        <v>78</v>
      </c>
      <c r="AO148" s="60" t="s">
        <v>81</v>
      </c>
      <c r="AP148" s="58" t="s">
        <v>74</v>
      </c>
      <c r="AQ148" s="55" t="s">
        <v>256</v>
      </c>
    </row>
    <row r="149" spans="1:43" ht="16.2" hidden="1" x14ac:dyDescent="0.45">
      <c r="A149" s="55" t="s">
        <v>1140</v>
      </c>
      <c r="B149" s="55" t="s">
        <v>1141</v>
      </c>
      <c r="C149" s="55">
        <v>2016</v>
      </c>
      <c r="D149" s="55" t="s">
        <v>184</v>
      </c>
      <c r="E149" s="56" t="s">
        <v>78</v>
      </c>
      <c r="F149" s="57" t="s">
        <v>554</v>
      </c>
      <c r="G149" s="56" t="s">
        <v>577</v>
      </c>
      <c r="H149" s="55" t="s">
        <v>115</v>
      </c>
      <c r="I149" s="55" t="s">
        <v>689</v>
      </c>
      <c r="J149" s="57" t="s">
        <v>81</v>
      </c>
      <c r="K149" s="55" t="s">
        <v>126</v>
      </c>
      <c r="L149" s="63">
        <v>1000000</v>
      </c>
      <c r="M149" s="63">
        <v>721641.30097493739</v>
      </c>
      <c r="N149" s="63">
        <v>999999.99999999988</v>
      </c>
      <c r="O149" s="63">
        <v>723227.91</v>
      </c>
      <c r="P149" s="63">
        <v>723227.91</v>
      </c>
      <c r="Q149" s="63">
        <v>1002198.6117243</v>
      </c>
      <c r="R149" s="63">
        <v>723227.91</v>
      </c>
      <c r="S149" s="63">
        <v>723227.91</v>
      </c>
      <c r="T149" s="63">
        <v>1002198.6117243</v>
      </c>
      <c r="U149" s="55" t="s">
        <v>75</v>
      </c>
      <c r="V149" s="55" t="s">
        <v>1142</v>
      </c>
      <c r="W149" s="55" t="s">
        <v>75</v>
      </c>
      <c r="X149" s="59" t="s">
        <v>1143</v>
      </c>
      <c r="Y149" s="59" t="s">
        <v>75</v>
      </c>
      <c r="Z149" s="55">
        <v>0</v>
      </c>
      <c r="AA149" s="55" t="s">
        <v>78</v>
      </c>
      <c r="AB149" s="55">
        <v>999</v>
      </c>
      <c r="AC149" s="55" t="s">
        <v>1144</v>
      </c>
      <c r="AD149" s="55">
        <v>999</v>
      </c>
      <c r="AE149" s="55" t="s">
        <v>1145</v>
      </c>
      <c r="AF149" s="55">
        <v>2</v>
      </c>
      <c r="AG149" s="55" t="s">
        <v>75</v>
      </c>
      <c r="AH149" s="55" t="s">
        <v>1146</v>
      </c>
      <c r="AI149" s="59" t="s">
        <v>75</v>
      </c>
      <c r="AJ149" s="55" t="s">
        <v>72</v>
      </c>
      <c r="AK149" s="55" t="s">
        <v>1147</v>
      </c>
      <c r="AL149" s="55" t="s">
        <v>81</v>
      </c>
      <c r="AM149" s="55" t="s">
        <v>75</v>
      </c>
      <c r="AN149" s="55" t="s">
        <v>78</v>
      </c>
      <c r="AO149" s="60" t="s">
        <v>75</v>
      </c>
      <c r="AP149" s="58" t="s">
        <v>126</v>
      </c>
      <c r="AQ149" s="55" t="s">
        <v>115</v>
      </c>
    </row>
    <row r="150" spans="1:43" ht="16.2" hidden="1" x14ac:dyDescent="0.45">
      <c r="A150" s="55" t="s">
        <v>1148</v>
      </c>
      <c r="B150" s="55" t="s">
        <v>1149</v>
      </c>
      <c r="C150" s="55">
        <v>2016</v>
      </c>
      <c r="D150" s="55" t="s">
        <v>184</v>
      </c>
      <c r="E150" s="56" t="s">
        <v>78</v>
      </c>
      <c r="F150" s="57" t="s">
        <v>554</v>
      </c>
      <c r="G150" s="56" t="s">
        <v>597</v>
      </c>
      <c r="H150" s="55" t="s">
        <v>101</v>
      </c>
      <c r="I150" s="55" t="s">
        <v>689</v>
      </c>
      <c r="J150" s="57" t="s">
        <v>81</v>
      </c>
      <c r="K150" s="55" t="s">
        <v>126</v>
      </c>
      <c r="L150" s="63">
        <v>600000000</v>
      </c>
      <c r="M150" s="63">
        <v>432984780.58496249</v>
      </c>
      <c r="N150" s="63">
        <v>600000000</v>
      </c>
      <c r="O150" s="63">
        <v>433936746.5</v>
      </c>
      <c r="P150" s="63">
        <v>433936746.5</v>
      </c>
      <c r="Q150" s="63">
        <v>601319167.72744501</v>
      </c>
      <c r="R150" s="63">
        <v>433936746.5</v>
      </c>
      <c r="S150" s="63">
        <v>433936746.5</v>
      </c>
      <c r="T150" s="63">
        <v>601319167.72744501</v>
      </c>
      <c r="U150" s="55" t="s">
        <v>81</v>
      </c>
      <c r="V150" s="55" t="s">
        <v>78</v>
      </c>
      <c r="W150" s="55" t="s">
        <v>81</v>
      </c>
      <c r="X150" s="59" t="s">
        <v>78</v>
      </c>
      <c r="Y150" s="59" t="s">
        <v>81</v>
      </c>
      <c r="Z150" s="55">
        <v>0</v>
      </c>
      <c r="AA150" s="55" t="s">
        <v>78</v>
      </c>
      <c r="AB150" s="55">
        <v>0</v>
      </c>
      <c r="AC150" s="55" t="s">
        <v>78</v>
      </c>
      <c r="AD150" s="55">
        <v>0</v>
      </c>
      <c r="AE150" s="55" t="s">
        <v>78</v>
      </c>
      <c r="AF150" s="55">
        <v>0</v>
      </c>
      <c r="AG150" s="55" t="s">
        <v>81</v>
      </c>
      <c r="AH150" s="55" t="s">
        <v>78</v>
      </c>
      <c r="AI150" s="59" t="s">
        <v>81</v>
      </c>
      <c r="AJ150" s="55" t="s">
        <v>78</v>
      </c>
      <c r="AK150" s="55" t="s">
        <v>78</v>
      </c>
      <c r="AL150" s="55" t="s">
        <v>81</v>
      </c>
      <c r="AM150" s="55" t="s">
        <v>81</v>
      </c>
      <c r="AN150" s="55" t="s">
        <v>78</v>
      </c>
      <c r="AO150" s="60" t="s">
        <v>81</v>
      </c>
      <c r="AP150" s="58" t="s">
        <v>126</v>
      </c>
      <c r="AQ150" s="55" t="s">
        <v>101</v>
      </c>
    </row>
    <row r="151" spans="1:43" ht="16.2" hidden="1" x14ac:dyDescent="0.45">
      <c r="A151" s="55" t="s">
        <v>1150</v>
      </c>
      <c r="B151" s="55" t="s">
        <v>1151</v>
      </c>
      <c r="C151" s="55">
        <v>2016</v>
      </c>
      <c r="D151" s="55" t="s">
        <v>70</v>
      </c>
      <c r="E151" s="56" t="s">
        <v>78</v>
      </c>
      <c r="F151" s="57" t="s">
        <v>570</v>
      </c>
      <c r="G151" s="56" t="s">
        <v>579</v>
      </c>
      <c r="H151" s="55" t="s">
        <v>115</v>
      </c>
      <c r="I151" s="55" t="s">
        <v>676</v>
      </c>
      <c r="J151" s="57" t="s">
        <v>81</v>
      </c>
      <c r="K151" s="55" t="s">
        <v>74</v>
      </c>
      <c r="L151" s="63">
        <v>3800000</v>
      </c>
      <c r="M151" s="63">
        <v>3800000</v>
      </c>
      <c r="N151" s="63">
        <v>5265774</v>
      </c>
      <c r="O151" s="63">
        <v>3410000</v>
      </c>
      <c r="P151" s="63">
        <v>3410000</v>
      </c>
      <c r="Q151" s="63">
        <v>4725339.3</v>
      </c>
      <c r="R151" s="63">
        <v>3410000</v>
      </c>
      <c r="S151" s="63">
        <v>3410000</v>
      </c>
      <c r="T151" s="63">
        <v>4725339.3</v>
      </c>
      <c r="U151" s="55" t="s">
        <v>75</v>
      </c>
      <c r="V151" s="55" t="s">
        <v>1152</v>
      </c>
      <c r="W151" s="55" t="s">
        <v>81</v>
      </c>
      <c r="X151" s="59" t="s">
        <v>78</v>
      </c>
      <c r="Y151" s="59" t="s">
        <v>81</v>
      </c>
      <c r="Z151" s="55">
        <v>0</v>
      </c>
      <c r="AA151" s="55" t="s">
        <v>78</v>
      </c>
      <c r="AB151" s="55">
        <v>0</v>
      </c>
      <c r="AC151" s="55" t="s">
        <v>78</v>
      </c>
      <c r="AD151" s="55">
        <v>0</v>
      </c>
      <c r="AE151" s="55" t="s">
        <v>78</v>
      </c>
      <c r="AF151" s="55">
        <v>0</v>
      </c>
      <c r="AG151" s="55" t="s">
        <v>81</v>
      </c>
      <c r="AH151" s="55" t="s">
        <v>78</v>
      </c>
      <c r="AI151" s="59" t="s">
        <v>75</v>
      </c>
      <c r="AJ151" s="55" t="s">
        <v>228</v>
      </c>
      <c r="AK151" s="55" t="s">
        <v>934</v>
      </c>
      <c r="AL151" s="55" t="s">
        <v>75</v>
      </c>
      <c r="AM151" s="55" t="s">
        <v>81</v>
      </c>
      <c r="AN151" s="55" t="s">
        <v>78</v>
      </c>
      <c r="AO151" s="60" t="s">
        <v>81</v>
      </c>
      <c r="AP151" s="58" t="s">
        <v>74</v>
      </c>
      <c r="AQ151" s="55" t="s">
        <v>115</v>
      </c>
    </row>
    <row r="152" spans="1:43" ht="16.2" hidden="1" x14ac:dyDescent="0.45">
      <c r="A152" s="55" t="s">
        <v>1153</v>
      </c>
      <c r="B152" s="55" t="s">
        <v>1154</v>
      </c>
      <c r="C152" s="55">
        <v>2016</v>
      </c>
      <c r="D152" s="55" t="s">
        <v>87</v>
      </c>
      <c r="E152" s="56" t="s">
        <v>1155</v>
      </c>
      <c r="F152" s="57" t="s">
        <v>1848</v>
      </c>
      <c r="G152" s="56" t="s">
        <v>599</v>
      </c>
      <c r="H152" s="55" t="s">
        <v>101</v>
      </c>
      <c r="I152" s="55" t="s">
        <v>676</v>
      </c>
      <c r="J152" s="57" t="s">
        <v>81</v>
      </c>
      <c r="K152" s="55" t="s">
        <v>74</v>
      </c>
      <c r="L152" s="63">
        <v>7000000</v>
      </c>
      <c r="M152" s="63">
        <v>7000000</v>
      </c>
      <c r="N152" s="63">
        <v>9700110</v>
      </c>
      <c r="O152" s="63">
        <v>7000000</v>
      </c>
      <c r="P152" s="63">
        <v>7000000</v>
      </c>
      <c r="Q152" s="63">
        <v>9700110</v>
      </c>
      <c r="R152" s="63">
        <v>7000000</v>
      </c>
      <c r="S152" s="63">
        <v>7000000</v>
      </c>
      <c r="T152" s="63">
        <v>9700110</v>
      </c>
      <c r="U152" s="55" t="s">
        <v>81</v>
      </c>
      <c r="V152" s="55" t="s">
        <v>78</v>
      </c>
      <c r="W152" s="55" t="s">
        <v>81</v>
      </c>
      <c r="X152" s="59" t="s">
        <v>78</v>
      </c>
      <c r="Y152" s="59" t="s">
        <v>81</v>
      </c>
      <c r="Z152" s="55">
        <v>0</v>
      </c>
      <c r="AA152" s="55" t="s">
        <v>78</v>
      </c>
      <c r="AB152" s="55">
        <v>0</v>
      </c>
      <c r="AC152" s="55" t="s">
        <v>78</v>
      </c>
      <c r="AD152" s="55">
        <v>0</v>
      </c>
      <c r="AE152" s="55" t="s">
        <v>78</v>
      </c>
      <c r="AF152" s="55">
        <v>0</v>
      </c>
      <c r="AG152" s="55" t="s">
        <v>81</v>
      </c>
      <c r="AH152" s="55" t="s">
        <v>78</v>
      </c>
      <c r="AI152" s="59" t="s">
        <v>81</v>
      </c>
      <c r="AJ152" s="55" t="s">
        <v>78</v>
      </c>
      <c r="AK152" s="55" t="s">
        <v>78</v>
      </c>
      <c r="AL152" s="55" t="s">
        <v>81</v>
      </c>
      <c r="AM152" s="55" t="s">
        <v>81</v>
      </c>
      <c r="AN152" s="55" t="s">
        <v>78</v>
      </c>
      <c r="AO152" s="60" t="s">
        <v>81</v>
      </c>
      <c r="AP152" s="58" t="s">
        <v>74</v>
      </c>
      <c r="AQ152" s="55" t="s">
        <v>101</v>
      </c>
    </row>
    <row r="153" spans="1:43" ht="16.2" x14ac:dyDescent="0.45">
      <c r="A153" s="55" t="s">
        <v>1156</v>
      </c>
      <c r="B153" s="55" t="s">
        <v>1157</v>
      </c>
      <c r="C153" s="55">
        <v>2016</v>
      </c>
      <c r="D153" s="55" t="s">
        <v>184</v>
      </c>
      <c r="E153" s="56" t="s">
        <v>78</v>
      </c>
      <c r="F153" s="57" t="s">
        <v>554</v>
      </c>
      <c r="G153" s="56" t="s">
        <v>571</v>
      </c>
      <c r="H153" s="55" t="s">
        <v>466</v>
      </c>
      <c r="I153" s="55" t="s">
        <v>689</v>
      </c>
      <c r="J153" s="57" t="s">
        <v>81</v>
      </c>
      <c r="K153" s="55" t="s">
        <v>126</v>
      </c>
      <c r="L153" s="63">
        <v>97000000</v>
      </c>
      <c r="M153" s="63">
        <v>69999206.194568932</v>
      </c>
      <c r="N153" s="63">
        <v>97000000</v>
      </c>
      <c r="O153" s="63">
        <v>29396924.780000001</v>
      </c>
      <c r="P153" s="63">
        <v>29396924.780000001</v>
      </c>
      <c r="Q153" s="63">
        <v>40736200.5753894</v>
      </c>
      <c r="R153" s="63">
        <v>29396924.780000001</v>
      </c>
      <c r="S153" s="63">
        <v>29396924.780000001</v>
      </c>
      <c r="T153" s="63">
        <v>40736200.5753894</v>
      </c>
      <c r="U153" s="55" t="s">
        <v>81</v>
      </c>
      <c r="V153" s="55" t="s">
        <v>78</v>
      </c>
      <c r="W153" s="55" t="s">
        <v>81</v>
      </c>
      <c r="X153" s="59" t="s">
        <v>78</v>
      </c>
      <c r="Y153" s="59" t="s">
        <v>81</v>
      </c>
      <c r="Z153" s="55">
        <v>0</v>
      </c>
      <c r="AA153" s="55" t="s">
        <v>78</v>
      </c>
      <c r="AB153" s="55">
        <v>0</v>
      </c>
      <c r="AC153" s="55" t="s">
        <v>78</v>
      </c>
      <c r="AD153" s="55">
        <v>0</v>
      </c>
      <c r="AE153" s="55" t="s">
        <v>78</v>
      </c>
      <c r="AF153" s="55">
        <v>0</v>
      </c>
      <c r="AG153" s="55" t="s">
        <v>81</v>
      </c>
      <c r="AH153" s="55" t="s">
        <v>78</v>
      </c>
      <c r="AI153" s="59" t="s">
        <v>81</v>
      </c>
      <c r="AJ153" s="55" t="s">
        <v>78</v>
      </c>
      <c r="AK153" s="55" t="s">
        <v>78</v>
      </c>
      <c r="AL153" s="55" t="s">
        <v>81</v>
      </c>
      <c r="AM153" s="55" t="s">
        <v>81</v>
      </c>
      <c r="AN153" s="55" t="s">
        <v>78</v>
      </c>
      <c r="AO153" s="60" t="s">
        <v>81</v>
      </c>
      <c r="AP153" s="58" t="s">
        <v>126</v>
      </c>
      <c r="AQ153" s="55" t="s">
        <v>466</v>
      </c>
    </row>
    <row r="154" spans="1:43" ht="16.2" hidden="1" x14ac:dyDescent="0.45">
      <c r="A154" s="55" t="s">
        <v>1158</v>
      </c>
      <c r="B154" s="55" t="s">
        <v>1159</v>
      </c>
      <c r="C154" s="55">
        <v>2016</v>
      </c>
      <c r="D154" s="55" t="s">
        <v>509</v>
      </c>
      <c r="E154" s="56" t="s">
        <v>78</v>
      </c>
      <c r="F154" s="57" t="s">
        <v>560</v>
      </c>
      <c r="G154" s="56" t="s">
        <v>599</v>
      </c>
      <c r="H154" s="55" t="s">
        <v>101</v>
      </c>
      <c r="I154" s="55" t="s">
        <v>676</v>
      </c>
      <c r="J154" s="57" t="s">
        <v>81</v>
      </c>
      <c r="K154" s="55" t="s">
        <v>74</v>
      </c>
      <c r="L154" s="63">
        <v>1200000</v>
      </c>
      <c r="M154" s="63">
        <v>1200000</v>
      </c>
      <c r="N154" s="63">
        <v>1662876</v>
      </c>
      <c r="O154" s="63">
        <v>1200000</v>
      </c>
      <c r="P154" s="63">
        <v>1200000</v>
      </c>
      <c r="Q154" s="63">
        <v>1662876</v>
      </c>
      <c r="R154" s="63">
        <v>1200000</v>
      </c>
      <c r="S154" s="63">
        <v>1200000</v>
      </c>
      <c r="T154" s="63">
        <v>1662876</v>
      </c>
      <c r="U154" s="55" t="s">
        <v>81</v>
      </c>
      <c r="V154" s="55" t="s">
        <v>78</v>
      </c>
      <c r="W154" s="55" t="s">
        <v>81</v>
      </c>
      <c r="X154" s="59" t="s">
        <v>78</v>
      </c>
      <c r="Y154" s="59" t="s">
        <v>81</v>
      </c>
      <c r="Z154" s="55">
        <v>0</v>
      </c>
      <c r="AA154" s="55" t="s">
        <v>78</v>
      </c>
      <c r="AB154" s="55">
        <v>0</v>
      </c>
      <c r="AC154" s="55" t="s">
        <v>78</v>
      </c>
      <c r="AD154" s="55">
        <v>0</v>
      </c>
      <c r="AE154" s="55" t="s">
        <v>78</v>
      </c>
      <c r="AF154" s="55">
        <v>0</v>
      </c>
      <c r="AG154" s="55" t="s">
        <v>81</v>
      </c>
      <c r="AH154" s="55" t="s">
        <v>78</v>
      </c>
      <c r="AI154" s="59" t="s">
        <v>81</v>
      </c>
      <c r="AJ154" s="55" t="s">
        <v>78</v>
      </c>
      <c r="AK154" s="55" t="s">
        <v>78</v>
      </c>
      <c r="AL154" s="55" t="s">
        <v>81</v>
      </c>
      <c r="AM154" s="55" t="s">
        <v>81</v>
      </c>
      <c r="AN154" s="55" t="s">
        <v>78</v>
      </c>
      <c r="AO154" s="60" t="s">
        <v>81</v>
      </c>
      <c r="AP154" s="58" t="s">
        <v>74</v>
      </c>
      <c r="AQ154" s="55" t="s">
        <v>101</v>
      </c>
    </row>
    <row r="155" spans="1:43" ht="13.2" hidden="1" x14ac:dyDescent="0.25">
      <c r="A155" s="90" t="s">
        <v>1160</v>
      </c>
      <c r="B155" s="90" t="s">
        <v>1161</v>
      </c>
      <c r="C155" s="90">
        <v>2016</v>
      </c>
      <c r="D155" s="90" t="s">
        <v>497</v>
      </c>
      <c r="E155" s="91" t="s">
        <v>78</v>
      </c>
      <c r="F155" s="90" t="s">
        <v>538</v>
      </c>
      <c r="G155" s="91" t="s">
        <v>228</v>
      </c>
      <c r="H155" s="90" t="s">
        <v>228</v>
      </c>
      <c r="I155" s="90" t="s">
        <v>679</v>
      </c>
      <c r="J155" s="90" t="s">
        <v>81</v>
      </c>
      <c r="K155" s="90" t="s">
        <v>126</v>
      </c>
      <c r="L155" s="92">
        <v>46416100</v>
      </c>
      <c r="M155" s="92">
        <v>33495774.790182795</v>
      </c>
      <c r="N155" s="92">
        <v>46416100</v>
      </c>
      <c r="O155" s="92">
        <v>18696598.670000002</v>
      </c>
      <c r="P155" s="92">
        <v>18696598.670000002</v>
      </c>
      <c r="Q155" s="92">
        <v>25908437.674979102</v>
      </c>
      <c r="R155" s="92">
        <v>10125190.75</v>
      </c>
      <c r="S155" s="92">
        <v>10125190.75</v>
      </c>
      <c r="T155" s="92">
        <v>14030780.577997498</v>
      </c>
      <c r="U155" s="90" t="s">
        <v>81</v>
      </c>
      <c r="V155" s="90" t="s">
        <v>78</v>
      </c>
      <c r="W155" s="90" t="s">
        <v>81</v>
      </c>
      <c r="X155" s="93" t="s">
        <v>78</v>
      </c>
      <c r="Y155" s="93" t="s">
        <v>81</v>
      </c>
      <c r="Z155" s="90">
        <v>0</v>
      </c>
      <c r="AA155" s="90" t="s">
        <v>78</v>
      </c>
      <c r="AB155" s="90">
        <v>0</v>
      </c>
      <c r="AC155" s="90" t="s">
        <v>78</v>
      </c>
      <c r="AD155" s="90">
        <v>0</v>
      </c>
      <c r="AE155" s="90" t="s">
        <v>78</v>
      </c>
      <c r="AF155" s="90">
        <v>0</v>
      </c>
      <c r="AG155" s="90" t="s">
        <v>81</v>
      </c>
      <c r="AH155" s="90" t="s">
        <v>78</v>
      </c>
      <c r="AI155" s="93" t="s">
        <v>81</v>
      </c>
      <c r="AJ155" s="90" t="s">
        <v>78</v>
      </c>
      <c r="AK155" s="90" t="s">
        <v>78</v>
      </c>
      <c r="AL155" s="90" t="s">
        <v>81</v>
      </c>
      <c r="AM155" s="90" t="s">
        <v>81</v>
      </c>
      <c r="AN155" s="90" t="s">
        <v>78</v>
      </c>
      <c r="AO155" s="79" t="s">
        <v>81</v>
      </c>
      <c r="AP155" s="94" t="s">
        <v>126</v>
      </c>
      <c r="AQ155" s="90" t="s">
        <v>228</v>
      </c>
    </row>
    <row r="156" spans="1:43" ht="16.2" hidden="1" x14ac:dyDescent="0.45">
      <c r="A156" s="55" t="s">
        <v>1162</v>
      </c>
      <c r="B156" s="56" t="s">
        <v>1163</v>
      </c>
      <c r="C156" s="55">
        <v>2016</v>
      </c>
      <c r="D156" s="55" t="s">
        <v>501</v>
      </c>
      <c r="E156" s="56" t="s">
        <v>78</v>
      </c>
      <c r="F156" s="57" t="s">
        <v>551</v>
      </c>
      <c r="G156" s="56" t="s">
        <v>585</v>
      </c>
      <c r="H156" s="55" t="s">
        <v>228</v>
      </c>
      <c r="I156" s="55" t="s">
        <v>676</v>
      </c>
      <c r="J156" s="57" t="s">
        <v>81</v>
      </c>
      <c r="K156" s="55" t="s">
        <v>74</v>
      </c>
      <c r="L156" s="63">
        <v>16000000</v>
      </c>
      <c r="M156" s="63">
        <v>16000000</v>
      </c>
      <c r="N156" s="63">
        <v>22171680</v>
      </c>
      <c r="O156" s="63">
        <v>16000000</v>
      </c>
      <c r="P156" s="63">
        <v>16000000</v>
      </c>
      <c r="Q156" s="63">
        <v>22171680</v>
      </c>
      <c r="R156" s="63">
        <v>16000000</v>
      </c>
      <c r="S156" s="63">
        <v>16000000</v>
      </c>
      <c r="T156" s="63">
        <v>22171680</v>
      </c>
      <c r="U156" s="55" t="s">
        <v>81</v>
      </c>
      <c r="V156" s="55" t="s">
        <v>78</v>
      </c>
      <c r="W156" s="55" t="s">
        <v>81</v>
      </c>
      <c r="X156" s="59" t="s">
        <v>78</v>
      </c>
      <c r="Y156" s="59" t="s">
        <v>81</v>
      </c>
      <c r="Z156" s="55">
        <v>0</v>
      </c>
      <c r="AA156" s="55" t="s">
        <v>78</v>
      </c>
      <c r="AB156" s="55">
        <v>0</v>
      </c>
      <c r="AC156" s="55" t="s">
        <v>78</v>
      </c>
      <c r="AD156" s="55">
        <v>0</v>
      </c>
      <c r="AE156" s="55" t="s">
        <v>78</v>
      </c>
      <c r="AF156" s="55">
        <v>0</v>
      </c>
      <c r="AG156" s="55" t="s">
        <v>81</v>
      </c>
      <c r="AH156" s="55" t="s">
        <v>78</v>
      </c>
      <c r="AI156" s="59" t="s">
        <v>81</v>
      </c>
      <c r="AJ156" s="55" t="s">
        <v>78</v>
      </c>
      <c r="AK156" s="55" t="s">
        <v>78</v>
      </c>
      <c r="AL156" s="55" t="s">
        <v>81</v>
      </c>
      <c r="AM156" s="55" t="s">
        <v>81</v>
      </c>
      <c r="AN156" s="55" t="s">
        <v>78</v>
      </c>
      <c r="AO156" s="60" t="s">
        <v>81</v>
      </c>
      <c r="AP156" s="58" t="s">
        <v>74</v>
      </c>
      <c r="AQ156" s="55" t="s">
        <v>228</v>
      </c>
    </row>
    <row r="157" spans="1:43" ht="13.2" hidden="1" x14ac:dyDescent="0.25">
      <c r="A157" s="90" t="s">
        <v>1164</v>
      </c>
      <c r="B157" s="90" t="s">
        <v>1165</v>
      </c>
      <c r="C157" s="90">
        <v>2016</v>
      </c>
      <c r="D157" s="90" t="s">
        <v>87</v>
      </c>
      <c r="E157" s="91" t="s">
        <v>937</v>
      </c>
      <c r="F157" s="90" t="s">
        <v>1848</v>
      </c>
      <c r="G157" s="91" t="s">
        <v>584</v>
      </c>
      <c r="H157" s="90" t="s">
        <v>228</v>
      </c>
      <c r="I157" s="90" t="s">
        <v>679</v>
      </c>
      <c r="J157" s="90" t="s">
        <v>75</v>
      </c>
      <c r="K157" s="90" t="s">
        <v>126</v>
      </c>
      <c r="L157" s="92">
        <v>250000000</v>
      </c>
      <c r="M157" s="92">
        <v>180410325.24373436</v>
      </c>
      <c r="N157" s="92">
        <v>250000000</v>
      </c>
      <c r="O157" s="92">
        <v>8158010.8300000001</v>
      </c>
      <c r="P157" s="92">
        <v>8158010.8300000001</v>
      </c>
      <c r="Q157" s="92">
        <v>11304800.3474559</v>
      </c>
      <c r="R157" s="92">
        <v>0</v>
      </c>
      <c r="S157" s="92">
        <v>0</v>
      </c>
      <c r="T157" s="92">
        <v>0</v>
      </c>
      <c r="U157" s="90" t="s">
        <v>81</v>
      </c>
      <c r="V157" s="90" t="s">
        <v>78</v>
      </c>
      <c r="W157" s="90" t="s">
        <v>81</v>
      </c>
      <c r="X157" s="93" t="s">
        <v>78</v>
      </c>
      <c r="Y157" s="93" t="s">
        <v>81</v>
      </c>
      <c r="Z157" s="90">
        <v>0</v>
      </c>
      <c r="AA157" s="90" t="s">
        <v>78</v>
      </c>
      <c r="AB157" s="90">
        <v>0</v>
      </c>
      <c r="AC157" s="90" t="s">
        <v>78</v>
      </c>
      <c r="AD157" s="90">
        <v>0</v>
      </c>
      <c r="AE157" s="90" t="s">
        <v>78</v>
      </c>
      <c r="AF157" s="90">
        <v>0</v>
      </c>
      <c r="AG157" s="90" t="s">
        <v>81</v>
      </c>
      <c r="AH157" s="90" t="s">
        <v>78</v>
      </c>
      <c r="AI157" s="93" t="s">
        <v>81</v>
      </c>
      <c r="AJ157" s="90" t="s">
        <v>78</v>
      </c>
      <c r="AK157" s="90" t="s">
        <v>78</v>
      </c>
      <c r="AL157" s="90" t="s">
        <v>81</v>
      </c>
      <c r="AM157" s="90" t="s">
        <v>81</v>
      </c>
      <c r="AN157" s="90" t="s">
        <v>78</v>
      </c>
      <c r="AO157" s="79" t="s">
        <v>81</v>
      </c>
      <c r="AP157" s="94" t="s">
        <v>126</v>
      </c>
      <c r="AQ157" s="90" t="s">
        <v>228</v>
      </c>
    </row>
    <row r="158" spans="1:43" ht="13.2" hidden="1" x14ac:dyDescent="0.25">
      <c r="A158" s="90" t="s">
        <v>1166</v>
      </c>
      <c r="B158" s="90" t="s">
        <v>1167</v>
      </c>
      <c r="C158" s="90">
        <v>2016</v>
      </c>
      <c r="D158" s="90" t="s">
        <v>87</v>
      </c>
      <c r="E158" s="91" t="s">
        <v>937</v>
      </c>
      <c r="F158" s="90" t="s">
        <v>1848</v>
      </c>
      <c r="G158" s="91" t="s">
        <v>585</v>
      </c>
      <c r="H158" s="90" t="s">
        <v>228</v>
      </c>
      <c r="I158" s="90" t="s">
        <v>679</v>
      </c>
      <c r="J158" s="90" t="s">
        <v>81</v>
      </c>
      <c r="K158" s="90" t="s">
        <v>126</v>
      </c>
      <c r="L158" s="92">
        <v>142000000</v>
      </c>
      <c r="M158" s="92">
        <v>102473064.73844112</v>
      </c>
      <c r="N158" s="92">
        <v>142000000</v>
      </c>
      <c r="O158" s="92">
        <v>96189312.140000001</v>
      </c>
      <c r="P158" s="92">
        <v>96189312.140000001</v>
      </c>
      <c r="Q158" s="92">
        <v>133292415.51176219</v>
      </c>
      <c r="R158" s="92">
        <v>72322791.079999998</v>
      </c>
      <c r="S158" s="92">
        <v>72322791.079999998</v>
      </c>
      <c r="T158" s="92">
        <v>100219861.28328839</v>
      </c>
      <c r="U158" s="90" t="s">
        <v>81</v>
      </c>
      <c r="V158" s="90" t="s">
        <v>78</v>
      </c>
      <c r="W158" s="90" t="s">
        <v>81</v>
      </c>
      <c r="X158" s="93" t="s">
        <v>78</v>
      </c>
      <c r="Y158" s="93" t="s">
        <v>81</v>
      </c>
      <c r="Z158" s="90">
        <v>0</v>
      </c>
      <c r="AA158" s="90" t="s">
        <v>78</v>
      </c>
      <c r="AB158" s="90">
        <v>0</v>
      </c>
      <c r="AC158" s="90" t="s">
        <v>78</v>
      </c>
      <c r="AD158" s="90">
        <v>0</v>
      </c>
      <c r="AE158" s="90" t="s">
        <v>78</v>
      </c>
      <c r="AF158" s="90">
        <v>0</v>
      </c>
      <c r="AG158" s="90" t="s">
        <v>81</v>
      </c>
      <c r="AH158" s="90" t="s">
        <v>78</v>
      </c>
      <c r="AI158" s="93" t="s">
        <v>81</v>
      </c>
      <c r="AJ158" s="90" t="s">
        <v>78</v>
      </c>
      <c r="AK158" s="90" t="s">
        <v>78</v>
      </c>
      <c r="AL158" s="90" t="s">
        <v>81</v>
      </c>
      <c r="AM158" s="90" t="s">
        <v>81</v>
      </c>
      <c r="AN158" s="90" t="s">
        <v>78</v>
      </c>
      <c r="AO158" s="79" t="s">
        <v>81</v>
      </c>
      <c r="AP158" s="94" t="s">
        <v>126</v>
      </c>
      <c r="AQ158" s="90" t="s">
        <v>228</v>
      </c>
    </row>
    <row r="159" spans="1:43" ht="16.2" hidden="1" x14ac:dyDescent="0.45">
      <c r="A159" s="55" t="s">
        <v>1168</v>
      </c>
      <c r="B159" s="55" t="s">
        <v>1169</v>
      </c>
      <c r="C159" s="55">
        <v>2016</v>
      </c>
      <c r="D159" s="55" t="s">
        <v>371</v>
      </c>
      <c r="E159" s="56" t="s">
        <v>78</v>
      </c>
      <c r="F159" s="57" t="s">
        <v>542</v>
      </c>
      <c r="G159" s="56" t="s">
        <v>72</v>
      </c>
      <c r="H159" s="55" t="s">
        <v>72</v>
      </c>
      <c r="I159" s="55" t="s">
        <v>689</v>
      </c>
      <c r="J159" s="57" t="s">
        <v>81</v>
      </c>
      <c r="K159" s="55" t="s">
        <v>126</v>
      </c>
      <c r="L159" s="63">
        <v>1000000</v>
      </c>
      <c r="M159" s="63">
        <v>721641.30097493739</v>
      </c>
      <c r="N159" s="63">
        <v>999999.99999999988</v>
      </c>
      <c r="O159" s="63">
        <v>723227.91</v>
      </c>
      <c r="P159" s="63">
        <v>723227.91</v>
      </c>
      <c r="Q159" s="63">
        <v>1002198.6117243</v>
      </c>
      <c r="R159" s="63">
        <v>723227.91</v>
      </c>
      <c r="S159" s="63">
        <v>723227.91</v>
      </c>
      <c r="T159" s="63">
        <v>1002198.6117243</v>
      </c>
      <c r="U159" s="55" t="s">
        <v>75</v>
      </c>
      <c r="V159" s="55" t="s">
        <v>1170</v>
      </c>
      <c r="W159" s="55" t="s">
        <v>81</v>
      </c>
      <c r="X159" s="59" t="s">
        <v>78</v>
      </c>
      <c r="Y159" s="59" t="s">
        <v>75</v>
      </c>
      <c r="Z159" s="55">
        <v>999</v>
      </c>
      <c r="AA159" s="55" t="s">
        <v>1171</v>
      </c>
      <c r="AB159" s="55">
        <v>999</v>
      </c>
      <c r="AC159" s="55" t="s">
        <v>1172</v>
      </c>
      <c r="AD159" s="55">
        <v>0</v>
      </c>
      <c r="AE159" s="55" t="s">
        <v>78</v>
      </c>
      <c r="AF159" s="55">
        <v>2</v>
      </c>
      <c r="AG159" s="55" t="s">
        <v>75</v>
      </c>
      <c r="AH159" s="55" t="s">
        <v>1173</v>
      </c>
      <c r="AI159" s="59" t="s">
        <v>75</v>
      </c>
      <c r="AJ159" s="55" t="s">
        <v>72</v>
      </c>
      <c r="AK159" s="55" t="s">
        <v>1174</v>
      </c>
      <c r="AL159" s="55" t="s">
        <v>81</v>
      </c>
      <c r="AM159" s="55" t="s">
        <v>81</v>
      </c>
      <c r="AN159" s="55" t="s">
        <v>78</v>
      </c>
      <c r="AO159" s="60" t="s">
        <v>81</v>
      </c>
      <c r="AP159" s="58" t="s">
        <v>126</v>
      </c>
      <c r="AQ159" s="55" t="s">
        <v>72</v>
      </c>
    </row>
    <row r="160" spans="1:43" ht="16.2" hidden="1" x14ac:dyDescent="0.45">
      <c r="A160" s="55" t="s">
        <v>1175</v>
      </c>
      <c r="B160" s="56" t="s">
        <v>1176</v>
      </c>
      <c r="C160" s="55">
        <v>2016</v>
      </c>
      <c r="D160" s="55" t="s">
        <v>510</v>
      </c>
      <c r="E160" s="56" t="s">
        <v>78</v>
      </c>
      <c r="F160" s="57" t="s">
        <v>568</v>
      </c>
      <c r="G160" s="56" t="s">
        <v>597</v>
      </c>
      <c r="H160" s="55" t="s">
        <v>101</v>
      </c>
      <c r="I160" s="55" t="s">
        <v>689</v>
      </c>
      <c r="J160" s="57" t="s">
        <v>81</v>
      </c>
      <c r="K160" s="55" t="s">
        <v>74</v>
      </c>
      <c r="L160" s="63">
        <v>683527</v>
      </c>
      <c r="M160" s="63">
        <v>683527</v>
      </c>
      <c r="N160" s="63">
        <v>947183.86970999988</v>
      </c>
      <c r="O160" s="63">
        <v>683527</v>
      </c>
      <c r="P160" s="63">
        <v>683527</v>
      </c>
      <c r="Q160" s="63">
        <v>947183.86970999988</v>
      </c>
      <c r="R160" s="63">
        <v>683527</v>
      </c>
      <c r="S160" s="63">
        <v>683527</v>
      </c>
      <c r="T160" s="63">
        <v>947183.86970999988</v>
      </c>
      <c r="U160" s="55" t="s">
        <v>81</v>
      </c>
      <c r="V160" s="55" t="s">
        <v>78</v>
      </c>
      <c r="W160" s="55" t="s">
        <v>81</v>
      </c>
      <c r="X160" s="59" t="s">
        <v>78</v>
      </c>
      <c r="Y160" s="59" t="s">
        <v>81</v>
      </c>
      <c r="Z160" s="55">
        <v>0</v>
      </c>
      <c r="AA160" s="55" t="s">
        <v>78</v>
      </c>
      <c r="AB160" s="55">
        <v>0</v>
      </c>
      <c r="AC160" s="55" t="s">
        <v>78</v>
      </c>
      <c r="AD160" s="55">
        <v>0</v>
      </c>
      <c r="AE160" s="55" t="s">
        <v>78</v>
      </c>
      <c r="AF160" s="55">
        <v>0</v>
      </c>
      <c r="AG160" s="55" t="s">
        <v>81</v>
      </c>
      <c r="AH160" s="55" t="s">
        <v>78</v>
      </c>
      <c r="AI160" s="59" t="s">
        <v>81</v>
      </c>
      <c r="AJ160" s="55" t="s">
        <v>78</v>
      </c>
      <c r="AK160" s="55" t="s">
        <v>78</v>
      </c>
      <c r="AL160" s="55" t="s">
        <v>81</v>
      </c>
      <c r="AM160" s="55" t="s">
        <v>81</v>
      </c>
      <c r="AN160" s="55" t="s">
        <v>78</v>
      </c>
      <c r="AO160" s="60" t="s">
        <v>81</v>
      </c>
      <c r="AP160" s="58" t="s">
        <v>74</v>
      </c>
      <c r="AQ160" s="55" t="s">
        <v>101</v>
      </c>
    </row>
    <row r="161" spans="1:43" ht="16.2" hidden="1" x14ac:dyDescent="0.45">
      <c r="A161" s="55" t="s">
        <v>1177</v>
      </c>
      <c r="B161" s="55" t="s">
        <v>1178</v>
      </c>
      <c r="C161" s="55">
        <v>2016</v>
      </c>
      <c r="D161" s="55" t="s">
        <v>508</v>
      </c>
      <c r="E161" s="56" t="s">
        <v>78</v>
      </c>
      <c r="F161" s="57" t="s">
        <v>558</v>
      </c>
      <c r="G161" s="56" t="s">
        <v>228</v>
      </c>
      <c r="H161" s="55" t="s">
        <v>228</v>
      </c>
      <c r="I161" s="55" t="s">
        <v>676</v>
      </c>
      <c r="J161" s="57" t="s">
        <v>81</v>
      </c>
      <c r="K161" s="55" t="s">
        <v>74</v>
      </c>
      <c r="L161" s="63">
        <v>545000</v>
      </c>
      <c r="M161" s="63">
        <v>545000</v>
      </c>
      <c r="N161" s="63">
        <v>755222.85</v>
      </c>
      <c r="O161" s="63">
        <v>544500</v>
      </c>
      <c r="P161" s="63">
        <v>544500</v>
      </c>
      <c r="Q161" s="63">
        <v>754529.98499999999</v>
      </c>
      <c r="R161" s="63">
        <v>544500</v>
      </c>
      <c r="S161" s="63">
        <v>544500</v>
      </c>
      <c r="T161" s="63">
        <v>754529.98499999999</v>
      </c>
      <c r="U161" s="55" t="s">
        <v>81</v>
      </c>
      <c r="V161" s="55" t="s">
        <v>78</v>
      </c>
      <c r="W161" s="55" t="s">
        <v>81</v>
      </c>
      <c r="X161" s="59" t="s">
        <v>78</v>
      </c>
      <c r="Y161" s="59" t="s">
        <v>81</v>
      </c>
      <c r="Z161" s="55">
        <v>0</v>
      </c>
      <c r="AA161" s="55" t="s">
        <v>78</v>
      </c>
      <c r="AB161" s="55">
        <v>0</v>
      </c>
      <c r="AC161" s="55" t="s">
        <v>78</v>
      </c>
      <c r="AD161" s="55">
        <v>0</v>
      </c>
      <c r="AE161" s="55" t="s">
        <v>78</v>
      </c>
      <c r="AF161" s="55">
        <v>0</v>
      </c>
      <c r="AG161" s="55" t="s">
        <v>81</v>
      </c>
      <c r="AH161" s="55" t="s">
        <v>78</v>
      </c>
      <c r="AI161" s="59" t="s">
        <v>81</v>
      </c>
      <c r="AJ161" s="55" t="s">
        <v>78</v>
      </c>
      <c r="AK161" s="55" t="s">
        <v>78</v>
      </c>
      <c r="AL161" s="55" t="s">
        <v>81</v>
      </c>
      <c r="AM161" s="55" t="s">
        <v>81</v>
      </c>
      <c r="AN161" s="55" t="s">
        <v>78</v>
      </c>
      <c r="AO161" s="60" t="s">
        <v>81</v>
      </c>
      <c r="AP161" s="58" t="s">
        <v>74</v>
      </c>
      <c r="AQ161" s="55" t="s">
        <v>228</v>
      </c>
    </row>
    <row r="162" spans="1:43" ht="16.2" x14ac:dyDescent="0.45">
      <c r="A162" s="55" t="s">
        <v>1179</v>
      </c>
      <c r="B162" s="55" t="s">
        <v>1180</v>
      </c>
      <c r="C162" s="55">
        <v>2016</v>
      </c>
      <c r="D162" s="55" t="s">
        <v>87</v>
      </c>
      <c r="E162" s="56" t="s">
        <v>937</v>
      </c>
      <c r="F162" s="57" t="s">
        <v>1848</v>
      </c>
      <c r="G162" s="56" t="s">
        <v>466</v>
      </c>
      <c r="H162" s="55" t="s">
        <v>466</v>
      </c>
      <c r="I162" s="55" t="s">
        <v>676</v>
      </c>
      <c r="J162" s="57" t="s">
        <v>81</v>
      </c>
      <c r="K162" s="55" t="s">
        <v>74</v>
      </c>
      <c r="L162" s="63">
        <v>2730000</v>
      </c>
      <c r="M162" s="63">
        <v>2730000</v>
      </c>
      <c r="N162" s="63">
        <v>3783042.9</v>
      </c>
      <c r="O162" s="63">
        <v>2730000</v>
      </c>
      <c r="P162" s="63">
        <v>2730000</v>
      </c>
      <c r="Q162" s="63">
        <v>3783042.9</v>
      </c>
      <c r="R162" s="63">
        <v>2730000</v>
      </c>
      <c r="S162" s="63">
        <v>2730000</v>
      </c>
      <c r="T162" s="63">
        <v>3783042.9</v>
      </c>
      <c r="U162" s="55" t="s">
        <v>81</v>
      </c>
      <c r="V162" s="55" t="s">
        <v>78</v>
      </c>
      <c r="W162" s="55" t="s">
        <v>81</v>
      </c>
      <c r="X162" s="59" t="s">
        <v>78</v>
      </c>
      <c r="Y162" s="59" t="s">
        <v>81</v>
      </c>
      <c r="Z162" s="55">
        <v>0</v>
      </c>
      <c r="AA162" s="55" t="s">
        <v>78</v>
      </c>
      <c r="AB162" s="55">
        <v>0</v>
      </c>
      <c r="AC162" s="55" t="s">
        <v>78</v>
      </c>
      <c r="AD162" s="55">
        <v>0</v>
      </c>
      <c r="AE162" s="55" t="s">
        <v>78</v>
      </c>
      <c r="AF162" s="55">
        <v>0</v>
      </c>
      <c r="AG162" s="55" t="s">
        <v>81</v>
      </c>
      <c r="AH162" s="55" t="s">
        <v>78</v>
      </c>
      <c r="AI162" s="59" t="s">
        <v>81</v>
      </c>
      <c r="AJ162" s="55" t="s">
        <v>78</v>
      </c>
      <c r="AK162" s="55" t="s">
        <v>78</v>
      </c>
      <c r="AL162" s="55" t="s">
        <v>81</v>
      </c>
      <c r="AM162" s="55" t="s">
        <v>81</v>
      </c>
      <c r="AN162" s="55" t="s">
        <v>78</v>
      </c>
      <c r="AO162" s="60" t="s">
        <v>81</v>
      </c>
      <c r="AP162" s="58" t="s">
        <v>74</v>
      </c>
      <c r="AQ162" s="55" t="s">
        <v>466</v>
      </c>
    </row>
    <row r="163" spans="1:43" ht="13.2" hidden="1" x14ac:dyDescent="0.25">
      <c r="A163" s="90" t="s">
        <v>1181</v>
      </c>
      <c r="B163" s="90" t="s">
        <v>1182</v>
      </c>
      <c r="C163" s="90">
        <v>2016</v>
      </c>
      <c r="D163" s="90" t="s">
        <v>445</v>
      </c>
      <c r="E163" s="91" t="s">
        <v>78</v>
      </c>
      <c r="F163" s="90" t="s">
        <v>552</v>
      </c>
      <c r="G163" s="91" t="s">
        <v>589</v>
      </c>
      <c r="H163" s="90" t="s">
        <v>256</v>
      </c>
      <c r="I163" s="90" t="s">
        <v>679</v>
      </c>
      <c r="J163" s="90" t="s">
        <v>75</v>
      </c>
      <c r="K163" s="90" t="s">
        <v>104</v>
      </c>
      <c r="L163" s="92">
        <v>1600000</v>
      </c>
      <c r="M163" s="92">
        <v>1257041.3959444703</v>
      </c>
      <c r="N163" s="92">
        <v>1741919.9736021308</v>
      </c>
      <c r="O163" s="92">
        <v>1312335.96</v>
      </c>
      <c r="P163" s="92">
        <v>1312335.96</v>
      </c>
      <c r="Q163" s="92">
        <v>1818543.3098507999</v>
      </c>
      <c r="R163" s="92">
        <v>0</v>
      </c>
      <c r="S163" s="92">
        <v>0</v>
      </c>
      <c r="T163" s="92">
        <v>0</v>
      </c>
      <c r="U163" s="90" t="s">
        <v>81</v>
      </c>
      <c r="V163" s="90" t="s">
        <v>78</v>
      </c>
      <c r="W163" s="90" t="s">
        <v>81</v>
      </c>
      <c r="X163" s="93" t="s">
        <v>78</v>
      </c>
      <c r="Y163" s="93" t="s">
        <v>81</v>
      </c>
      <c r="Z163" s="90">
        <v>0</v>
      </c>
      <c r="AA163" s="90" t="s">
        <v>78</v>
      </c>
      <c r="AB163" s="90">
        <v>0</v>
      </c>
      <c r="AC163" s="90" t="s">
        <v>78</v>
      </c>
      <c r="AD163" s="90">
        <v>0</v>
      </c>
      <c r="AE163" s="90" t="s">
        <v>78</v>
      </c>
      <c r="AF163" s="90">
        <v>0</v>
      </c>
      <c r="AG163" s="90" t="s">
        <v>81</v>
      </c>
      <c r="AH163" s="90" t="s">
        <v>78</v>
      </c>
      <c r="AI163" s="93" t="s">
        <v>81</v>
      </c>
      <c r="AJ163" s="90" t="s">
        <v>78</v>
      </c>
      <c r="AK163" s="90" t="s">
        <v>78</v>
      </c>
      <c r="AL163" s="90" t="s">
        <v>81</v>
      </c>
      <c r="AM163" s="90" t="s">
        <v>81</v>
      </c>
      <c r="AN163" s="90" t="s">
        <v>78</v>
      </c>
      <c r="AO163" s="79" t="s">
        <v>81</v>
      </c>
      <c r="AP163" s="94" t="s">
        <v>104</v>
      </c>
      <c r="AQ163" s="90" t="s">
        <v>256</v>
      </c>
    </row>
    <row r="164" spans="1:43" ht="16.2" hidden="1" x14ac:dyDescent="0.45">
      <c r="A164" s="55" t="s">
        <v>1183</v>
      </c>
      <c r="B164" s="55" t="s">
        <v>1184</v>
      </c>
      <c r="C164" s="55">
        <v>2016</v>
      </c>
      <c r="D164" s="55" t="s">
        <v>179</v>
      </c>
      <c r="E164" s="56" t="s">
        <v>78</v>
      </c>
      <c r="F164" s="57" t="s">
        <v>561</v>
      </c>
      <c r="G164" s="56" t="s">
        <v>587</v>
      </c>
      <c r="H164" s="55" t="s">
        <v>256</v>
      </c>
      <c r="I164" s="55" t="s">
        <v>676</v>
      </c>
      <c r="J164" s="57" t="s">
        <v>81</v>
      </c>
      <c r="K164" s="55" t="s">
        <v>74</v>
      </c>
      <c r="L164" s="63">
        <v>4950000</v>
      </c>
      <c r="M164" s="63">
        <v>4950000</v>
      </c>
      <c r="N164" s="63">
        <v>6859363.5</v>
      </c>
      <c r="O164" s="63">
        <v>4950000</v>
      </c>
      <c r="P164" s="63">
        <v>4950000</v>
      </c>
      <c r="Q164" s="63">
        <v>6859363.5</v>
      </c>
      <c r="R164" s="63">
        <v>4950000</v>
      </c>
      <c r="S164" s="63">
        <v>4950000</v>
      </c>
      <c r="T164" s="63">
        <v>6859363.5</v>
      </c>
      <c r="U164" s="55" t="s">
        <v>81</v>
      </c>
      <c r="V164" s="55" t="s">
        <v>78</v>
      </c>
      <c r="W164" s="55" t="s">
        <v>81</v>
      </c>
      <c r="X164" s="59" t="s">
        <v>78</v>
      </c>
      <c r="Y164" s="59" t="s">
        <v>81</v>
      </c>
      <c r="Z164" s="55">
        <v>0</v>
      </c>
      <c r="AA164" s="55" t="s">
        <v>78</v>
      </c>
      <c r="AB164" s="55">
        <v>0</v>
      </c>
      <c r="AC164" s="55" t="s">
        <v>78</v>
      </c>
      <c r="AD164" s="55">
        <v>0</v>
      </c>
      <c r="AE164" s="55" t="s">
        <v>78</v>
      </c>
      <c r="AF164" s="55">
        <v>0</v>
      </c>
      <c r="AG164" s="55" t="s">
        <v>81</v>
      </c>
      <c r="AH164" s="55" t="s">
        <v>78</v>
      </c>
      <c r="AI164" s="59" t="s">
        <v>81</v>
      </c>
      <c r="AJ164" s="55" t="s">
        <v>78</v>
      </c>
      <c r="AK164" s="55" t="s">
        <v>78</v>
      </c>
      <c r="AL164" s="55" t="s">
        <v>81</v>
      </c>
      <c r="AM164" s="55" t="s">
        <v>81</v>
      </c>
      <c r="AN164" s="55" t="s">
        <v>78</v>
      </c>
      <c r="AO164" s="60" t="s">
        <v>81</v>
      </c>
      <c r="AP164" s="58" t="s">
        <v>74</v>
      </c>
      <c r="AQ164" s="55" t="s">
        <v>256</v>
      </c>
    </row>
    <row r="165" spans="1:43" ht="16.2" hidden="1" x14ac:dyDescent="0.45">
      <c r="A165" s="55" t="s">
        <v>1185</v>
      </c>
      <c r="B165" s="55" t="s">
        <v>1186</v>
      </c>
      <c r="C165" s="55">
        <v>2016</v>
      </c>
      <c r="D165" s="55" t="s">
        <v>254</v>
      </c>
      <c r="E165" s="56" t="s">
        <v>78</v>
      </c>
      <c r="F165" s="57" t="s">
        <v>555</v>
      </c>
      <c r="G165" s="56" t="s">
        <v>580</v>
      </c>
      <c r="H165" s="55" t="s">
        <v>115</v>
      </c>
      <c r="I165" s="55" t="s">
        <v>676</v>
      </c>
      <c r="J165" s="57" t="s">
        <v>81</v>
      </c>
      <c r="K165" s="55" t="s">
        <v>74</v>
      </c>
      <c r="L165" s="63">
        <v>55810000</v>
      </c>
      <c r="M165" s="63">
        <v>55810000</v>
      </c>
      <c r="N165" s="63">
        <v>77337591.299999997</v>
      </c>
      <c r="O165" s="63">
        <v>35900000</v>
      </c>
      <c r="P165" s="63">
        <v>35900000</v>
      </c>
      <c r="Q165" s="63">
        <v>49747707</v>
      </c>
      <c r="R165" s="63">
        <v>35900000</v>
      </c>
      <c r="S165" s="63">
        <v>35900000</v>
      </c>
      <c r="T165" s="63">
        <v>49747707</v>
      </c>
      <c r="U165" s="55" t="s">
        <v>81</v>
      </c>
      <c r="V165" s="55" t="s">
        <v>78</v>
      </c>
      <c r="W165" s="55" t="s">
        <v>81</v>
      </c>
      <c r="X165" s="59" t="s">
        <v>78</v>
      </c>
      <c r="Y165" s="59" t="s">
        <v>81</v>
      </c>
      <c r="Z165" s="55">
        <v>0</v>
      </c>
      <c r="AA165" s="55" t="s">
        <v>78</v>
      </c>
      <c r="AB165" s="55">
        <v>0</v>
      </c>
      <c r="AC165" s="55" t="s">
        <v>78</v>
      </c>
      <c r="AD165" s="55">
        <v>0</v>
      </c>
      <c r="AE165" s="55" t="s">
        <v>78</v>
      </c>
      <c r="AF165" s="55">
        <v>0</v>
      </c>
      <c r="AG165" s="55" t="s">
        <v>81</v>
      </c>
      <c r="AH165" s="55" t="s">
        <v>78</v>
      </c>
      <c r="AI165" s="59" t="s">
        <v>81</v>
      </c>
      <c r="AJ165" s="55" t="s">
        <v>78</v>
      </c>
      <c r="AK165" s="55" t="s">
        <v>78</v>
      </c>
      <c r="AL165" s="55" t="s">
        <v>81</v>
      </c>
      <c r="AM165" s="55" t="s">
        <v>81</v>
      </c>
      <c r="AN165" s="55" t="s">
        <v>78</v>
      </c>
      <c r="AO165" s="60" t="s">
        <v>81</v>
      </c>
      <c r="AP165" s="58" t="s">
        <v>74</v>
      </c>
      <c r="AQ165" s="55" t="s">
        <v>115</v>
      </c>
    </row>
    <row r="166" spans="1:43" ht="16.2" hidden="1" x14ac:dyDescent="0.45">
      <c r="A166" s="55" t="s">
        <v>1187</v>
      </c>
      <c r="B166" s="55" t="s">
        <v>1188</v>
      </c>
      <c r="C166" s="55">
        <v>2016</v>
      </c>
      <c r="D166" s="55" t="s">
        <v>419</v>
      </c>
      <c r="E166" s="56" t="s">
        <v>78</v>
      </c>
      <c r="F166" s="57" t="s">
        <v>563</v>
      </c>
      <c r="G166" s="56" t="s">
        <v>228</v>
      </c>
      <c r="H166" s="55" t="s">
        <v>228</v>
      </c>
      <c r="I166" s="55" t="s">
        <v>689</v>
      </c>
      <c r="J166" s="57" t="s">
        <v>81</v>
      </c>
      <c r="K166" s="55" t="s">
        <v>126</v>
      </c>
      <c r="L166" s="63">
        <v>1000000</v>
      </c>
      <c r="M166" s="63">
        <v>721641.30097493739</v>
      </c>
      <c r="N166" s="63">
        <v>999999.99999999988</v>
      </c>
      <c r="O166" s="63">
        <v>723227.91</v>
      </c>
      <c r="P166" s="63">
        <v>723227.91</v>
      </c>
      <c r="Q166" s="63">
        <v>1002198.6117243</v>
      </c>
      <c r="R166" s="63">
        <v>723227.91</v>
      </c>
      <c r="S166" s="63">
        <v>723227.91</v>
      </c>
      <c r="T166" s="63">
        <v>1002198.6117243</v>
      </c>
      <c r="U166" s="55" t="s">
        <v>75</v>
      </c>
      <c r="V166" s="55" t="s">
        <v>1189</v>
      </c>
      <c r="W166" s="55" t="s">
        <v>75</v>
      </c>
      <c r="X166" s="59" t="s">
        <v>1190</v>
      </c>
      <c r="Y166" s="59" t="s">
        <v>75</v>
      </c>
      <c r="Z166" s="55">
        <v>0</v>
      </c>
      <c r="AA166" s="55" t="s">
        <v>78</v>
      </c>
      <c r="AB166" s="55">
        <v>999</v>
      </c>
      <c r="AC166" s="55" t="s">
        <v>1191</v>
      </c>
      <c r="AD166" s="55">
        <v>999</v>
      </c>
      <c r="AE166" s="55" t="s">
        <v>1192</v>
      </c>
      <c r="AF166" s="55">
        <v>2</v>
      </c>
      <c r="AG166" s="55" t="s">
        <v>75</v>
      </c>
      <c r="AH166" s="55" t="s">
        <v>1193</v>
      </c>
      <c r="AI166" s="59" t="s">
        <v>75</v>
      </c>
      <c r="AJ166" s="55" t="s">
        <v>795</v>
      </c>
      <c r="AK166" s="55" t="s">
        <v>796</v>
      </c>
      <c r="AL166" s="55" t="s">
        <v>81</v>
      </c>
      <c r="AM166" s="55" t="s">
        <v>81</v>
      </c>
      <c r="AN166" s="55" t="s">
        <v>78</v>
      </c>
      <c r="AO166" s="60" t="s">
        <v>75</v>
      </c>
      <c r="AP166" s="58" t="s">
        <v>126</v>
      </c>
      <c r="AQ166" s="55" t="s">
        <v>228</v>
      </c>
    </row>
    <row r="167" spans="1:43" ht="16.2" hidden="1" x14ac:dyDescent="0.45">
      <c r="A167" s="55" t="s">
        <v>1194</v>
      </c>
      <c r="B167" s="55" t="s">
        <v>1195</v>
      </c>
      <c r="C167" s="55">
        <v>2016</v>
      </c>
      <c r="D167" s="55" t="s">
        <v>445</v>
      </c>
      <c r="E167" s="56" t="s">
        <v>78</v>
      </c>
      <c r="F167" s="57" t="s">
        <v>552</v>
      </c>
      <c r="G167" s="56" t="s">
        <v>228</v>
      </c>
      <c r="H167" s="55" t="s">
        <v>228</v>
      </c>
      <c r="I167" s="55" t="s">
        <v>689</v>
      </c>
      <c r="J167" s="57" t="s">
        <v>81</v>
      </c>
      <c r="K167" s="55" t="s">
        <v>126</v>
      </c>
      <c r="L167" s="63">
        <v>1000000</v>
      </c>
      <c r="M167" s="63">
        <v>721641.30097493739</v>
      </c>
      <c r="N167" s="63">
        <v>999999.99999999988</v>
      </c>
      <c r="O167" s="63">
        <v>723227.91</v>
      </c>
      <c r="P167" s="63">
        <v>723227.91</v>
      </c>
      <c r="Q167" s="63">
        <v>1002198.6117243</v>
      </c>
      <c r="R167" s="63">
        <v>723227.91</v>
      </c>
      <c r="S167" s="63">
        <v>723227.91</v>
      </c>
      <c r="T167" s="63">
        <v>1002198.6117243</v>
      </c>
      <c r="U167" s="55" t="s">
        <v>81</v>
      </c>
      <c r="V167" s="55" t="s">
        <v>78</v>
      </c>
      <c r="W167" s="55" t="s">
        <v>81</v>
      </c>
      <c r="X167" s="59" t="s">
        <v>78</v>
      </c>
      <c r="Y167" s="59" t="s">
        <v>81</v>
      </c>
      <c r="Z167" s="55">
        <v>0</v>
      </c>
      <c r="AA167" s="55" t="s">
        <v>78</v>
      </c>
      <c r="AB167" s="55">
        <v>0</v>
      </c>
      <c r="AC167" s="55" t="s">
        <v>78</v>
      </c>
      <c r="AD167" s="55">
        <v>0</v>
      </c>
      <c r="AE167" s="55" t="s">
        <v>78</v>
      </c>
      <c r="AF167" s="55">
        <v>0</v>
      </c>
      <c r="AG167" s="55" t="s">
        <v>81</v>
      </c>
      <c r="AH167" s="55" t="s">
        <v>78</v>
      </c>
      <c r="AI167" s="59" t="s">
        <v>81</v>
      </c>
      <c r="AJ167" s="55" t="s">
        <v>78</v>
      </c>
      <c r="AK167" s="55" t="s">
        <v>78</v>
      </c>
      <c r="AL167" s="55" t="s">
        <v>81</v>
      </c>
      <c r="AM167" s="55" t="s">
        <v>81</v>
      </c>
      <c r="AN167" s="55" t="s">
        <v>78</v>
      </c>
      <c r="AO167" s="60" t="s">
        <v>81</v>
      </c>
      <c r="AP167" s="58" t="s">
        <v>126</v>
      </c>
      <c r="AQ167" s="55" t="s">
        <v>228</v>
      </c>
    </row>
    <row r="168" spans="1:43" ht="13.2" hidden="1" x14ac:dyDescent="0.25">
      <c r="A168" s="90" t="s">
        <v>1196</v>
      </c>
      <c r="B168" s="90" t="s">
        <v>1197</v>
      </c>
      <c r="C168" s="90">
        <v>2016</v>
      </c>
      <c r="D168" s="90" t="s">
        <v>509</v>
      </c>
      <c r="E168" s="91" t="s">
        <v>78</v>
      </c>
      <c r="F168" s="90" t="s">
        <v>560</v>
      </c>
      <c r="G168" s="91" t="s">
        <v>587</v>
      </c>
      <c r="H168" s="90" t="s">
        <v>256</v>
      </c>
      <c r="I168" s="90" t="s">
        <v>679</v>
      </c>
      <c r="J168" s="90" t="s">
        <v>81</v>
      </c>
      <c r="K168" s="90" t="s">
        <v>74</v>
      </c>
      <c r="L168" s="92">
        <v>5513994.5700000003</v>
      </c>
      <c r="M168" s="92">
        <v>5513994.5700000003</v>
      </c>
      <c r="N168" s="92">
        <v>7640907.6954860995</v>
      </c>
      <c r="O168" s="92">
        <v>5460629.9199999999</v>
      </c>
      <c r="P168" s="92">
        <v>5460629.9199999999</v>
      </c>
      <c r="Q168" s="92">
        <v>7566958.6990415994</v>
      </c>
      <c r="R168" s="92">
        <v>3000000</v>
      </c>
      <c r="S168" s="92">
        <v>3000000</v>
      </c>
      <c r="T168" s="92">
        <v>4157189.9999999995</v>
      </c>
      <c r="U168" s="90" t="s">
        <v>81</v>
      </c>
      <c r="V168" s="90" t="s">
        <v>78</v>
      </c>
      <c r="W168" s="90" t="s">
        <v>81</v>
      </c>
      <c r="X168" s="93" t="s">
        <v>78</v>
      </c>
      <c r="Y168" s="93" t="s">
        <v>81</v>
      </c>
      <c r="Z168" s="90">
        <v>0</v>
      </c>
      <c r="AA168" s="90" t="s">
        <v>78</v>
      </c>
      <c r="AB168" s="90">
        <v>0</v>
      </c>
      <c r="AC168" s="90" t="s">
        <v>78</v>
      </c>
      <c r="AD168" s="90">
        <v>0</v>
      </c>
      <c r="AE168" s="90" t="s">
        <v>78</v>
      </c>
      <c r="AF168" s="90">
        <v>0</v>
      </c>
      <c r="AG168" s="90" t="s">
        <v>81</v>
      </c>
      <c r="AH168" s="90" t="s">
        <v>78</v>
      </c>
      <c r="AI168" s="93" t="s">
        <v>81</v>
      </c>
      <c r="AJ168" s="90" t="s">
        <v>78</v>
      </c>
      <c r="AK168" s="90" t="s">
        <v>78</v>
      </c>
      <c r="AL168" s="90" t="s">
        <v>81</v>
      </c>
      <c r="AM168" s="90" t="s">
        <v>81</v>
      </c>
      <c r="AN168" s="90" t="s">
        <v>78</v>
      </c>
      <c r="AO168" s="79" t="s">
        <v>81</v>
      </c>
      <c r="AP168" s="94" t="s">
        <v>74</v>
      </c>
      <c r="AQ168" s="90" t="s">
        <v>256</v>
      </c>
    </row>
    <row r="169" spans="1:43" ht="16.2" hidden="1" x14ac:dyDescent="0.45">
      <c r="A169" s="55" t="s">
        <v>1198</v>
      </c>
      <c r="B169" s="55" t="s">
        <v>1199</v>
      </c>
      <c r="C169" s="55">
        <v>2016</v>
      </c>
      <c r="D169" s="55" t="s">
        <v>184</v>
      </c>
      <c r="E169" s="56" t="s">
        <v>78</v>
      </c>
      <c r="F169" s="57" t="s">
        <v>554</v>
      </c>
      <c r="G169" s="56" t="s">
        <v>228</v>
      </c>
      <c r="H169" s="55" t="s">
        <v>228</v>
      </c>
      <c r="I169" s="55" t="s">
        <v>689</v>
      </c>
      <c r="J169" s="57" t="s">
        <v>81</v>
      </c>
      <c r="K169" s="55" t="s">
        <v>74</v>
      </c>
      <c r="L169" s="63">
        <v>507246</v>
      </c>
      <c r="M169" s="63">
        <v>507246</v>
      </c>
      <c r="N169" s="63">
        <v>702905.99957999995</v>
      </c>
      <c r="O169" s="63">
        <v>507246</v>
      </c>
      <c r="P169" s="63">
        <v>507246</v>
      </c>
      <c r="Q169" s="63">
        <v>702905.99957999995</v>
      </c>
      <c r="R169" s="63">
        <v>507246</v>
      </c>
      <c r="S169" s="63">
        <v>507246</v>
      </c>
      <c r="T169" s="63">
        <v>702905.99957999995</v>
      </c>
      <c r="U169" s="55" t="s">
        <v>81</v>
      </c>
      <c r="V169" s="55" t="s">
        <v>78</v>
      </c>
      <c r="W169" s="55" t="s">
        <v>81</v>
      </c>
      <c r="X169" s="59" t="s">
        <v>78</v>
      </c>
      <c r="Y169" s="59" t="s">
        <v>81</v>
      </c>
      <c r="Z169" s="55">
        <v>0</v>
      </c>
      <c r="AA169" s="55" t="s">
        <v>78</v>
      </c>
      <c r="AB169" s="55">
        <v>0</v>
      </c>
      <c r="AC169" s="55" t="s">
        <v>78</v>
      </c>
      <c r="AD169" s="55">
        <v>0</v>
      </c>
      <c r="AE169" s="55" t="s">
        <v>78</v>
      </c>
      <c r="AF169" s="55">
        <v>0</v>
      </c>
      <c r="AG169" s="55" t="s">
        <v>81</v>
      </c>
      <c r="AH169" s="55" t="s">
        <v>78</v>
      </c>
      <c r="AI169" s="59" t="s">
        <v>81</v>
      </c>
      <c r="AJ169" s="55" t="s">
        <v>78</v>
      </c>
      <c r="AK169" s="55" t="s">
        <v>78</v>
      </c>
      <c r="AL169" s="55" t="s">
        <v>81</v>
      </c>
      <c r="AM169" s="55" t="s">
        <v>81</v>
      </c>
      <c r="AN169" s="55" t="s">
        <v>78</v>
      </c>
      <c r="AO169" s="60" t="s">
        <v>81</v>
      </c>
      <c r="AP169" s="58" t="s">
        <v>74</v>
      </c>
      <c r="AQ169" s="55" t="s">
        <v>228</v>
      </c>
    </row>
    <row r="170" spans="1:43" ht="16.2" hidden="1" x14ac:dyDescent="0.45">
      <c r="A170" s="55" t="s">
        <v>1200</v>
      </c>
      <c r="B170" s="55" t="s">
        <v>1201</v>
      </c>
      <c r="C170" s="55">
        <v>2016</v>
      </c>
      <c r="D170" s="55" t="s">
        <v>87</v>
      </c>
      <c r="E170" s="56" t="s">
        <v>937</v>
      </c>
      <c r="F170" s="57" t="s">
        <v>1848</v>
      </c>
      <c r="G170" s="55" t="s">
        <v>596</v>
      </c>
      <c r="H170" s="55" t="s">
        <v>101</v>
      </c>
      <c r="I170" s="55" t="s">
        <v>676</v>
      </c>
      <c r="J170" s="57" t="s">
        <v>81</v>
      </c>
      <c r="K170" s="55" t="s">
        <v>74</v>
      </c>
      <c r="L170" s="63">
        <v>2608000</v>
      </c>
      <c r="M170" s="63">
        <v>2608000</v>
      </c>
      <c r="N170" s="63">
        <v>3613983.84</v>
      </c>
      <c r="O170" s="63">
        <v>2608000</v>
      </c>
      <c r="P170" s="63">
        <v>2608000</v>
      </c>
      <c r="Q170" s="63">
        <v>3613983.84</v>
      </c>
      <c r="R170" s="63">
        <v>2608000</v>
      </c>
      <c r="S170" s="63">
        <v>2608000</v>
      </c>
      <c r="T170" s="63">
        <v>3613983.84</v>
      </c>
      <c r="U170" s="55" t="s">
        <v>81</v>
      </c>
      <c r="V170" s="55" t="s">
        <v>78</v>
      </c>
      <c r="W170" s="55" t="s">
        <v>81</v>
      </c>
      <c r="X170" s="59" t="s">
        <v>78</v>
      </c>
      <c r="Y170" s="59" t="s">
        <v>81</v>
      </c>
      <c r="Z170" s="55">
        <v>0</v>
      </c>
      <c r="AA170" s="55" t="s">
        <v>78</v>
      </c>
      <c r="AB170" s="55">
        <v>0</v>
      </c>
      <c r="AC170" s="55" t="s">
        <v>78</v>
      </c>
      <c r="AD170" s="55">
        <v>0</v>
      </c>
      <c r="AE170" s="55" t="s">
        <v>78</v>
      </c>
      <c r="AF170" s="55">
        <v>0</v>
      </c>
      <c r="AG170" s="55" t="s">
        <v>81</v>
      </c>
      <c r="AH170" s="55" t="s">
        <v>78</v>
      </c>
      <c r="AI170" s="59" t="s">
        <v>81</v>
      </c>
      <c r="AJ170" s="55" t="s">
        <v>78</v>
      </c>
      <c r="AK170" s="55" t="s">
        <v>78</v>
      </c>
      <c r="AL170" s="55" t="s">
        <v>81</v>
      </c>
      <c r="AM170" s="55" t="s">
        <v>81</v>
      </c>
      <c r="AN170" s="55" t="s">
        <v>78</v>
      </c>
      <c r="AO170" s="60" t="s">
        <v>81</v>
      </c>
      <c r="AP170" s="58" t="s">
        <v>74</v>
      </c>
      <c r="AQ170" s="55" t="s">
        <v>101</v>
      </c>
    </row>
    <row r="171" spans="1:43" ht="16.2" hidden="1" x14ac:dyDescent="0.45">
      <c r="A171" s="55" t="s">
        <v>1202</v>
      </c>
      <c r="B171" s="55" t="s">
        <v>1203</v>
      </c>
      <c r="C171" s="55">
        <v>2016</v>
      </c>
      <c r="D171" s="55" t="s">
        <v>87</v>
      </c>
      <c r="E171" s="56" t="s">
        <v>1204</v>
      </c>
      <c r="F171" s="57" t="s">
        <v>1848</v>
      </c>
      <c r="G171" s="55" t="s">
        <v>596</v>
      </c>
      <c r="H171" s="55" t="s">
        <v>101</v>
      </c>
      <c r="I171" s="55" t="s">
        <v>676</v>
      </c>
      <c r="J171" s="57" t="s">
        <v>81</v>
      </c>
      <c r="K171" s="55" t="s">
        <v>74</v>
      </c>
      <c r="L171" s="63">
        <v>2670000</v>
      </c>
      <c r="M171" s="63">
        <v>2670000</v>
      </c>
      <c r="N171" s="63">
        <v>3699899.0999999996</v>
      </c>
      <c r="O171" s="63">
        <v>2670000</v>
      </c>
      <c r="P171" s="63">
        <v>2670000</v>
      </c>
      <c r="Q171" s="63">
        <v>3699899.0999999996</v>
      </c>
      <c r="R171" s="63">
        <v>2670000</v>
      </c>
      <c r="S171" s="63">
        <v>2670000</v>
      </c>
      <c r="T171" s="63">
        <v>3699899.0999999996</v>
      </c>
      <c r="U171" s="55" t="s">
        <v>81</v>
      </c>
      <c r="V171" s="55" t="s">
        <v>78</v>
      </c>
      <c r="W171" s="55" t="s">
        <v>81</v>
      </c>
      <c r="X171" s="59" t="s">
        <v>78</v>
      </c>
      <c r="Y171" s="59" t="s">
        <v>81</v>
      </c>
      <c r="Z171" s="55">
        <v>0</v>
      </c>
      <c r="AA171" s="55" t="s">
        <v>78</v>
      </c>
      <c r="AB171" s="55">
        <v>0</v>
      </c>
      <c r="AC171" s="55" t="s">
        <v>78</v>
      </c>
      <c r="AD171" s="55">
        <v>0</v>
      </c>
      <c r="AE171" s="55" t="s">
        <v>78</v>
      </c>
      <c r="AF171" s="55">
        <v>0</v>
      </c>
      <c r="AG171" s="55" t="s">
        <v>81</v>
      </c>
      <c r="AH171" s="55" t="s">
        <v>78</v>
      </c>
      <c r="AI171" s="59" t="s">
        <v>81</v>
      </c>
      <c r="AJ171" s="55" t="s">
        <v>78</v>
      </c>
      <c r="AK171" s="55" t="s">
        <v>78</v>
      </c>
      <c r="AL171" s="55" t="s">
        <v>81</v>
      </c>
      <c r="AM171" s="55" t="s">
        <v>81</v>
      </c>
      <c r="AN171" s="55" t="s">
        <v>78</v>
      </c>
      <c r="AO171" s="60" t="s">
        <v>81</v>
      </c>
      <c r="AP171" s="58" t="s">
        <v>74</v>
      </c>
      <c r="AQ171" s="55" t="s">
        <v>101</v>
      </c>
    </row>
    <row r="172" spans="1:43" ht="16.2" hidden="1" x14ac:dyDescent="0.45">
      <c r="A172" s="55" t="s">
        <v>1205</v>
      </c>
      <c r="B172" s="56" t="s">
        <v>1206</v>
      </c>
      <c r="C172" s="55">
        <v>2016</v>
      </c>
      <c r="D172" s="55" t="s">
        <v>184</v>
      </c>
      <c r="E172" s="56" t="s">
        <v>78</v>
      </c>
      <c r="F172" s="57" t="s">
        <v>554</v>
      </c>
      <c r="G172" s="56" t="s">
        <v>228</v>
      </c>
      <c r="H172" s="56" t="s">
        <v>228</v>
      </c>
      <c r="I172" s="56" t="s">
        <v>689</v>
      </c>
      <c r="J172" s="61" t="s">
        <v>81</v>
      </c>
      <c r="K172" s="55" t="s">
        <v>74</v>
      </c>
      <c r="L172" s="63">
        <v>715328</v>
      </c>
      <c r="M172" s="63">
        <v>715328</v>
      </c>
      <c r="N172" s="63">
        <v>991251.4694399999</v>
      </c>
      <c r="O172" s="63">
        <v>715328</v>
      </c>
      <c r="P172" s="63">
        <v>715328</v>
      </c>
      <c r="Q172" s="63">
        <v>991251.4694399999</v>
      </c>
      <c r="R172" s="63">
        <v>715328</v>
      </c>
      <c r="S172" s="63">
        <v>715328</v>
      </c>
      <c r="T172" s="63">
        <v>991251.4694399999</v>
      </c>
      <c r="U172" s="55" t="s">
        <v>81</v>
      </c>
      <c r="V172" s="55" t="s">
        <v>78</v>
      </c>
      <c r="W172" s="55" t="s">
        <v>81</v>
      </c>
      <c r="X172" s="59" t="s">
        <v>78</v>
      </c>
      <c r="Y172" s="59" t="s">
        <v>81</v>
      </c>
      <c r="Z172" s="55">
        <v>0</v>
      </c>
      <c r="AA172" s="55" t="s">
        <v>78</v>
      </c>
      <c r="AB172" s="55">
        <v>0</v>
      </c>
      <c r="AC172" s="55" t="s">
        <v>78</v>
      </c>
      <c r="AD172" s="55">
        <v>0</v>
      </c>
      <c r="AE172" s="55" t="s">
        <v>78</v>
      </c>
      <c r="AF172" s="55">
        <v>0</v>
      </c>
      <c r="AG172" s="55" t="s">
        <v>81</v>
      </c>
      <c r="AH172" s="55" t="s">
        <v>78</v>
      </c>
      <c r="AI172" s="59" t="s">
        <v>81</v>
      </c>
      <c r="AJ172" s="55" t="s">
        <v>78</v>
      </c>
      <c r="AK172" s="55" t="s">
        <v>78</v>
      </c>
      <c r="AL172" s="55" t="s">
        <v>81</v>
      </c>
      <c r="AM172" s="55" t="s">
        <v>81</v>
      </c>
      <c r="AN172" s="55" t="s">
        <v>78</v>
      </c>
      <c r="AO172" s="60" t="s">
        <v>81</v>
      </c>
      <c r="AP172" s="58" t="s">
        <v>74</v>
      </c>
      <c r="AQ172" s="56" t="s">
        <v>228</v>
      </c>
    </row>
    <row r="173" spans="1:43" ht="16.2" hidden="1" x14ac:dyDescent="0.45">
      <c r="A173" s="55" t="s">
        <v>1207</v>
      </c>
      <c r="B173" s="56" t="s">
        <v>1208</v>
      </c>
      <c r="C173" s="55">
        <v>2016</v>
      </c>
      <c r="D173" s="55" t="s">
        <v>377</v>
      </c>
      <c r="E173" s="56" t="s">
        <v>78</v>
      </c>
      <c r="F173" s="57" t="s">
        <v>544</v>
      </c>
      <c r="G173" s="56" t="s">
        <v>598</v>
      </c>
      <c r="H173" s="55" t="s">
        <v>101</v>
      </c>
      <c r="I173" s="55" t="s">
        <v>676</v>
      </c>
      <c r="J173" s="57" t="s">
        <v>81</v>
      </c>
      <c r="K173" s="55" t="s">
        <v>126</v>
      </c>
      <c r="L173" s="63">
        <v>2500000</v>
      </c>
      <c r="M173" s="63">
        <v>1804103.2524373436</v>
      </c>
      <c r="N173" s="63">
        <v>2500000</v>
      </c>
      <c r="O173" s="63">
        <v>1723227.91</v>
      </c>
      <c r="P173" s="63">
        <v>1723227.91</v>
      </c>
      <c r="Q173" s="63">
        <v>2387928.6117242998</v>
      </c>
      <c r="R173" s="63">
        <v>1000000</v>
      </c>
      <c r="S173" s="63">
        <v>1000000</v>
      </c>
      <c r="T173" s="63">
        <v>1385730</v>
      </c>
      <c r="U173" s="55" t="s">
        <v>81</v>
      </c>
      <c r="V173" s="55" t="s">
        <v>78</v>
      </c>
      <c r="W173" s="55" t="s">
        <v>81</v>
      </c>
      <c r="X173" s="59" t="s">
        <v>78</v>
      </c>
      <c r="Y173" s="59" t="s">
        <v>81</v>
      </c>
      <c r="Z173" s="55">
        <v>0</v>
      </c>
      <c r="AA173" s="55" t="s">
        <v>78</v>
      </c>
      <c r="AB173" s="55">
        <v>0</v>
      </c>
      <c r="AC173" s="55" t="s">
        <v>78</v>
      </c>
      <c r="AD173" s="55">
        <v>0</v>
      </c>
      <c r="AE173" s="55" t="s">
        <v>78</v>
      </c>
      <c r="AF173" s="55">
        <v>0</v>
      </c>
      <c r="AG173" s="55" t="s">
        <v>81</v>
      </c>
      <c r="AH173" s="55" t="s">
        <v>78</v>
      </c>
      <c r="AI173" s="59" t="s">
        <v>81</v>
      </c>
      <c r="AJ173" s="55" t="s">
        <v>78</v>
      </c>
      <c r="AK173" s="55" t="s">
        <v>78</v>
      </c>
      <c r="AL173" s="55" t="s">
        <v>81</v>
      </c>
      <c r="AM173" s="55" t="s">
        <v>81</v>
      </c>
      <c r="AN173" s="55" t="s">
        <v>78</v>
      </c>
      <c r="AO173" s="60" t="s">
        <v>81</v>
      </c>
      <c r="AP173" s="58" t="s">
        <v>126</v>
      </c>
      <c r="AQ173" s="55" t="s">
        <v>101</v>
      </c>
    </row>
    <row r="174" spans="1:43" ht="16.2" hidden="1" x14ac:dyDescent="0.45">
      <c r="A174" s="55" t="s">
        <v>1209</v>
      </c>
      <c r="B174" s="56" t="s">
        <v>1210</v>
      </c>
      <c r="C174" s="55">
        <v>2016</v>
      </c>
      <c r="D174" s="55" t="s">
        <v>419</v>
      </c>
      <c r="E174" s="56" t="s">
        <v>78</v>
      </c>
      <c r="F174" s="57" t="s">
        <v>563</v>
      </c>
      <c r="G174" s="56" t="s">
        <v>581</v>
      </c>
      <c r="H174" s="56" t="s">
        <v>228</v>
      </c>
      <c r="I174" s="56" t="s">
        <v>689</v>
      </c>
      <c r="J174" s="61" t="s">
        <v>81</v>
      </c>
      <c r="K174" s="55" t="s">
        <v>616</v>
      </c>
      <c r="L174" s="63">
        <v>855131000</v>
      </c>
      <c r="M174" s="63">
        <v>39697463.465359405</v>
      </c>
      <c r="N174" s="63">
        <v>55009966.047852486</v>
      </c>
      <c r="O174" s="63">
        <v>43156393.990000002</v>
      </c>
      <c r="P174" s="63">
        <v>43156393.990000002</v>
      </c>
      <c r="Q174" s="63">
        <v>59803109.843762696</v>
      </c>
      <c r="R174" s="63">
        <v>43156393.990000002</v>
      </c>
      <c r="S174" s="63">
        <v>43156393.990000002</v>
      </c>
      <c r="T174" s="63">
        <v>59803109.843762696</v>
      </c>
      <c r="U174" s="55" t="s">
        <v>81</v>
      </c>
      <c r="V174" s="55" t="s">
        <v>78</v>
      </c>
      <c r="W174" s="55" t="s">
        <v>81</v>
      </c>
      <c r="X174" s="59" t="s">
        <v>78</v>
      </c>
      <c r="Y174" s="59" t="s">
        <v>81</v>
      </c>
      <c r="Z174" s="55">
        <v>0</v>
      </c>
      <c r="AA174" s="55" t="s">
        <v>78</v>
      </c>
      <c r="AB174" s="55">
        <v>0</v>
      </c>
      <c r="AC174" s="55" t="s">
        <v>78</v>
      </c>
      <c r="AD174" s="55">
        <v>0</v>
      </c>
      <c r="AE174" s="55" t="s">
        <v>78</v>
      </c>
      <c r="AF174" s="55">
        <v>0</v>
      </c>
      <c r="AG174" s="55" t="s">
        <v>81</v>
      </c>
      <c r="AH174" s="55" t="s">
        <v>78</v>
      </c>
      <c r="AI174" s="59" t="s">
        <v>81</v>
      </c>
      <c r="AJ174" s="55" t="s">
        <v>78</v>
      </c>
      <c r="AK174" s="55" t="s">
        <v>78</v>
      </c>
      <c r="AL174" s="55" t="s">
        <v>81</v>
      </c>
      <c r="AM174" s="55" t="s">
        <v>81</v>
      </c>
      <c r="AN174" s="55" t="s">
        <v>78</v>
      </c>
      <c r="AO174" s="60" t="s">
        <v>81</v>
      </c>
      <c r="AP174" s="58" t="s">
        <v>616</v>
      </c>
      <c r="AQ174" s="56" t="s">
        <v>228</v>
      </c>
    </row>
    <row r="175" spans="1:43" ht="13.2" hidden="1" x14ac:dyDescent="0.25">
      <c r="A175" s="90" t="s">
        <v>1211</v>
      </c>
      <c r="B175" s="91" t="s">
        <v>1212</v>
      </c>
      <c r="C175" s="90">
        <v>2016</v>
      </c>
      <c r="D175" s="90" t="s">
        <v>151</v>
      </c>
      <c r="E175" s="91" t="s">
        <v>78</v>
      </c>
      <c r="F175" s="90" t="s">
        <v>546</v>
      </c>
      <c r="G175" s="91" t="s">
        <v>589</v>
      </c>
      <c r="H175" s="90" t="s">
        <v>256</v>
      </c>
      <c r="I175" s="90" t="s">
        <v>679</v>
      </c>
      <c r="J175" s="90" t="s">
        <v>75</v>
      </c>
      <c r="K175" s="90" t="s">
        <v>104</v>
      </c>
      <c r="L175" s="92">
        <v>2910000</v>
      </c>
      <c r="M175" s="92">
        <v>2286244.0388740054</v>
      </c>
      <c r="N175" s="92">
        <v>3168116.9519888754</v>
      </c>
      <c r="O175" s="92">
        <v>668553.15</v>
      </c>
      <c r="P175" s="92">
        <v>668553.15</v>
      </c>
      <c r="Q175" s="92">
        <v>926434.15654949995</v>
      </c>
      <c r="R175" s="92">
        <v>0</v>
      </c>
      <c r="S175" s="92">
        <v>0</v>
      </c>
      <c r="T175" s="92">
        <v>0</v>
      </c>
      <c r="U175" s="90" t="s">
        <v>81</v>
      </c>
      <c r="V175" s="90" t="s">
        <v>78</v>
      </c>
      <c r="W175" s="90" t="s">
        <v>81</v>
      </c>
      <c r="X175" s="93" t="s">
        <v>78</v>
      </c>
      <c r="Y175" s="93" t="s">
        <v>81</v>
      </c>
      <c r="Z175" s="90">
        <v>0</v>
      </c>
      <c r="AA175" s="90" t="s">
        <v>78</v>
      </c>
      <c r="AB175" s="90">
        <v>0</v>
      </c>
      <c r="AC175" s="90" t="s">
        <v>78</v>
      </c>
      <c r="AD175" s="90">
        <v>0</v>
      </c>
      <c r="AE175" s="90" t="s">
        <v>78</v>
      </c>
      <c r="AF175" s="90">
        <v>0</v>
      </c>
      <c r="AG175" s="90" t="s">
        <v>81</v>
      </c>
      <c r="AH175" s="90" t="s">
        <v>78</v>
      </c>
      <c r="AI175" s="93" t="s">
        <v>81</v>
      </c>
      <c r="AJ175" s="90" t="s">
        <v>78</v>
      </c>
      <c r="AK175" s="90" t="s">
        <v>78</v>
      </c>
      <c r="AL175" s="90" t="s">
        <v>81</v>
      </c>
      <c r="AM175" s="90" t="s">
        <v>81</v>
      </c>
      <c r="AN175" s="90" t="s">
        <v>78</v>
      </c>
      <c r="AO175" s="79" t="s">
        <v>81</v>
      </c>
      <c r="AP175" s="94" t="s">
        <v>104</v>
      </c>
      <c r="AQ175" s="90" t="s">
        <v>256</v>
      </c>
    </row>
    <row r="176" spans="1:43" ht="16.2" hidden="1" x14ac:dyDescent="0.45">
      <c r="A176" s="55" t="s">
        <v>1213</v>
      </c>
      <c r="B176" s="56" t="s">
        <v>1214</v>
      </c>
      <c r="C176" s="55">
        <v>2016</v>
      </c>
      <c r="D176" s="55" t="s">
        <v>501</v>
      </c>
      <c r="E176" s="56" t="s">
        <v>78</v>
      </c>
      <c r="F176" s="57" t="s">
        <v>551</v>
      </c>
      <c r="G176" s="56" t="s">
        <v>228</v>
      </c>
      <c r="H176" s="56" t="s">
        <v>228</v>
      </c>
      <c r="I176" s="56" t="s">
        <v>689</v>
      </c>
      <c r="J176" s="61" t="s">
        <v>81</v>
      </c>
      <c r="K176" s="55" t="s">
        <v>126</v>
      </c>
      <c r="L176" s="63">
        <v>1000000</v>
      </c>
      <c r="M176" s="63">
        <v>721641.30097493739</v>
      </c>
      <c r="N176" s="63">
        <v>999999.99999999988</v>
      </c>
      <c r="O176" s="63">
        <v>723227.91</v>
      </c>
      <c r="P176" s="63">
        <v>723227.91</v>
      </c>
      <c r="Q176" s="63">
        <v>1002198.6117243</v>
      </c>
      <c r="R176" s="63">
        <v>723227.91</v>
      </c>
      <c r="S176" s="63">
        <v>723227.91</v>
      </c>
      <c r="T176" s="63">
        <v>1002198.6117243</v>
      </c>
      <c r="U176" s="55" t="s">
        <v>75</v>
      </c>
      <c r="V176" s="55" t="s">
        <v>1215</v>
      </c>
      <c r="W176" s="55" t="s">
        <v>75</v>
      </c>
      <c r="X176" s="59" t="s">
        <v>1216</v>
      </c>
      <c r="Y176" s="59" t="s">
        <v>75</v>
      </c>
      <c r="Z176" s="55">
        <v>999</v>
      </c>
      <c r="AA176" s="55" t="s">
        <v>1217</v>
      </c>
      <c r="AB176" s="55">
        <v>999</v>
      </c>
      <c r="AC176" s="55" t="s">
        <v>1218</v>
      </c>
      <c r="AD176" s="55">
        <v>0</v>
      </c>
      <c r="AE176" s="55" t="s">
        <v>78</v>
      </c>
      <c r="AF176" s="55">
        <v>2</v>
      </c>
      <c r="AG176" s="55" t="s">
        <v>75</v>
      </c>
      <c r="AH176" s="55" t="s">
        <v>1219</v>
      </c>
      <c r="AI176" s="59" t="s">
        <v>75</v>
      </c>
      <c r="AJ176" s="55" t="s">
        <v>795</v>
      </c>
      <c r="AK176" s="55" t="s">
        <v>160</v>
      </c>
      <c r="AL176" s="55" t="s">
        <v>81</v>
      </c>
      <c r="AM176" s="55" t="s">
        <v>81</v>
      </c>
      <c r="AN176" s="55" t="s">
        <v>78</v>
      </c>
      <c r="AO176" s="60" t="s">
        <v>75</v>
      </c>
      <c r="AP176" s="58" t="s">
        <v>126</v>
      </c>
      <c r="AQ176" s="56" t="s">
        <v>228</v>
      </c>
    </row>
    <row r="177" spans="1:43" ht="16.2" hidden="1" x14ac:dyDescent="0.45">
      <c r="A177" s="55" t="s">
        <v>1220</v>
      </c>
      <c r="B177" s="56" t="s">
        <v>1221</v>
      </c>
      <c r="C177" s="55">
        <v>2016</v>
      </c>
      <c r="D177" s="55" t="s">
        <v>513</v>
      </c>
      <c r="E177" s="56" t="s">
        <v>78</v>
      </c>
      <c r="F177" s="57" t="s">
        <v>539</v>
      </c>
      <c r="G177" s="56" t="s">
        <v>228</v>
      </c>
      <c r="H177" s="55" t="s">
        <v>228</v>
      </c>
      <c r="I177" s="55" t="s">
        <v>676</v>
      </c>
      <c r="J177" s="57" t="s">
        <v>81</v>
      </c>
      <c r="K177" s="55" t="s">
        <v>74</v>
      </c>
      <c r="L177" s="63">
        <v>6600000</v>
      </c>
      <c r="M177" s="63">
        <v>6600000</v>
      </c>
      <c r="N177" s="63">
        <v>9145818</v>
      </c>
      <c r="O177" s="63">
        <v>6000000</v>
      </c>
      <c r="P177" s="63">
        <v>6000000</v>
      </c>
      <c r="Q177" s="63">
        <v>8314379.9999999991</v>
      </c>
      <c r="R177" s="63">
        <v>6000000</v>
      </c>
      <c r="S177" s="63">
        <v>6000000</v>
      </c>
      <c r="T177" s="63">
        <v>8314379.9999999991</v>
      </c>
      <c r="U177" s="55" t="s">
        <v>81</v>
      </c>
      <c r="V177" s="55" t="s">
        <v>78</v>
      </c>
      <c r="W177" s="55" t="s">
        <v>81</v>
      </c>
      <c r="X177" s="59" t="s">
        <v>78</v>
      </c>
      <c r="Y177" s="59" t="s">
        <v>81</v>
      </c>
      <c r="Z177" s="55">
        <v>0</v>
      </c>
      <c r="AA177" s="55" t="s">
        <v>78</v>
      </c>
      <c r="AB177" s="55">
        <v>0</v>
      </c>
      <c r="AC177" s="55" t="s">
        <v>78</v>
      </c>
      <c r="AD177" s="55">
        <v>0</v>
      </c>
      <c r="AE177" s="55" t="s">
        <v>78</v>
      </c>
      <c r="AF177" s="55">
        <v>0</v>
      </c>
      <c r="AG177" s="55" t="s">
        <v>81</v>
      </c>
      <c r="AH177" s="55" t="s">
        <v>78</v>
      </c>
      <c r="AI177" s="59" t="s">
        <v>81</v>
      </c>
      <c r="AJ177" s="55" t="s">
        <v>78</v>
      </c>
      <c r="AK177" s="55" t="s">
        <v>78</v>
      </c>
      <c r="AL177" s="55" t="s">
        <v>81</v>
      </c>
      <c r="AM177" s="55" t="s">
        <v>81</v>
      </c>
      <c r="AN177" s="55" t="s">
        <v>78</v>
      </c>
      <c r="AO177" s="60" t="s">
        <v>81</v>
      </c>
      <c r="AP177" s="58" t="s">
        <v>74</v>
      </c>
      <c r="AQ177" s="55" t="s">
        <v>228</v>
      </c>
    </row>
    <row r="178" spans="1:43" ht="16.2" hidden="1" x14ac:dyDescent="0.45">
      <c r="A178" s="55" t="s">
        <v>1222</v>
      </c>
      <c r="B178" s="56" t="s">
        <v>1223</v>
      </c>
      <c r="C178" s="55">
        <v>2016</v>
      </c>
      <c r="D178" s="55" t="s">
        <v>516</v>
      </c>
      <c r="E178" s="56" t="s">
        <v>78</v>
      </c>
      <c r="F178" s="57" t="s">
        <v>569</v>
      </c>
      <c r="G178" s="55" t="s">
        <v>228</v>
      </c>
      <c r="H178" s="55" t="s">
        <v>228</v>
      </c>
      <c r="I178" s="55" t="s">
        <v>689</v>
      </c>
      <c r="J178" s="57" t="s">
        <v>81</v>
      </c>
      <c r="K178" s="55" t="s">
        <v>74</v>
      </c>
      <c r="L178" s="63">
        <v>917000</v>
      </c>
      <c r="M178" s="63">
        <v>917000</v>
      </c>
      <c r="N178" s="63">
        <v>1270714.4099999999</v>
      </c>
      <c r="O178" s="63">
        <v>720000</v>
      </c>
      <c r="P178" s="63">
        <v>720000</v>
      </c>
      <c r="Q178" s="63">
        <v>997725.6</v>
      </c>
      <c r="R178" s="63">
        <v>720000</v>
      </c>
      <c r="S178" s="63">
        <v>720000</v>
      </c>
      <c r="T178" s="63">
        <v>997725.6</v>
      </c>
      <c r="U178" s="55" t="s">
        <v>81</v>
      </c>
      <c r="V178" s="55" t="s">
        <v>78</v>
      </c>
      <c r="W178" s="55" t="s">
        <v>81</v>
      </c>
      <c r="X178" s="59" t="s">
        <v>78</v>
      </c>
      <c r="Y178" s="59" t="s">
        <v>81</v>
      </c>
      <c r="Z178" s="55">
        <v>0</v>
      </c>
      <c r="AA178" s="55" t="s">
        <v>78</v>
      </c>
      <c r="AB178" s="55">
        <v>0</v>
      </c>
      <c r="AC178" s="55" t="s">
        <v>78</v>
      </c>
      <c r="AD178" s="55">
        <v>0</v>
      </c>
      <c r="AE178" s="55" t="s">
        <v>78</v>
      </c>
      <c r="AF178" s="55">
        <v>0</v>
      </c>
      <c r="AG178" s="55" t="s">
        <v>81</v>
      </c>
      <c r="AH178" s="55" t="s">
        <v>78</v>
      </c>
      <c r="AI178" s="59" t="s">
        <v>81</v>
      </c>
      <c r="AJ178" s="55" t="s">
        <v>78</v>
      </c>
      <c r="AK178" s="55" t="s">
        <v>78</v>
      </c>
      <c r="AL178" s="55" t="s">
        <v>81</v>
      </c>
      <c r="AM178" s="55" t="s">
        <v>81</v>
      </c>
      <c r="AN178" s="55" t="s">
        <v>78</v>
      </c>
      <c r="AO178" s="60" t="s">
        <v>81</v>
      </c>
      <c r="AP178" s="58" t="s">
        <v>74</v>
      </c>
      <c r="AQ178" s="55" t="s">
        <v>228</v>
      </c>
    </row>
    <row r="179" spans="1:43" ht="13.2" hidden="1" x14ac:dyDescent="0.25">
      <c r="A179" s="90" t="s">
        <v>1224</v>
      </c>
      <c r="B179" s="91" t="s">
        <v>1225</v>
      </c>
      <c r="C179" s="90">
        <v>2016</v>
      </c>
      <c r="D179" s="90" t="s">
        <v>514</v>
      </c>
      <c r="E179" s="91" t="s">
        <v>78</v>
      </c>
      <c r="F179" s="90" t="s">
        <v>567</v>
      </c>
      <c r="G179" s="91" t="s">
        <v>593</v>
      </c>
      <c r="H179" s="90" t="s">
        <v>101</v>
      </c>
      <c r="I179" s="90" t="s">
        <v>679</v>
      </c>
      <c r="J179" s="90" t="s">
        <v>75</v>
      </c>
      <c r="K179" s="90" t="s">
        <v>126</v>
      </c>
      <c r="L179" s="92">
        <v>1500000</v>
      </c>
      <c r="M179" s="92">
        <v>1082461.9514624062</v>
      </c>
      <c r="N179" s="92">
        <v>1500000</v>
      </c>
      <c r="O179" s="92">
        <v>1084841.8700000001</v>
      </c>
      <c r="P179" s="92">
        <v>1084841.8700000001</v>
      </c>
      <c r="Q179" s="92">
        <v>1503297.9245151</v>
      </c>
      <c r="R179" s="92">
        <v>0</v>
      </c>
      <c r="S179" s="92">
        <v>0</v>
      </c>
      <c r="T179" s="92">
        <v>0</v>
      </c>
      <c r="U179" s="90" t="s">
        <v>81</v>
      </c>
      <c r="V179" s="90" t="s">
        <v>78</v>
      </c>
      <c r="W179" s="90" t="s">
        <v>81</v>
      </c>
      <c r="X179" s="93" t="s">
        <v>78</v>
      </c>
      <c r="Y179" s="93" t="s">
        <v>81</v>
      </c>
      <c r="Z179" s="90">
        <v>0</v>
      </c>
      <c r="AA179" s="90" t="s">
        <v>78</v>
      </c>
      <c r="AB179" s="90">
        <v>0</v>
      </c>
      <c r="AC179" s="90" t="s">
        <v>78</v>
      </c>
      <c r="AD179" s="90">
        <v>0</v>
      </c>
      <c r="AE179" s="90" t="s">
        <v>78</v>
      </c>
      <c r="AF179" s="90">
        <v>0</v>
      </c>
      <c r="AG179" s="90" t="s">
        <v>81</v>
      </c>
      <c r="AH179" s="90" t="s">
        <v>78</v>
      </c>
      <c r="AI179" s="93" t="s">
        <v>81</v>
      </c>
      <c r="AJ179" s="90" t="s">
        <v>78</v>
      </c>
      <c r="AK179" s="90" t="s">
        <v>78</v>
      </c>
      <c r="AL179" s="90" t="s">
        <v>81</v>
      </c>
      <c r="AM179" s="90" t="s">
        <v>81</v>
      </c>
      <c r="AN179" s="90" t="s">
        <v>78</v>
      </c>
      <c r="AO179" s="79" t="s">
        <v>81</v>
      </c>
      <c r="AP179" s="94" t="s">
        <v>126</v>
      </c>
      <c r="AQ179" s="90" t="s">
        <v>101</v>
      </c>
    </row>
    <row r="180" spans="1:43" ht="16.2" hidden="1" x14ac:dyDescent="0.45">
      <c r="A180" s="55" t="s">
        <v>1226</v>
      </c>
      <c r="B180" s="56" t="s">
        <v>1227</v>
      </c>
      <c r="C180" s="55">
        <v>2016</v>
      </c>
      <c r="D180" s="55" t="s">
        <v>87</v>
      </c>
      <c r="E180" s="56" t="s">
        <v>1228</v>
      </c>
      <c r="F180" s="57" t="s">
        <v>1848</v>
      </c>
      <c r="G180" s="55" t="s">
        <v>596</v>
      </c>
      <c r="H180" s="55" t="s">
        <v>101</v>
      </c>
      <c r="I180" s="55" t="s">
        <v>676</v>
      </c>
      <c r="J180" s="57" t="s">
        <v>81</v>
      </c>
      <c r="K180" s="55" t="s">
        <v>74</v>
      </c>
      <c r="L180" s="63">
        <v>16000000</v>
      </c>
      <c r="M180" s="63">
        <v>16000000</v>
      </c>
      <c r="N180" s="63">
        <v>22171680</v>
      </c>
      <c r="O180" s="63">
        <v>16000000</v>
      </c>
      <c r="P180" s="63">
        <v>16000000</v>
      </c>
      <c r="Q180" s="63">
        <v>22171680</v>
      </c>
      <c r="R180" s="63">
        <v>16000000</v>
      </c>
      <c r="S180" s="63">
        <v>16000000</v>
      </c>
      <c r="T180" s="63">
        <v>22171680</v>
      </c>
      <c r="U180" s="55" t="s">
        <v>81</v>
      </c>
      <c r="V180" s="55" t="s">
        <v>78</v>
      </c>
      <c r="W180" s="55" t="s">
        <v>81</v>
      </c>
      <c r="X180" s="59" t="s">
        <v>78</v>
      </c>
      <c r="Y180" s="59" t="s">
        <v>81</v>
      </c>
      <c r="Z180" s="55">
        <v>0</v>
      </c>
      <c r="AA180" s="55" t="s">
        <v>78</v>
      </c>
      <c r="AB180" s="55">
        <v>0</v>
      </c>
      <c r="AC180" s="55" t="s">
        <v>78</v>
      </c>
      <c r="AD180" s="55">
        <v>0</v>
      </c>
      <c r="AE180" s="55" t="s">
        <v>78</v>
      </c>
      <c r="AF180" s="55">
        <v>0</v>
      </c>
      <c r="AG180" s="55" t="s">
        <v>81</v>
      </c>
      <c r="AH180" s="55" t="s">
        <v>78</v>
      </c>
      <c r="AI180" s="59" t="s">
        <v>81</v>
      </c>
      <c r="AJ180" s="55" t="s">
        <v>78</v>
      </c>
      <c r="AK180" s="55" t="s">
        <v>78</v>
      </c>
      <c r="AL180" s="55" t="s">
        <v>81</v>
      </c>
      <c r="AM180" s="55" t="s">
        <v>81</v>
      </c>
      <c r="AN180" s="55" t="s">
        <v>78</v>
      </c>
      <c r="AO180" s="60" t="s">
        <v>81</v>
      </c>
      <c r="AP180" s="58" t="s">
        <v>74</v>
      </c>
      <c r="AQ180" s="55" t="s">
        <v>101</v>
      </c>
    </row>
    <row r="181" spans="1:43" ht="16.2" x14ac:dyDescent="0.45">
      <c r="A181" s="55" t="s">
        <v>1229</v>
      </c>
      <c r="B181" s="56" t="s">
        <v>1230</v>
      </c>
      <c r="C181" s="55">
        <v>2016</v>
      </c>
      <c r="D181" s="55" t="s">
        <v>510</v>
      </c>
      <c r="E181" s="56" t="s">
        <v>78</v>
      </c>
      <c r="F181" s="57" t="s">
        <v>568</v>
      </c>
      <c r="G181" s="56" t="s">
        <v>466</v>
      </c>
      <c r="H181" s="55" t="s">
        <v>466</v>
      </c>
      <c r="I181" s="55" t="s">
        <v>689</v>
      </c>
      <c r="J181" s="57" t="s">
        <v>81</v>
      </c>
      <c r="K181" s="55" t="s">
        <v>74</v>
      </c>
      <c r="L181" s="63">
        <v>269486</v>
      </c>
      <c r="M181" s="63">
        <v>269486</v>
      </c>
      <c r="N181" s="63">
        <v>373434.83477999998</v>
      </c>
      <c r="O181" s="63">
        <v>205950</v>
      </c>
      <c r="P181" s="63">
        <v>205950</v>
      </c>
      <c r="Q181" s="63">
        <v>285391.09349999996</v>
      </c>
      <c r="R181" s="63">
        <v>205950</v>
      </c>
      <c r="S181" s="63">
        <v>205950</v>
      </c>
      <c r="T181" s="63">
        <v>285391.09349999996</v>
      </c>
      <c r="U181" s="55" t="s">
        <v>81</v>
      </c>
      <c r="V181" s="55" t="s">
        <v>78</v>
      </c>
      <c r="W181" s="55" t="s">
        <v>81</v>
      </c>
      <c r="X181" s="59" t="s">
        <v>78</v>
      </c>
      <c r="Y181" s="59" t="s">
        <v>81</v>
      </c>
      <c r="Z181" s="55">
        <v>0</v>
      </c>
      <c r="AA181" s="55" t="s">
        <v>78</v>
      </c>
      <c r="AB181" s="55">
        <v>0</v>
      </c>
      <c r="AC181" s="55" t="s">
        <v>78</v>
      </c>
      <c r="AD181" s="55">
        <v>0</v>
      </c>
      <c r="AE181" s="55" t="s">
        <v>78</v>
      </c>
      <c r="AF181" s="55">
        <v>0</v>
      </c>
      <c r="AG181" s="55" t="s">
        <v>81</v>
      </c>
      <c r="AH181" s="55" t="s">
        <v>78</v>
      </c>
      <c r="AI181" s="59" t="s">
        <v>81</v>
      </c>
      <c r="AJ181" s="55" t="s">
        <v>78</v>
      </c>
      <c r="AK181" s="55" t="s">
        <v>78</v>
      </c>
      <c r="AL181" s="55" t="s">
        <v>81</v>
      </c>
      <c r="AM181" s="55" t="s">
        <v>81</v>
      </c>
      <c r="AN181" s="55" t="s">
        <v>78</v>
      </c>
      <c r="AO181" s="60" t="s">
        <v>81</v>
      </c>
      <c r="AP181" s="58" t="s">
        <v>74</v>
      </c>
      <c r="AQ181" s="55" t="s">
        <v>466</v>
      </c>
    </row>
    <row r="182" spans="1:43" ht="16.2" x14ac:dyDescent="0.45">
      <c r="A182" s="55" t="s">
        <v>1231</v>
      </c>
      <c r="B182" s="56" t="s">
        <v>1232</v>
      </c>
      <c r="C182" s="55">
        <v>2016</v>
      </c>
      <c r="D182" s="55" t="s">
        <v>353</v>
      </c>
      <c r="E182" s="56" t="s">
        <v>78</v>
      </c>
      <c r="F182" s="57" t="s">
        <v>78</v>
      </c>
      <c r="G182" s="56" t="s">
        <v>571</v>
      </c>
      <c r="H182" s="55" t="s">
        <v>466</v>
      </c>
      <c r="I182" s="55" t="s">
        <v>689</v>
      </c>
      <c r="J182" s="57" t="s">
        <v>81</v>
      </c>
      <c r="K182" s="55" t="s">
        <v>74</v>
      </c>
      <c r="L182" s="63">
        <v>460000</v>
      </c>
      <c r="M182" s="63">
        <v>460000</v>
      </c>
      <c r="N182" s="63">
        <v>637435.79999999993</v>
      </c>
      <c r="O182" s="63">
        <v>396985</v>
      </c>
      <c r="P182" s="63">
        <v>396985</v>
      </c>
      <c r="Q182" s="63">
        <v>550114.02405000001</v>
      </c>
      <c r="R182" s="63">
        <v>396985</v>
      </c>
      <c r="S182" s="63">
        <v>396985</v>
      </c>
      <c r="T182" s="63">
        <v>550114.02405000001</v>
      </c>
      <c r="U182" s="55" t="s">
        <v>81</v>
      </c>
      <c r="V182" s="55" t="s">
        <v>78</v>
      </c>
      <c r="W182" s="55" t="s">
        <v>81</v>
      </c>
      <c r="X182" s="59" t="s">
        <v>78</v>
      </c>
      <c r="Y182" s="59" t="s">
        <v>81</v>
      </c>
      <c r="Z182" s="55">
        <v>0</v>
      </c>
      <c r="AA182" s="55" t="s">
        <v>78</v>
      </c>
      <c r="AB182" s="55">
        <v>0</v>
      </c>
      <c r="AC182" s="55" t="s">
        <v>78</v>
      </c>
      <c r="AD182" s="55">
        <v>0</v>
      </c>
      <c r="AE182" s="55" t="s">
        <v>78</v>
      </c>
      <c r="AF182" s="55">
        <v>0</v>
      </c>
      <c r="AG182" s="55" t="s">
        <v>81</v>
      </c>
      <c r="AH182" s="55" t="s">
        <v>78</v>
      </c>
      <c r="AI182" s="59" t="s">
        <v>81</v>
      </c>
      <c r="AJ182" s="55" t="s">
        <v>78</v>
      </c>
      <c r="AK182" s="55" t="s">
        <v>78</v>
      </c>
      <c r="AL182" s="55" t="s">
        <v>81</v>
      </c>
      <c r="AM182" s="55" t="s">
        <v>81</v>
      </c>
      <c r="AN182" s="55" t="s">
        <v>78</v>
      </c>
      <c r="AO182" s="60" t="s">
        <v>81</v>
      </c>
      <c r="AP182" s="58" t="s">
        <v>74</v>
      </c>
      <c r="AQ182" s="55" t="s">
        <v>466</v>
      </c>
    </row>
    <row r="183" spans="1:43" ht="16.2" hidden="1" x14ac:dyDescent="0.45">
      <c r="A183" s="55" t="s">
        <v>1233</v>
      </c>
      <c r="B183" s="56" t="s">
        <v>1234</v>
      </c>
      <c r="C183" s="55">
        <v>2016</v>
      </c>
      <c r="D183" s="55" t="s">
        <v>297</v>
      </c>
      <c r="E183" s="55" t="s">
        <v>78</v>
      </c>
      <c r="F183" s="57" t="s">
        <v>566</v>
      </c>
      <c r="G183" s="56" t="s">
        <v>599</v>
      </c>
      <c r="H183" s="55" t="s">
        <v>101</v>
      </c>
      <c r="I183" s="55" t="s">
        <v>676</v>
      </c>
      <c r="J183" s="57" t="s">
        <v>81</v>
      </c>
      <c r="K183" s="55" t="s">
        <v>74</v>
      </c>
      <c r="L183" s="63">
        <v>12000000</v>
      </c>
      <c r="M183" s="63">
        <v>12000000</v>
      </c>
      <c r="N183" s="63">
        <v>16628759.999999998</v>
      </c>
      <c r="O183" s="63">
        <v>12000000</v>
      </c>
      <c r="P183" s="63">
        <v>12000000</v>
      </c>
      <c r="Q183" s="63">
        <v>16628759.999999998</v>
      </c>
      <c r="R183" s="63">
        <v>12000000</v>
      </c>
      <c r="S183" s="63">
        <v>12000000</v>
      </c>
      <c r="T183" s="63">
        <v>16628759.999999998</v>
      </c>
      <c r="U183" s="55" t="s">
        <v>81</v>
      </c>
      <c r="V183" s="55" t="s">
        <v>78</v>
      </c>
      <c r="W183" s="55" t="s">
        <v>81</v>
      </c>
      <c r="X183" s="59" t="s">
        <v>78</v>
      </c>
      <c r="Y183" s="59" t="s">
        <v>81</v>
      </c>
      <c r="Z183" s="55">
        <v>0</v>
      </c>
      <c r="AA183" s="55" t="s">
        <v>78</v>
      </c>
      <c r="AB183" s="55">
        <v>0</v>
      </c>
      <c r="AC183" s="55" t="s">
        <v>78</v>
      </c>
      <c r="AD183" s="55">
        <v>0</v>
      </c>
      <c r="AE183" s="55" t="s">
        <v>78</v>
      </c>
      <c r="AF183" s="55">
        <v>0</v>
      </c>
      <c r="AG183" s="55" t="s">
        <v>81</v>
      </c>
      <c r="AH183" s="55" t="s">
        <v>78</v>
      </c>
      <c r="AI183" s="59" t="s">
        <v>81</v>
      </c>
      <c r="AJ183" s="55" t="s">
        <v>78</v>
      </c>
      <c r="AK183" s="55" t="s">
        <v>78</v>
      </c>
      <c r="AL183" s="55" t="s">
        <v>81</v>
      </c>
      <c r="AM183" s="55" t="s">
        <v>81</v>
      </c>
      <c r="AN183" s="55" t="s">
        <v>78</v>
      </c>
      <c r="AO183" s="60" t="s">
        <v>81</v>
      </c>
      <c r="AP183" s="58" t="s">
        <v>74</v>
      </c>
      <c r="AQ183" s="55" t="s">
        <v>101</v>
      </c>
    </row>
    <row r="184" spans="1:43" ht="16.2" hidden="1" x14ac:dyDescent="0.45">
      <c r="A184" s="55" t="s">
        <v>1235</v>
      </c>
      <c r="B184" s="56" t="s">
        <v>1236</v>
      </c>
      <c r="C184" s="55">
        <v>2016</v>
      </c>
      <c r="D184" s="55" t="s">
        <v>514</v>
      </c>
      <c r="E184" s="55" t="s">
        <v>78</v>
      </c>
      <c r="F184" s="57" t="s">
        <v>567</v>
      </c>
      <c r="G184" s="56" t="s">
        <v>587</v>
      </c>
      <c r="H184" s="55" t="s">
        <v>256</v>
      </c>
      <c r="I184" s="55" t="s">
        <v>676</v>
      </c>
      <c r="J184" s="57" t="s">
        <v>81</v>
      </c>
      <c r="K184" s="55" t="s">
        <v>74</v>
      </c>
      <c r="L184" s="63">
        <v>73110000</v>
      </c>
      <c r="M184" s="63">
        <v>73110000</v>
      </c>
      <c r="N184" s="63">
        <v>101310720.3</v>
      </c>
      <c r="O184" s="63">
        <v>65800000</v>
      </c>
      <c r="P184" s="63">
        <v>65800000</v>
      </c>
      <c r="Q184" s="63">
        <v>91181034</v>
      </c>
      <c r="R184" s="63">
        <v>65800000</v>
      </c>
      <c r="S184" s="63">
        <v>65800000</v>
      </c>
      <c r="T184" s="63">
        <v>91181034</v>
      </c>
      <c r="U184" s="55" t="s">
        <v>75</v>
      </c>
      <c r="V184" s="55" t="s">
        <v>1237</v>
      </c>
      <c r="W184" s="55" t="s">
        <v>81</v>
      </c>
      <c r="X184" s="59" t="s">
        <v>78</v>
      </c>
      <c r="Y184" s="59" t="s">
        <v>75</v>
      </c>
      <c r="Z184" s="55">
        <v>999</v>
      </c>
      <c r="AA184" s="55" t="s">
        <v>1238</v>
      </c>
      <c r="AB184" s="55">
        <v>0</v>
      </c>
      <c r="AC184" s="55" t="s">
        <v>78</v>
      </c>
      <c r="AD184" s="55">
        <v>0</v>
      </c>
      <c r="AE184" s="55" t="s">
        <v>78</v>
      </c>
      <c r="AF184" s="55">
        <v>1</v>
      </c>
      <c r="AG184" s="55" t="s">
        <v>75</v>
      </c>
      <c r="AH184" s="55" t="s">
        <v>1239</v>
      </c>
      <c r="AI184" s="59" t="s">
        <v>75</v>
      </c>
      <c r="AJ184" s="55" t="s">
        <v>466</v>
      </c>
      <c r="AK184" s="55" t="s">
        <v>704</v>
      </c>
      <c r="AL184" s="55" t="s">
        <v>81</v>
      </c>
      <c r="AM184" s="55" t="s">
        <v>81</v>
      </c>
      <c r="AN184" s="55" t="s">
        <v>78</v>
      </c>
      <c r="AO184" s="60" t="s">
        <v>81</v>
      </c>
      <c r="AP184" s="58" t="s">
        <v>74</v>
      </c>
      <c r="AQ184" s="55" t="s">
        <v>256</v>
      </c>
    </row>
    <row r="185" spans="1:43" ht="16.2" hidden="1" x14ac:dyDescent="0.45">
      <c r="A185" s="55" t="s">
        <v>1240</v>
      </c>
      <c r="B185" s="56" t="s">
        <v>1241</v>
      </c>
      <c r="C185" s="55">
        <v>2016</v>
      </c>
      <c r="D185" s="55" t="s">
        <v>314</v>
      </c>
      <c r="E185" s="55" t="s">
        <v>78</v>
      </c>
      <c r="F185" s="57" t="s">
        <v>557</v>
      </c>
      <c r="G185" s="56" t="s">
        <v>578</v>
      </c>
      <c r="H185" s="55" t="s">
        <v>115</v>
      </c>
      <c r="I185" s="55" t="s">
        <v>676</v>
      </c>
      <c r="J185" s="57" t="s">
        <v>81</v>
      </c>
      <c r="K185" s="55" t="s">
        <v>1242</v>
      </c>
      <c r="L185" s="63">
        <v>27367584</v>
      </c>
      <c r="M185" s="63">
        <v>3241729.0115940245</v>
      </c>
      <c r="N185" s="63">
        <v>4492161.1432361873</v>
      </c>
      <c r="O185" s="63">
        <v>3200000</v>
      </c>
      <c r="P185" s="63">
        <v>3200000</v>
      </c>
      <c r="Q185" s="63">
        <v>4434336</v>
      </c>
      <c r="R185" s="63">
        <v>3200000</v>
      </c>
      <c r="S185" s="63">
        <v>3200000</v>
      </c>
      <c r="T185" s="63">
        <v>4434336</v>
      </c>
      <c r="U185" s="55" t="s">
        <v>81</v>
      </c>
      <c r="V185" s="55" t="s">
        <v>78</v>
      </c>
      <c r="W185" s="55" t="s">
        <v>81</v>
      </c>
      <c r="X185" s="59" t="s">
        <v>78</v>
      </c>
      <c r="Y185" s="59" t="s">
        <v>81</v>
      </c>
      <c r="Z185" s="55">
        <v>0</v>
      </c>
      <c r="AA185" s="55" t="s">
        <v>78</v>
      </c>
      <c r="AB185" s="55">
        <v>0</v>
      </c>
      <c r="AC185" s="55" t="s">
        <v>78</v>
      </c>
      <c r="AD185" s="55">
        <v>0</v>
      </c>
      <c r="AE185" s="55" t="s">
        <v>78</v>
      </c>
      <c r="AF185" s="55">
        <v>0</v>
      </c>
      <c r="AG185" s="55" t="s">
        <v>81</v>
      </c>
      <c r="AH185" s="55" t="s">
        <v>78</v>
      </c>
      <c r="AI185" s="59" t="s">
        <v>81</v>
      </c>
      <c r="AJ185" s="55" t="s">
        <v>78</v>
      </c>
      <c r="AK185" s="55" t="s">
        <v>78</v>
      </c>
      <c r="AL185" s="55" t="s">
        <v>81</v>
      </c>
      <c r="AM185" s="55" t="s">
        <v>81</v>
      </c>
      <c r="AN185" s="55" t="s">
        <v>78</v>
      </c>
      <c r="AO185" s="60" t="s">
        <v>81</v>
      </c>
      <c r="AP185" s="58" t="s">
        <v>1242</v>
      </c>
      <c r="AQ185" s="55" t="s">
        <v>115</v>
      </c>
    </row>
    <row r="186" spans="1:43" ht="16.2" hidden="1" x14ac:dyDescent="0.45">
      <c r="A186" s="55" t="s">
        <v>1243</v>
      </c>
      <c r="B186" s="56" t="s">
        <v>1244</v>
      </c>
      <c r="C186" s="55">
        <v>2016</v>
      </c>
      <c r="D186" s="55" t="s">
        <v>226</v>
      </c>
      <c r="E186" s="55" t="s">
        <v>78</v>
      </c>
      <c r="F186" s="57" t="s">
        <v>534</v>
      </c>
      <c r="G186" s="56" t="s">
        <v>581</v>
      </c>
      <c r="H186" s="55" t="s">
        <v>228</v>
      </c>
      <c r="I186" s="55" t="s">
        <v>689</v>
      </c>
      <c r="J186" s="57" t="s">
        <v>81</v>
      </c>
      <c r="K186" s="55" t="s">
        <v>74</v>
      </c>
      <c r="L186" s="63">
        <v>440000</v>
      </c>
      <c r="M186" s="63">
        <v>440000</v>
      </c>
      <c r="N186" s="63">
        <v>609721.19999999995</v>
      </c>
      <c r="O186" s="63">
        <v>400000</v>
      </c>
      <c r="P186" s="63">
        <v>400000</v>
      </c>
      <c r="Q186" s="63">
        <v>554292</v>
      </c>
      <c r="R186" s="63">
        <v>400000</v>
      </c>
      <c r="S186" s="63">
        <v>400000</v>
      </c>
      <c r="T186" s="63">
        <v>554292</v>
      </c>
      <c r="U186" s="55" t="s">
        <v>81</v>
      </c>
      <c r="V186" s="55" t="s">
        <v>78</v>
      </c>
      <c r="W186" s="55" t="s">
        <v>81</v>
      </c>
      <c r="X186" s="59" t="s">
        <v>78</v>
      </c>
      <c r="Y186" s="59" t="s">
        <v>81</v>
      </c>
      <c r="Z186" s="55">
        <v>0</v>
      </c>
      <c r="AA186" s="55" t="s">
        <v>78</v>
      </c>
      <c r="AB186" s="55">
        <v>0</v>
      </c>
      <c r="AC186" s="55" t="s">
        <v>78</v>
      </c>
      <c r="AD186" s="55">
        <v>0</v>
      </c>
      <c r="AE186" s="55" t="s">
        <v>78</v>
      </c>
      <c r="AF186" s="55">
        <v>0</v>
      </c>
      <c r="AG186" s="55" t="s">
        <v>81</v>
      </c>
      <c r="AH186" s="55" t="s">
        <v>78</v>
      </c>
      <c r="AI186" s="59" t="s">
        <v>81</v>
      </c>
      <c r="AJ186" s="55" t="s">
        <v>78</v>
      </c>
      <c r="AK186" s="55" t="s">
        <v>78</v>
      </c>
      <c r="AL186" s="55" t="s">
        <v>81</v>
      </c>
      <c r="AM186" s="55" t="s">
        <v>81</v>
      </c>
      <c r="AN186" s="55" t="s">
        <v>78</v>
      </c>
      <c r="AO186" s="60" t="s">
        <v>81</v>
      </c>
      <c r="AP186" s="58" t="s">
        <v>74</v>
      </c>
      <c r="AQ186" s="55" t="s">
        <v>228</v>
      </c>
    </row>
    <row r="187" spans="1:43" ht="16.2" hidden="1" x14ac:dyDescent="0.45">
      <c r="A187" s="55" t="s">
        <v>1245</v>
      </c>
      <c r="B187" s="56" t="s">
        <v>1246</v>
      </c>
      <c r="C187" s="55">
        <v>2016</v>
      </c>
      <c r="D187" s="55" t="s">
        <v>509</v>
      </c>
      <c r="E187" s="55" t="s">
        <v>78</v>
      </c>
      <c r="F187" s="57" t="s">
        <v>560</v>
      </c>
      <c r="G187" s="56" t="s">
        <v>579</v>
      </c>
      <c r="H187" s="55" t="s">
        <v>115</v>
      </c>
      <c r="I187" s="55" t="s">
        <v>676</v>
      </c>
      <c r="J187" s="57" t="s">
        <v>81</v>
      </c>
      <c r="K187" s="55" t="s">
        <v>74</v>
      </c>
      <c r="L187" s="63">
        <v>3300000</v>
      </c>
      <c r="M187" s="63">
        <v>3300000</v>
      </c>
      <c r="N187" s="63">
        <v>4572909</v>
      </c>
      <c r="O187" s="63">
        <v>3000000</v>
      </c>
      <c r="P187" s="63">
        <v>3000000</v>
      </c>
      <c r="Q187" s="63">
        <v>4157189.9999999995</v>
      </c>
      <c r="R187" s="63">
        <v>3000000</v>
      </c>
      <c r="S187" s="63">
        <v>3000000</v>
      </c>
      <c r="T187" s="63">
        <v>4157189.9999999995</v>
      </c>
      <c r="U187" s="55" t="s">
        <v>81</v>
      </c>
      <c r="V187" s="55" t="s">
        <v>78</v>
      </c>
      <c r="W187" s="55" t="s">
        <v>81</v>
      </c>
      <c r="X187" s="59" t="s">
        <v>78</v>
      </c>
      <c r="Y187" s="59" t="s">
        <v>81</v>
      </c>
      <c r="Z187" s="55">
        <v>0</v>
      </c>
      <c r="AA187" s="55" t="s">
        <v>78</v>
      </c>
      <c r="AB187" s="55">
        <v>0</v>
      </c>
      <c r="AC187" s="55" t="s">
        <v>78</v>
      </c>
      <c r="AD187" s="55">
        <v>0</v>
      </c>
      <c r="AE187" s="55" t="s">
        <v>78</v>
      </c>
      <c r="AF187" s="55">
        <v>0</v>
      </c>
      <c r="AG187" s="55" t="s">
        <v>81</v>
      </c>
      <c r="AH187" s="55" t="s">
        <v>78</v>
      </c>
      <c r="AI187" s="59" t="s">
        <v>81</v>
      </c>
      <c r="AJ187" s="55" t="s">
        <v>78</v>
      </c>
      <c r="AK187" s="55" t="s">
        <v>78</v>
      </c>
      <c r="AL187" s="55" t="s">
        <v>81</v>
      </c>
      <c r="AM187" s="55" t="s">
        <v>81</v>
      </c>
      <c r="AN187" s="55" t="s">
        <v>78</v>
      </c>
      <c r="AO187" s="60" t="s">
        <v>81</v>
      </c>
      <c r="AP187" s="58" t="s">
        <v>74</v>
      </c>
      <c r="AQ187" s="55" t="s">
        <v>115</v>
      </c>
    </row>
    <row r="188" spans="1:43" ht="16.2" hidden="1" x14ac:dyDescent="0.45">
      <c r="A188" s="55" t="s">
        <v>1247</v>
      </c>
      <c r="B188" s="56" t="s">
        <v>1248</v>
      </c>
      <c r="C188" s="55">
        <v>2016</v>
      </c>
      <c r="D188" s="55" t="s">
        <v>514</v>
      </c>
      <c r="E188" s="55" t="s">
        <v>78</v>
      </c>
      <c r="F188" s="57" t="s">
        <v>567</v>
      </c>
      <c r="G188" s="56" t="s">
        <v>228</v>
      </c>
      <c r="H188" s="55" t="s">
        <v>228</v>
      </c>
      <c r="I188" s="55" t="s">
        <v>689</v>
      </c>
      <c r="J188" s="57" t="s">
        <v>81</v>
      </c>
      <c r="K188" s="55" t="s">
        <v>126</v>
      </c>
      <c r="L188" s="63">
        <v>91430000</v>
      </c>
      <c r="M188" s="63">
        <v>65979664.148138531</v>
      </c>
      <c r="N188" s="63">
        <v>91430000</v>
      </c>
      <c r="O188" s="63">
        <v>55471580.759999998</v>
      </c>
      <c r="P188" s="63">
        <v>55471580.759999998</v>
      </c>
      <c r="Q188" s="63">
        <v>76868633.606554791</v>
      </c>
      <c r="R188" s="63">
        <v>55471580.759999998</v>
      </c>
      <c r="S188" s="63">
        <v>55471580.759999998</v>
      </c>
      <c r="T188" s="63">
        <v>76868633.606554791</v>
      </c>
      <c r="U188" s="55" t="s">
        <v>81</v>
      </c>
      <c r="V188" s="55" t="s">
        <v>78</v>
      </c>
      <c r="W188" s="55" t="s">
        <v>81</v>
      </c>
      <c r="X188" s="59" t="s">
        <v>78</v>
      </c>
      <c r="Y188" s="59" t="s">
        <v>81</v>
      </c>
      <c r="Z188" s="55">
        <v>0</v>
      </c>
      <c r="AA188" s="55" t="s">
        <v>78</v>
      </c>
      <c r="AB188" s="55">
        <v>0</v>
      </c>
      <c r="AC188" s="55" t="s">
        <v>78</v>
      </c>
      <c r="AD188" s="55">
        <v>0</v>
      </c>
      <c r="AE188" s="55" t="s">
        <v>78</v>
      </c>
      <c r="AF188" s="55">
        <v>0</v>
      </c>
      <c r="AG188" s="55" t="s">
        <v>81</v>
      </c>
      <c r="AH188" s="55" t="s">
        <v>78</v>
      </c>
      <c r="AI188" s="59" t="s">
        <v>81</v>
      </c>
      <c r="AJ188" s="55" t="s">
        <v>78</v>
      </c>
      <c r="AK188" s="55" t="s">
        <v>78</v>
      </c>
      <c r="AL188" s="55" t="s">
        <v>81</v>
      </c>
      <c r="AM188" s="55" t="s">
        <v>81</v>
      </c>
      <c r="AN188" s="55" t="s">
        <v>78</v>
      </c>
      <c r="AO188" s="60" t="s">
        <v>81</v>
      </c>
      <c r="AP188" s="58" t="s">
        <v>126</v>
      </c>
      <c r="AQ188" s="55" t="s">
        <v>228</v>
      </c>
    </row>
    <row r="189" spans="1:43" ht="16.2" hidden="1" x14ac:dyDescent="0.45">
      <c r="A189" s="55" t="s">
        <v>1249</v>
      </c>
      <c r="B189" s="56" t="s">
        <v>1250</v>
      </c>
      <c r="C189" s="55">
        <v>2016</v>
      </c>
      <c r="D189" s="55" t="s">
        <v>195</v>
      </c>
      <c r="E189" s="55" t="s">
        <v>78</v>
      </c>
      <c r="F189" s="57" t="s">
        <v>536</v>
      </c>
      <c r="G189" s="56" t="s">
        <v>587</v>
      </c>
      <c r="H189" s="55" t="s">
        <v>256</v>
      </c>
      <c r="I189" s="55" t="s">
        <v>689</v>
      </c>
      <c r="J189" s="57" t="s">
        <v>81</v>
      </c>
      <c r="K189" s="55" t="s">
        <v>126</v>
      </c>
      <c r="L189" s="63">
        <v>113950000</v>
      </c>
      <c r="M189" s="63">
        <v>82231026.246094123</v>
      </c>
      <c r="N189" s="63">
        <v>113950000</v>
      </c>
      <c r="O189" s="63">
        <v>55044876.289999999</v>
      </c>
      <c r="P189" s="63">
        <v>55044876.289999999</v>
      </c>
      <c r="Q189" s="63">
        <v>76277336.421341687</v>
      </c>
      <c r="R189" s="63">
        <v>55044876.289999999</v>
      </c>
      <c r="S189" s="63">
        <v>55044876.289999999</v>
      </c>
      <c r="T189" s="63">
        <v>76277336.421341687</v>
      </c>
      <c r="U189" s="55" t="s">
        <v>81</v>
      </c>
      <c r="V189" s="55" t="s">
        <v>78</v>
      </c>
      <c r="W189" s="55" t="s">
        <v>81</v>
      </c>
      <c r="X189" s="59" t="s">
        <v>78</v>
      </c>
      <c r="Y189" s="59" t="s">
        <v>81</v>
      </c>
      <c r="Z189" s="55">
        <v>0</v>
      </c>
      <c r="AA189" s="55" t="s">
        <v>78</v>
      </c>
      <c r="AB189" s="55">
        <v>0</v>
      </c>
      <c r="AC189" s="55" t="s">
        <v>78</v>
      </c>
      <c r="AD189" s="55">
        <v>0</v>
      </c>
      <c r="AE189" s="55" t="s">
        <v>78</v>
      </c>
      <c r="AF189" s="55">
        <v>0</v>
      </c>
      <c r="AG189" s="55" t="s">
        <v>81</v>
      </c>
      <c r="AH189" s="55" t="s">
        <v>78</v>
      </c>
      <c r="AI189" s="59" t="s">
        <v>81</v>
      </c>
      <c r="AJ189" s="55" t="s">
        <v>78</v>
      </c>
      <c r="AK189" s="55" t="s">
        <v>78</v>
      </c>
      <c r="AL189" s="55" t="s">
        <v>81</v>
      </c>
      <c r="AM189" s="55" t="s">
        <v>81</v>
      </c>
      <c r="AN189" s="55" t="s">
        <v>78</v>
      </c>
      <c r="AO189" s="60" t="s">
        <v>81</v>
      </c>
      <c r="AP189" s="58" t="s">
        <v>126</v>
      </c>
      <c r="AQ189" s="55" t="s">
        <v>256</v>
      </c>
    </row>
    <row r="190" spans="1:43" ht="16.2" hidden="1" x14ac:dyDescent="0.45">
      <c r="A190" s="55" t="s">
        <v>1251</v>
      </c>
      <c r="B190" s="55" t="s">
        <v>1252</v>
      </c>
      <c r="C190" s="55">
        <v>2016</v>
      </c>
      <c r="D190" s="55" t="s">
        <v>282</v>
      </c>
      <c r="E190" s="55" t="s">
        <v>78</v>
      </c>
      <c r="F190" s="57" t="s">
        <v>553</v>
      </c>
      <c r="G190" s="55" t="s">
        <v>597</v>
      </c>
      <c r="H190" s="55" t="s">
        <v>101</v>
      </c>
      <c r="I190" s="55" t="s">
        <v>689</v>
      </c>
      <c r="J190" s="57" t="s">
        <v>81</v>
      </c>
      <c r="K190" s="55" t="s">
        <v>74</v>
      </c>
      <c r="L190" s="63">
        <v>10000000</v>
      </c>
      <c r="M190" s="63">
        <v>10000000</v>
      </c>
      <c r="N190" s="63">
        <v>13857299.999999998</v>
      </c>
      <c r="O190" s="63">
        <v>10000000</v>
      </c>
      <c r="P190" s="63">
        <v>10000000</v>
      </c>
      <c r="Q190" s="63">
        <v>13857299.999999998</v>
      </c>
      <c r="R190" s="63">
        <v>10000000</v>
      </c>
      <c r="S190" s="63">
        <v>10000000</v>
      </c>
      <c r="T190" s="63">
        <v>13857299.999999998</v>
      </c>
      <c r="U190" s="55" t="s">
        <v>81</v>
      </c>
      <c r="V190" s="55" t="s">
        <v>78</v>
      </c>
      <c r="W190" s="55" t="s">
        <v>81</v>
      </c>
      <c r="X190" s="59" t="s">
        <v>78</v>
      </c>
      <c r="Y190" s="59" t="s">
        <v>81</v>
      </c>
      <c r="Z190" s="55">
        <v>0</v>
      </c>
      <c r="AA190" s="55" t="s">
        <v>78</v>
      </c>
      <c r="AB190" s="55">
        <v>0</v>
      </c>
      <c r="AC190" s="55" t="s">
        <v>78</v>
      </c>
      <c r="AD190" s="55">
        <v>0</v>
      </c>
      <c r="AE190" s="55" t="s">
        <v>78</v>
      </c>
      <c r="AF190" s="55">
        <v>0</v>
      </c>
      <c r="AG190" s="55" t="s">
        <v>81</v>
      </c>
      <c r="AH190" s="55" t="s">
        <v>78</v>
      </c>
      <c r="AI190" s="59" t="s">
        <v>81</v>
      </c>
      <c r="AJ190" s="55" t="s">
        <v>78</v>
      </c>
      <c r="AK190" s="55" t="s">
        <v>78</v>
      </c>
      <c r="AL190" s="55" t="s">
        <v>81</v>
      </c>
      <c r="AM190" s="55" t="s">
        <v>81</v>
      </c>
      <c r="AN190" s="55" t="s">
        <v>78</v>
      </c>
      <c r="AO190" s="60" t="s">
        <v>81</v>
      </c>
      <c r="AP190" s="58" t="s">
        <v>74</v>
      </c>
      <c r="AQ190" s="55" t="s">
        <v>101</v>
      </c>
    </row>
    <row r="191" spans="1:43" ht="16.2" hidden="1" x14ac:dyDescent="0.45">
      <c r="A191" s="55" t="s">
        <v>1253</v>
      </c>
      <c r="B191" s="56" t="s">
        <v>1254</v>
      </c>
      <c r="C191" s="55">
        <v>2016</v>
      </c>
      <c r="D191" s="55" t="s">
        <v>282</v>
      </c>
      <c r="E191" s="55" t="s">
        <v>78</v>
      </c>
      <c r="F191" s="57" t="s">
        <v>553</v>
      </c>
      <c r="G191" s="55" t="s">
        <v>228</v>
      </c>
      <c r="H191" s="55" t="s">
        <v>228</v>
      </c>
      <c r="I191" s="55" t="s">
        <v>689</v>
      </c>
      <c r="J191" s="57" t="s">
        <v>81</v>
      </c>
      <c r="K191" s="55" t="s">
        <v>126</v>
      </c>
      <c r="L191" s="63">
        <v>1000000</v>
      </c>
      <c r="M191" s="63">
        <v>721641.30097493739</v>
      </c>
      <c r="N191" s="63">
        <v>999999.99999999988</v>
      </c>
      <c r="O191" s="63">
        <v>723227.91</v>
      </c>
      <c r="P191" s="63">
        <v>723227.91</v>
      </c>
      <c r="Q191" s="63">
        <v>1002198.6117243</v>
      </c>
      <c r="R191" s="63">
        <v>723227.91</v>
      </c>
      <c r="S191" s="63">
        <v>723227.91</v>
      </c>
      <c r="T191" s="63">
        <v>1002198.6117243</v>
      </c>
      <c r="U191" s="55" t="s">
        <v>75</v>
      </c>
      <c r="V191" s="55" t="s">
        <v>1255</v>
      </c>
      <c r="W191" s="55" t="s">
        <v>81</v>
      </c>
      <c r="X191" s="59" t="s">
        <v>78</v>
      </c>
      <c r="Y191" s="59" t="s">
        <v>75</v>
      </c>
      <c r="Z191" s="55">
        <v>999</v>
      </c>
      <c r="AA191" s="55" t="s">
        <v>1256</v>
      </c>
      <c r="AB191" s="55">
        <v>999</v>
      </c>
      <c r="AC191" s="55" t="s">
        <v>1257</v>
      </c>
      <c r="AD191" s="55">
        <v>999</v>
      </c>
      <c r="AE191" s="55" t="s">
        <v>1258</v>
      </c>
      <c r="AF191" s="55">
        <v>3</v>
      </c>
      <c r="AG191" s="55" t="s">
        <v>81</v>
      </c>
      <c r="AH191" s="55" t="s">
        <v>78</v>
      </c>
      <c r="AI191" s="59" t="s">
        <v>75</v>
      </c>
      <c r="AJ191" s="55" t="s">
        <v>256</v>
      </c>
      <c r="AK191" s="55" t="s">
        <v>78</v>
      </c>
      <c r="AL191" s="55" t="s">
        <v>81</v>
      </c>
      <c r="AM191" s="55" t="s">
        <v>81</v>
      </c>
      <c r="AN191" s="55" t="s">
        <v>78</v>
      </c>
      <c r="AO191" s="60" t="s">
        <v>81</v>
      </c>
      <c r="AP191" s="58" t="s">
        <v>126</v>
      </c>
      <c r="AQ191" s="55" t="s">
        <v>228</v>
      </c>
    </row>
    <row r="192" spans="1:43" ht="16.2" hidden="1" x14ac:dyDescent="0.45">
      <c r="A192" s="55" t="s">
        <v>1259</v>
      </c>
      <c r="B192" s="55" t="s">
        <v>1260</v>
      </c>
      <c r="C192" s="55">
        <v>2016</v>
      </c>
      <c r="D192" s="55" t="s">
        <v>507</v>
      </c>
      <c r="E192" s="55" t="s">
        <v>78</v>
      </c>
      <c r="F192" s="57" t="s">
        <v>562</v>
      </c>
      <c r="G192" s="55" t="s">
        <v>228</v>
      </c>
      <c r="H192" s="55" t="s">
        <v>228</v>
      </c>
      <c r="I192" s="55" t="s">
        <v>689</v>
      </c>
      <c r="J192" s="57" t="s">
        <v>81</v>
      </c>
      <c r="K192" s="55" t="s">
        <v>74</v>
      </c>
      <c r="L192" s="63">
        <v>15950000</v>
      </c>
      <c r="M192" s="63">
        <v>15950000</v>
      </c>
      <c r="N192" s="63">
        <v>22102393.5</v>
      </c>
      <c r="O192" s="63">
        <v>14033467.369999999</v>
      </c>
      <c r="P192" s="63">
        <v>14033467.369999999</v>
      </c>
      <c r="Q192" s="63">
        <v>19446596.738630097</v>
      </c>
      <c r="R192" s="63">
        <v>11500000</v>
      </c>
      <c r="S192" s="63">
        <v>11500000</v>
      </c>
      <c r="T192" s="63">
        <v>15935894.999999998</v>
      </c>
      <c r="U192" s="55" t="s">
        <v>75</v>
      </c>
      <c r="V192" s="55" t="s">
        <v>1261</v>
      </c>
      <c r="W192" s="55" t="s">
        <v>81</v>
      </c>
      <c r="X192" s="59" t="s">
        <v>78</v>
      </c>
      <c r="Y192" s="59" t="s">
        <v>75</v>
      </c>
      <c r="Z192" s="55">
        <v>0</v>
      </c>
      <c r="AA192" s="55" t="s">
        <v>78</v>
      </c>
      <c r="AB192" s="55">
        <v>999</v>
      </c>
      <c r="AC192" s="55" t="s">
        <v>1262</v>
      </c>
      <c r="AD192" s="55">
        <v>0</v>
      </c>
      <c r="AE192" s="55" t="s">
        <v>78</v>
      </c>
      <c r="AF192" s="55">
        <v>1</v>
      </c>
      <c r="AG192" s="55" t="s">
        <v>81</v>
      </c>
      <c r="AH192" s="55" t="s">
        <v>78</v>
      </c>
      <c r="AI192" s="59" t="s">
        <v>81</v>
      </c>
      <c r="AJ192" s="55" t="s">
        <v>78</v>
      </c>
      <c r="AK192" s="55" t="s">
        <v>78</v>
      </c>
      <c r="AL192" s="55" t="s">
        <v>81</v>
      </c>
      <c r="AM192" s="55" t="s">
        <v>81</v>
      </c>
      <c r="AN192" s="55" t="s">
        <v>78</v>
      </c>
      <c r="AO192" s="60" t="s">
        <v>81</v>
      </c>
      <c r="AP192" s="58" t="s">
        <v>74</v>
      </c>
      <c r="AQ192" s="55" t="s">
        <v>228</v>
      </c>
    </row>
    <row r="193" spans="1:43" ht="16.2" hidden="1" x14ac:dyDescent="0.45">
      <c r="A193" s="55" t="s">
        <v>1263</v>
      </c>
      <c r="B193" s="55" t="s">
        <v>1264</v>
      </c>
      <c r="C193" s="55">
        <v>2016</v>
      </c>
      <c r="D193" s="55" t="s">
        <v>155</v>
      </c>
      <c r="E193" s="55" t="s">
        <v>78</v>
      </c>
      <c r="F193" s="57" t="s">
        <v>559</v>
      </c>
      <c r="G193" s="55" t="s">
        <v>584</v>
      </c>
      <c r="H193" s="55" t="s">
        <v>228</v>
      </c>
      <c r="I193" s="55" t="s">
        <v>689</v>
      </c>
      <c r="J193" s="57" t="s">
        <v>81</v>
      </c>
      <c r="K193" s="55" t="s">
        <v>104</v>
      </c>
      <c r="L193" s="63">
        <v>52240000</v>
      </c>
      <c r="M193" s="63">
        <v>41042401.577586956</v>
      </c>
      <c r="N193" s="63">
        <v>56873687.138109572</v>
      </c>
      <c r="O193" s="63">
        <v>17915436.350000001</v>
      </c>
      <c r="P193" s="63">
        <v>17915436.350000001</v>
      </c>
      <c r="Q193" s="63">
        <v>24825957.613285501</v>
      </c>
      <c r="R193" s="63">
        <v>12877296.59</v>
      </c>
      <c r="S193" s="63">
        <v>12877296.59</v>
      </c>
      <c r="T193" s="63">
        <v>17844456.203660697</v>
      </c>
      <c r="U193" s="55" t="s">
        <v>75</v>
      </c>
      <c r="V193" s="55" t="s">
        <v>1265</v>
      </c>
      <c r="W193" s="55" t="s">
        <v>81</v>
      </c>
      <c r="X193" s="59" t="s">
        <v>78</v>
      </c>
      <c r="Y193" s="59" t="s">
        <v>75</v>
      </c>
      <c r="Z193" s="55">
        <v>999</v>
      </c>
      <c r="AA193" s="55" t="s">
        <v>1266</v>
      </c>
      <c r="AB193" s="55">
        <v>999</v>
      </c>
      <c r="AC193" s="55" t="s">
        <v>1267</v>
      </c>
      <c r="AD193" s="55">
        <v>0</v>
      </c>
      <c r="AE193" s="55" t="s">
        <v>78</v>
      </c>
      <c r="AF193" s="55">
        <v>2</v>
      </c>
      <c r="AG193" s="55" t="s">
        <v>81</v>
      </c>
      <c r="AH193" s="55" t="s">
        <v>78</v>
      </c>
      <c r="AI193" s="59" t="s">
        <v>75</v>
      </c>
      <c r="AJ193" s="55" t="s">
        <v>228</v>
      </c>
      <c r="AK193" s="55" t="s">
        <v>78</v>
      </c>
      <c r="AL193" s="55" t="s">
        <v>81</v>
      </c>
      <c r="AM193" s="55" t="s">
        <v>81</v>
      </c>
      <c r="AN193" s="55" t="s">
        <v>78</v>
      </c>
      <c r="AO193" s="60" t="s">
        <v>81</v>
      </c>
      <c r="AP193" s="58" t="s">
        <v>104</v>
      </c>
      <c r="AQ193" s="55" t="s">
        <v>228</v>
      </c>
    </row>
    <row r="194" spans="1:43" ht="16.2" hidden="1" x14ac:dyDescent="0.45">
      <c r="A194" s="55" t="s">
        <v>1268</v>
      </c>
      <c r="B194" s="55" t="s">
        <v>1269</v>
      </c>
      <c r="C194" s="55">
        <v>2016</v>
      </c>
      <c r="D194" s="55" t="s">
        <v>155</v>
      </c>
      <c r="E194" s="55" t="s">
        <v>78</v>
      </c>
      <c r="F194" s="57" t="s">
        <v>559</v>
      </c>
      <c r="G194" s="55" t="s">
        <v>597</v>
      </c>
      <c r="H194" s="55" t="s">
        <v>101</v>
      </c>
      <c r="I194" s="55" t="s">
        <v>689</v>
      </c>
      <c r="J194" s="57" t="s">
        <v>81</v>
      </c>
      <c r="K194" s="55" t="s">
        <v>74</v>
      </c>
      <c r="L194" s="63">
        <v>34780000</v>
      </c>
      <c r="M194" s="63">
        <v>34780000</v>
      </c>
      <c r="N194" s="63">
        <v>48195689.399999999</v>
      </c>
      <c r="O194" s="63">
        <v>34780000</v>
      </c>
      <c r="P194" s="63">
        <v>34780000</v>
      </c>
      <c r="Q194" s="63">
        <v>48195689.399999999</v>
      </c>
      <c r="R194" s="63">
        <v>34780000</v>
      </c>
      <c r="S194" s="63">
        <v>34780000</v>
      </c>
      <c r="T194" s="63">
        <v>48195689.399999999</v>
      </c>
      <c r="U194" s="55" t="s">
        <v>81</v>
      </c>
      <c r="V194" s="55" t="s">
        <v>78</v>
      </c>
      <c r="W194" s="55" t="s">
        <v>81</v>
      </c>
      <c r="X194" s="59" t="s">
        <v>78</v>
      </c>
      <c r="Y194" s="59" t="s">
        <v>81</v>
      </c>
      <c r="Z194" s="55">
        <v>0</v>
      </c>
      <c r="AA194" s="55" t="s">
        <v>78</v>
      </c>
      <c r="AB194" s="55">
        <v>0</v>
      </c>
      <c r="AC194" s="55" t="s">
        <v>78</v>
      </c>
      <c r="AD194" s="55">
        <v>0</v>
      </c>
      <c r="AE194" s="55" t="s">
        <v>78</v>
      </c>
      <c r="AF194" s="55">
        <v>0</v>
      </c>
      <c r="AG194" s="55" t="s">
        <v>81</v>
      </c>
      <c r="AH194" s="55" t="s">
        <v>78</v>
      </c>
      <c r="AI194" s="59" t="s">
        <v>81</v>
      </c>
      <c r="AJ194" s="55" t="s">
        <v>78</v>
      </c>
      <c r="AK194" s="55" t="s">
        <v>78</v>
      </c>
      <c r="AL194" s="55" t="s">
        <v>81</v>
      </c>
      <c r="AM194" s="55" t="s">
        <v>81</v>
      </c>
      <c r="AN194" s="55" t="s">
        <v>78</v>
      </c>
      <c r="AO194" s="60" t="s">
        <v>81</v>
      </c>
      <c r="AP194" s="58" t="s">
        <v>74</v>
      </c>
      <c r="AQ194" s="55" t="s">
        <v>101</v>
      </c>
    </row>
    <row r="195" spans="1:43" ht="16.2" hidden="1" x14ac:dyDescent="0.45">
      <c r="A195" s="55" t="s">
        <v>1270</v>
      </c>
      <c r="B195" s="55" t="s">
        <v>1271</v>
      </c>
      <c r="C195" s="55">
        <v>2016</v>
      </c>
      <c r="D195" s="55" t="s">
        <v>155</v>
      </c>
      <c r="E195" s="55" t="s">
        <v>78</v>
      </c>
      <c r="F195" s="57" t="s">
        <v>559</v>
      </c>
      <c r="G195" s="56" t="s">
        <v>588</v>
      </c>
      <c r="H195" s="55" t="s">
        <v>256</v>
      </c>
      <c r="I195" s="55" t="s">
        <v>689</v>
      </c>
      <c r="J195" s="57" t="s">
        <v>81</v>
      </c>
      <c r="K195" s="55" t="s">
        <v>104</v>
      </c>
      <c r="L195" s="63">
        <v>101600000</v>
      </c>
      <c r="M195" s="63">
        <v>79822128.642473862</v>
      </c>
      <c r="N195" s="63">
        <v>110611918.3237353</v>
      </c>
      <c r="O195" s="63">
        <v>53313648.289999999</v>
      </c>
      <c r="P195" s="63">
        <v>53313648.289999999</v>
      </c>
      <c r="Q195" s="63">
        <v>73878321.844901696</v>
      </c>
      <c r="R195" s="63">
        <v>53313648.289999999</v>
      </c>
      <c r="S195" s="63">
        <v>53313648.289999999</v>
      </c>
      <c r="T195" s="63">
        <v>73878321.844901696</v>
      </c>
      <c r="U195" s="55" t="s">
        <v>75</v>
      </c>
      <c r="V195" s="55" t="s">
        <v>1272</v>
      </c>
      <c r="W195" s="55" t="s">
        <v>81</v>
      </c>
      <c r="X195" s="59" t="s">
        <v>78</v>
      </c>
      <c r="Y195" s="59" t="s">
        <v>75</v>
      </c>
      <c r="Z195" s="55">
        <v>999</v>
      </c>
      <c r="AA195" s="55" t="s">
        <v>1273</v>
      </c>
      <c r="AB195" s="55">
        <v>999</v>
      </c>
      <c r="AC195" s="55" t="s">
        <v>1272</v>
      </c>
      <c r="AD195" s="55">
        <v>0</v>
      </c>
      <c r="AE195" s="55" t="s">
        <v>78</v>
      </c>
      <c r="AF195" s="55">
        <v>2</v>
      </c>
      <c r="AG195" s="55" t="s">
        <v>81</v>
      </c>
      <c r="AH195" s="55" t="s">
        <v>78</v>
      </c>
      <c r="AI195" s="59" t="s">
        <v>81</v>
      </c>
      <c r="AJ195" s="55" t="s">
        <v>78</v>
      </c>
      <c r="AK195" s="55" t="s">
        <v>78</v>
      </c>
      <c r="AL195" s="55" t="s">
        <v>81</v>
      </c>
      <c r="AM195" s="55" t="s">
        <v>81</v>
      </c>
      <c r="AN195" s="55" t="s">
        <v>78</v>
      </c>
      <c r="AO195" s="60" t="s">
        <v>81</v>
      </c>
      <c r="AP195" s="58" t="s">
        <v>104</v>
      </c>
      <c r="AQ195" s="55" t="s">
        <v>256</v>
      </c>
    </row>
    <row r="196" spans="1:43" ht="16.2" hidden="1" x14ac:dyDescent="0.45">
      <c r="A196" s="55" t="s">
        <v>1274</v>
      </c>
      <c r="B196" s="55" t="s">
        <v>1275</v>
      </c>
      <c r="C196" s="55">
        <v>2016</v>
      </c>
      <c r="D196" s="55" t="s">
        <v>113</v>
      </c>
      <c r="E196" s="55" t="s">
        <v>78</v>
      </c>
      <c r="F196" s="57" t="s">
        <v>565</v>
      </c>
      <c r="G196" s="55" t="s">
        <v>587</v>
      </c>
      <c r="H196" s="55" t="s">
        <v>256</v>
      </c>
      <c r="I196" s="55" t="s">
        <v>689</v>
      </c>
      <c r="J196" s="57" t="s">
        <v>81</v>
      </c>
      <c r="K196" s="55" t="s">
        <v>104</v>
      </c>
      <c r="L196" s="63">
        <v>124700000</v>
      </c>
      <c r="M196" s="63">
        <v>97970663.796422154</v>
      </c>
      <c r="N196" s="63">
        <v>135760887.94261608</v>
      </c>
      <c r="O196" s="63">
        <v>102280183.7</v>
      </c>
      <c r="P196" s="63">
        <v>102280183.7</v>
      </c>
      <c r="Q196" s="63">
        <v>141732718.958601</v>
      </c>
      <c r="R196" s="63">
        <v>101459973.8</v>
      </c>
      <c r="S196" s="63">
        <v>101459973.8</v>
      </c>
      <c r="T196" s="63">
        <v>140596129.49387398</v>
      </c>
      <c r="U196" s="55" t="s">
        <v>75</v>
      </c>
      <c r="V196" s="55" t="s">
        <v>1276</v>
      </c>
      <c r="W196" s="55" t="s">
        <v>81</v>
      </c>
      <c r="X196" s="59" t="s">
        <v>78</v>
      </c>
      <c r="Y196" s="59" t="s">
        <v>81</v>
      </c>
      <c r="Z196" s="55">
        <v>0</v>
      </c>
      <c r="AA196" s="55" t="s">
        <v>78</v>
      </c>
      <c r="AB196" s="55">
        <v>0</v>
      </c>
      <c r="AC196" s="55" t="s">
        <v>78</v>
      </c>
      <c r="AD196" s="55">
        <v>0</v>
      </c>
      <c r="AE196" s="55" t="s">
        <v>78</v>
      </c>
      <c r="AF196" s="55">
        <v>0</v>
      </c>
      <c r="AG196" s="55" t="s">
        <v>81</v>
      </c>
      <c r="AH196" s="55" t="s">
        <v>78</v>
      </c>
      <c r="AI196" s="59" t="s">
        <v>75</v>
      </c>
      <c r="AJ196" s="55" t="s">
        <v>256</v>
      </c>
      <c r="AK196" s="55" t="s">
        <v>78</v>
      </c>
      <c r="AL196" s="55" t="s">
        <v>81</v>
      </c>
      <c r="AM196" s="55" t="s">
        <v>81</v>
      </c>
      <c r="AN196" s="55" t="s">
        <v>78</v>
      </c>
      <c r="AO196" s="60" t="s">
        <v>81</v>
      </c>
      <c r="AP196" s="58" t="s">
        <v>104</v>
      </c>
      <c r="AQ196" s="55" t="s">
        <v>256</v>
      </c>
    </row>
    <row r="197" spans="1:43" ht="16.2" hidden="1" x14ac:dyDescent="0.45">
      <c r="A197" s="55" t="s">
        <v>1277</v>
      </c>
      <c r="B197" s="55" t="s">
        <v>1278</v>
      </c>
      <c r="C197" s="55">
        <v>2016</v>
      </c>
      <c r="D197" s="55" t="s">
        <v>353</v>
      </c>
      <c r="E197" s="55" t="s">
        <v>78</v>
      </c>
      <c r="F197" s="57" t="s">
        <v>78</v>
      </c>
      <c r="G197" s="55" t="s">
        <v>597</v>
      </c>
      <c r="H197" s="55" t="s">
        <v>101</v>
      </c>
      <c r="I197" s="55" t="s">
        <v>689</v>
      </c>
      <c r="J197" s="57" t="s">
        <v>81</v>
      </c>
      <c r="K197" s="55" t="s">
        <v>616</v>
      </c>
      <c r="L197" s="63">
        <v>3000000000</v>
      </c>
      <c r="M197" s="63">
        <v>139268007.35335079</v>
      </c>
      <c r="N197" s="63">
        <v>192987855.82975876</v>
      </c>
      <c r="O197" s="63">
        <v>151402746.5</v>
      </c>
      <c r="P197" s="63">
        <v>151402746.5</v>
      </c>
      <c r="Q197" s="63">
        <v>209803327.90744498</v>
      </c>
      <c r="R197" s="63">
        <v>151402746.5</v>
      </c>
      <c r="S197" s="63">
        <v>151402746.5</v>
      </c>
      <c r="T197" s="63">
        <v>209803327.90744498</v>
      </c>
      <c r="U197" s="55" t="s">
        <v>81</v>
      </c>
      <c r="V197" s="55" t="s">
        <v>78</v>
      </c>
      <c r="W197" s="55" t="s">
        <v>81</v>
      </c>
      <c r="X197" s="59" t="s">
        <v>78</v>
      </c>
      <c r="Y197" s="59" t="s">
        <v>81</v>
      </c>
      <c r="Z197" s="55">
        <v>0</v>
      </c>
      <c r="AA197" s="55" t="s">
        <v>78</v>
      </c>
      <c r="AB197" s="55">
        <v>0</v>
      </c>
      <c r="AC197" s="55" t="s">
        <v>78</v>
      </c>
      <c r="AD197" s="55">
        <v>0</v>
      </c>
      <c r="AE197" s="55" t="s">
        <v>78</v>
      </c>
      <c r="AF197" s="55">
        <v>0</v>
      </c>
      <c r="AG197" s="55" t="s">
        <v>81</v>
      </c>
      <c r="AH197" s="55" t="s">
        <v>78</v>
      </c>
      <c r="AI197" s="59" t="s">
        <v>81</v>
      </c>
      <c r="AJ197" s="55" t="s">
        <v>78</v>
      </c>
      <c r="AK197" s="55" t="s">
        <v>78</v>
      </c>
      <c r="AL197" s="55" t="s">
        <v>81</v>
      </c>
      <c r="AM197" s="55" t="s">
        <v>81</v>
      </c>
      <c r="AN197" s="55" t="s">
        <v>78</v>
      </c>
      <c r="AO197" s="60" t="s">
        <v>81</v>
      </c>
      <c r="AP197" s="58" t="s">
        <v>616</v>
      </c>
      <c r="AQ197" s="55" t="s">
        <v>101</v>
      </c>
    </row>
    <row r="198" spans="1:43" ht="16.2" hidden="1" x14ac:dyDescent="0.45">
      <c r="A198" s="55" t="s">
        <v>1279</v>
      </c>
      <c r="B198" s="55" t="s">
        <v>1280</v>
      </c>
      <c r="C198" s="55">
        <v>2016</v>
      </c>
      <c r="D198" s="55" t="s">
        <v>195</v>
      </c>
      <c r="E198" s="55" t="s">
        <v>78</v>
      </c>
      <c r="F198" s="57" t="s">
        <v>536</v>
      </c>
      <c r="G198" s="55" t="s">
        <v>596</v>
      </c>
      <c r="H198" s="55" t="s">
        <v>101</v>
      </c>
      <c r="I198" s="55" t="s">
        <v>676</v>
      </c>
      <c r="J198" s="57" t="s">
        <v>81</v>
      </c>
      <c r="K198" s="55" t="s">
        <v>74</v>
      </c>
      <c r="L198" s="63">
        <v>88660000</v>
      </c>
      <c r="M198" s="63">
        <v>88660000</v>
      </c>
      <c r="N198" s="63">
        <v>122858821.8</v>
      </c>
      <c r="O198" s="63">
        <v>88660000</v>
      </c>
      <c r="P198" s="63">
        <v>88660000</v>
      </c>
      <c r="Q198" s="63">
        <v>122858821.8</v>
      </c>
      <c r="R198" s="63">
        <v>88660000</v>
      </c>
      <c r="S198" s="63">
        <v>88660000</v>
      </c>
      <c r="T198" s="63">
        <v>122858821.8</v>
      </c>
      <c r="U198" s="55" t="s">
        <v>75</v>
      </c>
      <c r="V198" s="55" t="s">
        <v>1281</v>
      </c>
      <c r="W198" s="55" t="s">
        <v>81</v>
      </c>
      <c r="X198" s="59" t="s">
        <v>78</v>
      </c>
      <c r="Y198" s="59" t="s">
        <v>81</v>
      </c>
      <c r="Z198" s="55">
        <v>0</v>
      </c>
      <c r="AA198" s="55" t="s">
        <v>78</v>
      </c>
      <c r="AB198" s="55">
        <v>0</v>
      </c>
      <c r="AC198" s="55" t="s">
        <v>78</v>
      </c>
      <c r="AD198" s="55">
        <v>0</v>
      </c>
      <c r="AE198" s="55" t="s">
        <v>78</v>
      </c>
      <c r="AF198" s="55">
        <v>0</v>
      </c>
      <c r="AG198" s="55" t="s">
        <v>81</v>
      </c>
      <c r="AH198" s="55" t="s">
        <v>78</v>
      </c>
      <c r="AI198" s="59" t="s">
        <v>75</v>
      </c>
      <c r="AJ198" s="55" t="s">
        <v>256</v>
      </c>
      <c r="AK198" s="55" t="s">
        <v>78</v>
      </c>
      <c r="AL198" s="55" t="s">
        <v>81</v>
      </c>
      <c r="AM198" s="55" t="s">
        <v>81</v>
      </c>
      <c r="AN198" s="55" t="s">
        <v>78</v>
      </c>
      <c r="AO198" s="60" t="s">
        <v>81</v>
      </c>
      <c r="AP198" s="58" t="s">
        <v>74</v>
      </c>
      <c r="AQ198" s="55" t="s">
        <v>101</v>
      </c>
    </row>
    <row r="199" spans="1:43" ht="16.2" hidden="1" x14ac:dyDescent="0.45">
      <c r="A199" s="55" t="s">
        <v>1282</v>
      </c>
      <c r="B199" s="55" t="s">
        <v>1283</v>
      </c>
      <c r="C199" s="55">
        <v>2016</v>
      </c>
      <c r="D199" s="55" t="s">
        <v>145</v>
      </c>
      <c r="E199" s="55" t="s">
        <v>78</v>
      </c>
      <c r="F199" s="57" t="s">
        <v>543</v>
      </c>
      <c r="G199" s="55" t="s">
        <v>228</v>
      </c>
      <c r="H199" s="55" t="s">
        <v>228</v>
      </c>
      <c r="I199" s="55" t="s">
        <v>689</v>
      </c>
      <c r="J199" s="57" t="s">
        <v>81</v>
      </c>
      <c r="K199" s="55" t="s">
        <v>74</v>
      </c>
      <c r="L199" s="63">
        <v>37500000</v>
      </c>
      <c r="M199" s="63">
        <v>37500000</v>
      </c>
      <c r="N199" s="63">
        <v>51964875</v>
      </c>
      <c r="O199" s="63">
        <v>33958372.700000003</v>
      </c>
      <c r="P199" s="63">
        <v>33958372.700000003</v>
      </c>
      <c r="Q199" s="63">
        <v>47057135.801571004</v>
      </c>
      <c r="R199" s="63">
        <v>33958372.700000003</v>
      </c>
      <c r="S199" s="63">
        <v>33958372.700000003</v>
      </c>
      <c r="T199" s="63">
        <v>47057135.801571004</v>
      </c>
      <c r="U199" s="55" t="s">
        <v>81</v>
      </c>
      <c r="V199" s="55" t="s">
        <v>78</v>
      </c>
      <c r="W199" s="55" t="s">
        <v>81</v>
      </c>
      <c r="X199" s="59" t="s">
        <v>78</v>
      </c>
      <c r="Y199" s="59" t="s">
        <v>81</v>
      </c>
      <c r="Z199" s="55">
        <v>0</v>
      </c>
      <c r="AA199" s="55" t="s">
        <v>78</v>
      </c>
      <c r="AB199" s="55">
        <v>0</v>
      </c>
      <c r="AC199" s="55" t="s">
        <v>78</v>
      </c>
      <c r="AD199" s="55">
        <v>0</v>
      </c>
      <c r="AE199" s="55" t="s">
        <v>78</v>
      </c>
      <c r="AF199" s="55">
        <v>0</v>
      </c>
      <c r="AG199" s="55" t="s">
        <v>81</v>
      </c>
      <c r="AH199" s="55" t="s">
        <v>78</v>
      </c>
      <c r="AI199" s="59" t="s">
        <v>81</v>
      </c>
      <c r="AJ199" s="55" t="s">
        <v>78</v>
      </c>
      <c r="AK199" s="55" t="s">
        <v>78</v>
      </c>
      <c r="AL199" s="55" t="s">
        <v>81</v>
      </c>
      <c r="AM199" s="55" t="s">
        <v>81</v>
      </c>
      <c r="AN199" s="55" t="s">
        <v>78</v>
      </c>
      <c r="AO199" s="60" t="s">
        <v>81</v>
      </c>
      <c r="AP199" s="58" t="s">
        <v>74</v>
      </c>
      <c r="AQ199" s="55" t="s">
        <v>228</v>
      </c>
    </row>
    <row r="200" spans="1:43" ht="16.2" hidden="1" x14ac:dyDescent="0.45">
      <c r="A200" s="55" t="s">
        <v>1284</v>
      </c>
      <c r="B200" s="55" t="s">
        <v>1285</v>
      </c>
      <c r="C200" s="55">
        <v>2016</v>
      </c>
      <c r="D200" s="55" t="s">
        <v>145</v>
      </c>
      <c r="E200" s="55" t="s">
        <v>78</v>
      </c>
      <c r="F200" s="57" t="s">
        <v>543</v>
      </c>
      <c r="G200" s="55" t="s">
        <v>590</v>
      </c>
      <c r="H200" s="55" t="s">
        <v>256</v>
      </c>
      <c r="I200" s="55" t="s">
        <v>676</v>
      </c>
      <c r="J200" s="57" t="s">
        <v>81</v>
      </c>
      <c r="K200" s="55" t="s">
        <v>74</v>
      </c>
      <c r="L200" s="63">
        <v>53818794.869999997</v>
      </c>
      <c r="M200" s="63">
        <v>53818794.869999997</v>
      </c>
      <c r="N200" s="63">
        <v>74578318.615205094</v>
      </c>
      <c r="O200" s="63">
        <v>51636213.909999996</v>
      </c>
      <c r="P200" s="63">
        <v>51636213.909999996</v>
      </c>
      <c r="Q200" s="63">
        <v>71553850.70150429</v>
      </c>
      <c r="R200" s="63">
        <v>51636213.909999996</v>
      </c>
      <c r="S200" s="63">
        <v>51636213.909999996</v>
      </c>
      <c r="T200" s="63">
        <v>71553850.70150429</v>
      </c>
      <c r="U200" s="55" t="s">
        <v>75</v>
      </c>
      <c r="V200" s="55" t="s">
        <v>1286</v>
      </c>
      <c r="W200" s="55" t="s">
        <v>81</v>
      </c>
      <c r="X200" s="59" t="s">
        <v>78</v>
      </c>
      <c r="Y200" s="59" t="s">
        <v>75</v>
      </c>
      <c r="Z200" s="55">
        <v>999</v>
      </c>
      <c r="AA200" s="55" t="s">
        <v>1287</v>
      </c>
      <c r="AB200" s="55">
        <v>999</v>
      </c>
      <c r="AC200" s="55" t="s">
        <v>1288</v>
      </c>
      <c r="AD200" s="55">
        <v>0</v>
      </c>
      <c r="AE200" s="55" t="s">
        <v>78</v>
      </c>
      <c r="AF200" s="55">
        <v>2</v>
      </c>
      <c r="AG200" s="55" t="s">
        <v>81</v>
      </c>
      <c r="AH200" s="55" t="s">
        <v>78</v>
      </c>
      <c r="AI200" s="59" t="s">
        <v>75</v>
      </c>
      <c r="AJ200" s="55" t="s">
        <v>256</v>
      </c>
      <c r="AK200" s="55" t="s">
        <v>796</v>
      </c>
      <c r="AL200" s="55" t="s">
        <v>81</v>
      </c>
      <c r="AM200" s="55" t="s">
        <v>81</v>
      </c>
      <c r="AN200" s="55" t="s">
        <v>78</v>
      </c>
      <c r="AO200" s="60" t="s">
        <v>81</v>
      </c>
      <c r="AP200" s="58" t="s">
        <v>74</v>
      </c>
      <c r="AQ200" s="55" t="s">
        <v>256</v>
      </c>
    </row>
    <row r="201" spans="1:43" ht="16.2" hidden="1" x14ac:dyDescent="0.45">
      <c r="A201" s="55" t="s">
        <v>1289</v>
      </c>
      <c r="B201" s="55" t="s">
        <v>1290</v>
      </c>
      <c r="C201" s="55">
        <v>2016</v>
      </c>
      <c r="D201" s="55" t="s">
        <v>226</v>
      </c>
      <c r="E201" s="55" t="s">
        <v>78</v>
      </c>
      <c r="F201" s="57" t="s">
        <v>534</v>
      </c>
      <c r="G201" s="55" t="s">
        <v>596</v>
      </c>
      <c r="H201" s="55" t="s">
        <v>101</v>
      </c>
      <c r="I201" s="55" t="s">
        <v>689</v>
      </c>
      <c r="J201" s="57" t="s">
        <v>81</v>
      </c>
      <c r="K201" s="55" t="s">
        <v>126</v>
      </c>
      <c r="L201" s="63">
        <v>500000000</v>
      </c>
      <c r="M201" s="63">
        <v>360820650.48746872</v>
      </c>
      <c r="N201" s="63">
        <v>500000000</v>
      </c>
      <c r="O201" s="63">
        <v>361613955.39999998</v>
      </c>
      <c r="P201" s="63">
        <v>361613955.39999998</v>
      </c>
      <c r="Q201" s="63">
        <v>501099306.41644192</v>
      </c>
      <c r="R201" s="63">
        <v>361613955.39999998</v>
      </c>
      <c r="S201" s="63">
        <v>361613955.39999998</v>
      </c>
      <c r="T201" s="63">
        <v>501099306.41644192</v>
      </c>
      <c r="U201" s="55" t="s">
        <v>81</v>
      </c>
      <c r="V201" s="55" t="s">
        <v>78</v>
      </c>
      <c r="W201" s="55" t="s">
        <v>81</v>
      </c>
      <c r="X201" s="59" t="s">
        <v>78</v>
      </c>
      <c r="Y201" s="59" t="s">
        <v>81</v>
      </c>
      <c r="Z201" s="55">
        <v>0</v>
      </c>
      <c r="AA201" s="55" t="s">
        <v>78</v>
      </c>
      <c r="AB201" s="55">
        <v>0</v>
      </c>
      <c r="AC201" s="55" t="s">
        <v>78</v>
      </c>
      <c r="AD201" s="55">
        <v>0</v>
      </c>
      <c r="AE201" s="55" t="s">
        <v>78</v>
      </c>
      <c r="AF201" s="55">
        <v>0</v>
      </c>
      <c r="AG201" s="55" t="s">
        <v>81</v>
      </c>
      <c r="AH201" s="55" t="s">
        <v>78</v>
      </c>
      <c r="AI201" s="59" t="s">
        <v>81</v>
      </c>
      <c r="AJ201" s="55" t="s">
        <v>78</v>
      </c>
      <c r="AK201" s="55" t="s">
        <v>78</v>
      </c>
      <c r="AL201" s="55" t="s">
        <v>81</v>
      </c>
      <c r="AM201" s="55" t="s">
        <v>81</v>
      </c>
      <c r="AN201" s="55" t="s">
        <v>78</v>
      </c>
      <c r="AO201" s="60" t="s">
        <v>81</v>
      </c>
      <c r="AP201" s="58" t="s">
        <v>126</v>
      </c>
      <c r="AQ201" s="55" t="s">
        <v>101</v>
      </c>
    </row>
    <row r="202" spans="1:43" ht="16.2" hidden="1" x14ac:dyDescent="0.45">
      <c r="A202" s="55" t="s">
        <v>1291</v>
      </c>
      <c r="B202" s="55" t="s">
        <v>1292</v>
      </c>
      <c r="C202" s="55">
        <v>2016</v>
      </c>
      <c r="D202" s="55" t="s">
        <v>226</v>
      </c>
      <c r="E202" s="55" t="s">
        <v>78</v>
      </c>
      <c r="F202" s="57" t="s">
        <v>534</v>
      </c>
      <c r="G202" s="55" t="s">
        <v>115</v>
      </c>
      <c r="H202" s="55" t="s">
        <v>115</v>
      </c>
      <c r="I202" s="55" t="s">
        <v>689</v>
      </c>
      <c r="J202" s="57" t="s">
        <v>81</v>
      </c>
      <c r="K202" s="55" t="s">
        <v>74</v>
      </c>
      <c r="L202" s="63">
        <v>396000</v>
      </c>
      <c r="M202" s="63">
        <v>396000</v>
      </c>
      <c r="N202" s="63">
        <v>548749.07999999996</v>
      </c>
      <c r="O202" s="63">
        <v>396000</v>
      </c>
      <c r="P202" s="63">
        <v>396000</v>
      </c>
      <c r="Q202" s="63">
        <v>548749.07999999996</v>
      </c>
      <c r="R202" s="63">
        <v>396000</v>
      </c>
      <c r="S202" s="63">
        <v>396000</v>
      </c>
      <c r="T202" s="63">
        <v>548749.07999999996</v>
      </c>
      <c r="U202" s="55" t="s">
        <v>81</v>
      </c>
      <c r="V202" s="55" t="s">
        <v>78</v>
      </c>
      <c r="W202" s="55" t="s">
        <v>81</v>
      </c>
      <c r="X202" s="59" t="s">
        <v>78</v>
      </c>
      <c r="Y202" s="59" t="s">
        <v>81</v>
      </c>
      <c r="Z202" s="55">
        <v>0</v>
      </c>
      <c r="AA202" s="55" t="s">
        <v>78</v>
      </c>
      <c r="AB202" s="55">
        <v>0</v>
      </c>
      <c r="AC202" s="55" t="s">
        <v>78</v>
      </c>
      <c r="AD202" s="55">
        <v>0</v>
      </c>
      <c r="AE202" s="55" t="s">
        <v>78</v>
      </c>
      <c r="AF202" s="55">
        <v>0</v>
      </c>
      <c r="AG202" s="55" t="s">
        <v>81</v>
      </c>
      <c r="AH202" s="55" t="s">
        <v>78</v>
      </c>
      <c r="AI202" s="59" t="s">
        <v>81</v>
      </c>
      <c r="AJ202" s="55" t="s">
        <v>78</v>
      </c>
      <c r="AK202" s="55" t="s">
        <v>78</v>
      </c>
      <c r="AL202" s="55" t="s">
        <v>81</v>
      </c>
      <c r="AM202" s="55" t="s">
        <v>81</v>
      </c>
      <c r="AN202" s="55" t="s">
        <v>78</v>
      </c>
      <c r="AO202" s="60" t="s">
        <v>81</v>
      </c>
      <c r="AP202" s="58" t="s">
        <v>74</v>
      </c>
      <c r="AQ202" s="55" t="s">
        <v>115</v>
      </c>
    </row>
    <row r="203" spans="1:43" ht="16.2" hidden="1" x14ac:dyDescent="0.45">
      <c r="A203" s="55" t="s">
        <v>1293</v>
      </c>
      <c r="B203" s="55" t="s">
        <v>1294</v>
      </c>
      <c r="C203" s="55">
        <v>2016</v>
      </c>
      <c r="D203" s="55" t="s">
        <v>151</v>
      </c>
      <c r="E203" s="55" t="s">
        <v>78</v>
      </c>
      <c r="F203" s="57" t="s">
        <v>546</v>
      </c>
      <c r="G203" s="55" t="s">
        <v>228</v>
      </c>
      <c r="H203" s="55" t="s">
        <v>228</v>
      </c>
      <c r="I203" s="55" t="s">
        <v>689</v>
      </c>
      <c r="J203" s="57" t="s">
        <v>81</v>
      </c>
      <c r="K203" s="55" t="s">
        <v>104</v>
      </c>
      <c r="L203" s="63">
        <v>200000000</v>
      </c>
      <c r="M203" s="63">
        <v>157130174.4930588</v>
      </c>
      <c r="N203" s="63">
        <v>217739996.70026636</v>
      </c>
      <c r="O203" s="63">
        <v>164041994.80000001</v>
      </c>
      <c r="P203" s="63">
        <v>164041994.80000001</v>
      </c>
      <c r="Q203" s="63">
        <v>227317913.45420399</v>
      </c>
      <c r="R203" s="63">
        <v>164041994.80000001</v>
      </c>
      <c r="S203" s="63">
        <v>164041994.80000001</v>
      </c>
      <c r="T203" s="63">
        <v>227317913.45420399</v>
      </c>
      <c r="U203" s="55" t="s">
        <v>81</v>
      </c>
      <c r="V203" s="55" t="s">
        <v>78</v>
      </c>
      <c r="W203" s="55" t="s">
        <v>81</v>
      </c>
      <c r="X203" s="59" t="s">
        <v>78</v>
      </c>
      <c r="Y203" s="59" t="s">
        <v>81</v>
      </c>
      <c r="Z203" s="55">
        <v>0</v>
      </c>
      <c r="AA203" s="55" t="s">
        <v>78</v>
      </c>
      <c r="AB203" s="55">
        <v>0</v>
      </c>
      <c r="AC203" s="55" t="s">
        <v>78</v>
      </c>
      <c r="AD203" s="55">
        <v>0</v>
      </c>
      <c r="AE203" s="55" t="s">
        <v>78</v>
      </c>
      <c r="AF203" s="55">
        <v>0</v>
      </c>
      <c r="AG203" s="55" t="s">
        <v>75</v>
      </c>
      <c r="AH203" s="55" t="s">
        <v>1295</v>
      </c>
      <c r="AI203" s="59" t="s">
        <v>81</v>
      </c>
      <c r="AJ203" s="55" t="s">
        <v>78</v>
      </c>
      <c r="AK203" s="55" t="s">
        <v>78</v>
      </c>
      <c r="AL203" s="55" t="s">
        <v>81</v>
      </c>
      <c r="AM203" s="55" t="s">
        <v>81</v>
      </c>
      <c r="AN203" s="55" t="s">
        <v>78</v>
      </c>
      <c r="AO203" s="60" t="s">
        <v>81</v>
      </c>
      <c r="AP203" s="58" t="s">
        <v>104</v>
      </c>
      <c r="AQ203" s="55" t="s">
        <v>228</v>
      </c>
    </row>
    <row r="204" spans="1:43" ht="16.2" hidden="1" x14ac:dyDescent="0.45">
      <c r="A204" s="55" t="s">
        <v>1296</v>
      </c>
      <c r="B204" s="55" t="s">
        <v>1297</v>
      </c>
      <c r="C204" s="55">
        <v>2016</v>
      </c>
      <c r="D204" s="55" t="s">
        <v>151</v>
      </c>
      <c r="E204" s="55" t="s">
        <v>78</v>
      </c>
      <c r="F204" s="57" t="s">
        <v>546</v>
      </c>
      <c r="G204" s="55" t="s">
        <v>587</v>
      </c>
      <c r="H204" s="55" t="s">
        <v>256</v>
      </c>
      <c r="I204" s="55" t="s">
        <v>689</v>
      </c>
      <c r="J204" s="57" t="s">
        <v>81</v>
      </c>
      <c r="K204" s="55" t="s">
        <v>104</v>
      </c>
      <c r="L204" s="63">
        <v>88850000</v>
      </c>
      <c r="M204" s="63">
        <v>69805080.018541366</v>
      </c>
      <c r="N204" s="63">
        <v>96730993.53409332</v>
      </c>
      <c r="O204" s="63">
        <v>72875656.170000002</v>
      </c>
      <c r="P204" s="63">
        <v>72875656.170000002</v>
      </c>
      <c r="Q204" s="63">
        <v>100985983.0244541</v>
      </c>
      <c r="R204" s="63">
        <v>72875656.170000002</v>
      </c>
      <c r="S204" s="63">
        <v>72875656.170000002</v>
      </c>
      <c r="T204" s="63">
        <v>100985983.0244541</v>
      </c>
      <c r="U204" s="55" t="s">
        <v>75</v>
      </c>
      <c r="V204" s="55" t="s">
        <v>1298</v>
      </c>
      <c r="W204" s="55" t="s">
        <v>81</v>
      </c>
      <c r="X204" s="59" t="s">
        <v>78</v>
      </c>
      <c r="Y204" s="59" t="s">
        <v>75</v>
      </c>
      <c r="Z204" s="55">
        <v>999</v>
      </c>
      <c r="AA204" s="55" t="s">
        <v>1299</v>
      </c>
      <c r="AB204" s="55">
        <v>999</v>
      </c>
      <c r="AC204" s="55" t="s">
        <v>1300</v>
      </c>
      <c r="AD204" s="55">
        <v>999</v>
      </c>
      <c r="AE204" s="55" t="s">
        <v>1301</v>
      </c>
      <c r="AF204" s="55">
        <v>3</v>
      </c>
      <c r="AG204" s="55" t="s">
        <v>81</v>
      </c>
      <c r="AH204" s="55" t="s">
        <v>78</v>
      </c>
      <c r="AI204" s="59" t="s">
        <v>75</v>
      </c>
      <c r="AJ204" s="55" t="s">
        <v>256</v>
      </c>
      <c r="AK204" s="55" t="s">
        <v>78</v>
      </c>
      <c r="AL204" s="55" t="s">
        <v>81</v>
      </c>
      <c r="AM204" s="55" t="s">
        <v>81</v>
      </c>
      <c r="AN204" s="55" t="s">
        <v>78</v>
      </c>
      <c r="AO204" s="60" t="s">
        <v>81</v>
      </c>
      <c r="AP204" s="58" t="s">
        <v>104</v>
      </c>
      <c r="AQ204" s="55" t="s">
        <v>256</v>
      </c>
    </row>
    <row r="205" spans="1:43" ht="16.2" hidden="1" x14ac:dyDescent="0.45">
      <c r="A205" s="55" t="s">
        <v>1302</v>
      </c>
      <c r="B205" s="55" t="s">
        <v>1303</v>
      </c>
      <c r="C205" s="55">
        <v>2016</v>
      </c>
      <c r="D205" s="55" t="s">
        <v>433</v>
      </c>
      <c r="E205" s="55" t="s">
        <v>78</v>
      </c>
      <c r="F205" s="57" t="s">
        <v>564</v>
      </c>
      <c r="G205" s="55" t="s">
        <v>599</v>
      </c>
      <c r="H205" s="55" t="s">
        <v>101</v>
      </c>
      <c r="I205" s="55" t="s">
        <v>676</v>
      </c>
      <c r="J205" s="57" t="s">
        <v>81</v>
      </c>
      <c r="K205" s="55" t="s">
        <v>74</v>
      </c>
      <c r="L205" s="63">
        <v>15000000</v>
      </c>
      <c r="M205" s="63">
        <v>15000000</v>
      </c>
      <c r="N205" s="63">
        <v>20785950</v>
      </c>
      <c r="O205" s="63">
        <v>15000000</v>
      </c>
      <c r="P205" s="63">
        <v>15000000</v>
      </c>
      <c r="Q205" s="63">
        <v>20785950</v>
      </c>
      <c r="R205" s="63">
        <v>15000000</v>
      </c>
      <c r="S205" s="63">
        <v>15000000</v>
      </c>
      <c r="T205" s="63">
        <v>20785950</v>
      </c>
      <c r="U205" s="55" t="s">
        <v>81</v>
      </c>
      <c r="V205" s="55" t="s">
        <v>78</v>
      </c>
      <c r="W205" s="55" t="s">
        <v>81</v>
      </c>
      <c r="X205" s="59" t="s">
        <v>78</v>
      </c>
      <c r="Y205" s="59" t="s">
        <v>81</v>
      </c>
      <c r="Z205" s="55">
        <v>0</v>
      </c>
      <c r="AA205" s="55" t="s">
        <v>78</v>
      </c>
      <c r="AB205" s="55">
        <v>0</v>
      </c>
      <c r="AC205" s="55" t="s">
        <v>78</v>
      </c>
      <c r="AD205" s="55">
        <v>0</v>
      </c>
      <c r="AE205" s="55" t="s">
        <v>78</v>
      </c>
      <c r="AF205" s="55">
        <v>0</v>
      </c>
      <c r="AG205" s="55" t="s">
        <v>81</v>
      </c>
      <c r="AH205" s="55" t="s">
        <v>78</v>
      </c>
      <c r="AI205" s="59" t="s">
        <v>81</v>
      </c>
      <c r="AJ205" s="55" t="s">
        <v>78</v>
      </c>
      <c r="AK205" s="55" t="s">
        <v>78</v>
      </c>
      <c r="AL205" s="55" t="s">
        <v>81</v>
      </c>
      <c r="AM205" s="55" t="s">
        <v>81</v>
      </c>
      <c r="AN205" s="55" t="s">
        <v>78</v>
      </c>
      <c r="AO205" s="60" t="s">
        <v>81</v>
      </c>
      <c r="AP205" s="58" t="s">
        <v>74</v>
      </c>
      <c r="AQ205" s="55" t="s">
        <v>101</v>
      </c>
    </row>
    <row r="206" spans="1:43" ht="16.2" hidden="1" x14ac:dyDescent="0.45">
      <c r="A206" s="55" t="s">
        <v>1304</v>
      </c>
      <c r="B206" s="56" t="s">
        <v>1305</v>
      </c>
      <c r="C206" s="55">
        <v>2016</v>
      </c>
      <c r="D206" s="55" t="s">
        <v>500</v>
      </c>
      <c r="E206" s="55" t="s">
        <v>78</v>
      </c>
      <c r="F206" s="57" t="s">
        <v>547</v>
      </c>
      <c r="G206" s="55" t="s">
        <v>597</v>
      </c>
      <c r="H206" s="55" t="s">
        <v>101</v>
      </c>
      <c r="I206" s="55" t="s">
        <v>676</v>
      </c>
      <c r="J206" s="57" t="s">
        <v>81</v>
      </c>
      <c r="K206" s="55" t="s">
        <v>74</v>
      </c>
      <c r="L206" s="63">
        <v>41037591.140000001</v>
      </c>
      <c r="M206" s="63">
        <v>41037591.140000001</v>
      </c>
      <c r="N206" s="63">
        <v>56867021.170432195</v>
      </c>
      <c r="O206" s="63">
        <v>43093832.020000003</v>
      </c>
      <c r="P206" s="63">
        <v>43093832.020000003</v>
      </c>
      <c r="Q206" s="63">
        <v>59716415.845074601</v>
      </c>
      <c r="R206" s="63">
        <v>43093832.020000003</v>
      </c>
      <c r="S206" s="63">
        <v>43093832.020000003</v>
      </c>
      <c r="T206" s="63">
        <v>59716415.845074601</v>
      </c>
      <c r="U206" s="55" t="s">
        <v>75</v>
      </c>
      <c r="V206" s="55" t="s">
        <v>1306</v>
      </c>
      <c r="W206" s="55" t="s">
        <v>81</v>
      </c>
      <c r="X206" s="59" t="s">
        <v>78</v>
      </c>
      <c r="Y206" s="59" t="s">
        <v>81</v>
      </c>
      <c r="Z206" s="55">
        <v>0</v>
      </c>
      <c r="AA206" s="55" t="s">
        <v>78</v>
      </c>
      <c r="AB206" s="55">
        <v>0</v>
      </c>
      <c r="AC206" s="55" t="s">
        <v>78</v>
      </c>
      <c r="AD206" s="55">
        <v>0</v>
      </c>
      <c r="AE206" s="55" t="s">
        <v>78</v>
      </c>
      <c r="AF206" s="55">
        <v>0</v>
      </c>
      <c r="AG206" s="55" t="s">
        <v>81</v>
      </c>
      <c r="AH206" s="55" t="s">
        <v>78</v>
      </c>
      <c r="AI206" s="59" t="s">
        <v>75</v>
      </c>
      <c r="AJ206" s="55" t="s">
        <v>256</v>
      </c>
      <c r="AK206" s="55" t="s">
        <v>78</v>
      </c>
      <c r="AL206" s="55" t="s">
        <v>81</v>
      </c>
      <c r="AM206" s="55" t="s">
        <v>81</v>
      </c>
      <c r="AN206" s="55" t="s">
        <v>78</v>
      </c>
      <c r="AO206" s="60" t="s">
        <v>81</v>
      </c>
      <c r="AP206" s="58" t="s">
        <v>74</v>
      </c>
      <c r="AQ206" s="55" t="s">
        <v>101</v>
      </c>
    </row>
    <row r="207" spans="1:43" ht="16.2" hidden="1" x14ac:dyDescent="0.45">
      <c r="A207" s="55" t="s">
        <v>1307</v>
      </c>
      <c r="B207" s="56" t="s">
        <v>1308</v>
      </c>
      <c r="C207" s="55">
        <v>2016</v>
      </c>
      <c r="D207" s="55" t="s">
        <v>500</v>
      </c>
      <c r="E207" s="55" t="s">
        <v>78</v>
      </c>
      <c r="F207" s="57" t="s">
        <v>547</v>
      </c>
      <c r="G207" s="56" t="s">
        <v>577</v>
      </c>
      <c r="H207" s="56" t="s">
        <v>115</v>
      </c>
      <c r="I207" s="56" t="s">
        <v>689</v>
      </c>
      <c r="J207" s="61" t="s">
        <v>81</v>
      </c>
      <c r="K207" s="55" t="s">
        <v>126</v>
      </c>
      <c r="L207" s="63">
        <v>1000000</v>
      </c>
      <c r="M207" s="63">
        <v>721641.30097493739</v>
      </c>
      <c r="N207" s="63">
        <v>999999.99999999988</v>
      </c>
      <c r="O207" s="63">
        <v>723227.91</v>
      </c>
      <c r="P207" s="63">
        <v>723227.91</v>
      </c>
      <c r="Q207" s="63">
        <v>1002198.6117243</v>
      </c>
      <c r="R207" s="63">
        <v>723227.91</v>
      </c>
      <c r="S207" s="63">
        <v>723227.91</v>
      </c>
      <c r="T207" s="63">
        <v>1002198.6117243</v>
      </c>
      <c r="U207" s="55" t="s">
        <v>75</v>
      </c>
      <c r="V207" s="55" t="s">
        <v>1309</v>
      </c>
      <c r="W207" s="55" t="s">
        <v>75</v>
      </c>
      <c r="X207" s="59" t="s">
        <v>1310</v>
      </c>
      <c r="Y207" s="59" t="s">
        <v>75</v>
      </c>
      <c r="Z207" s="55">
        <v>999</v>
      </c>
      <c r="AA207" s="55" t="s">
        <v>1311</v>
      </c>
      <c r="AB207" s="55">
        <v>999</v>
      </c>
      <c r="AC207" s="55" t="s">
        <v>1312</v>
      </c>
      <c r="AD207" s="55">
        <v>0</v>
      </c>
      <c r="AE207" s="55" t="s">
        <v>78</v>
      </c>
      <c r="AF207" s="55">
        <v>2</v>
      </c>
      <c r="AG207" s="55" t="s">
        <v>81</v>
      </c>
      <c r="AH207" s="55" t="s">
        <v>78</v>
      </c>
      <c r="AI207" s="59" t="s">
        <v>75</v>
      </c>
      <c r="AJ207" s="55" t="s">
        <v>256</v>
      </c>
      <c r="AK207" s="55" t="s">
        <v>78</v>
      </c>
      <c r="AL207" s="55" t="s">
        <v>81</v>
      </c>
      <c r="AM207" s="55" t="s">
        <v>81</v>
      </c>
      <c r="AN207" s="55" t="s">
        <v>78</v>
      </c>
      <c r="AO207" s="60" t="s">
        <v>75</v>
      </c>
      <c r="AP207" s="58" t="s">
        <v>126</v>
      </c>
      <c r="AQ207" s="56" t="s">
        <v>115</v>
      </c>
    </row>
    <row r="208" spans="1:43" ht="16.2" x14ac:dyDescent="0.45">
      <c r="A208" s="55" t="s">
        <v>1313</v>
      </c>
      <c r="B208" s="56" t="s">
        <v>1314</v>
      </c>
      <c r="C208" s="55">
        <v>2016</v>
      </c>
      <c r="D208" s="55" t="s">
        <v>99</v>
      </c>
      <c r="E208" s="55" t="s">
        <v>78</v>
      </c>
      <c r="F208" s="57" t="s">
        <v>532</v>
      </c>
      <c r="G208" s="56" t="s">
        <v>573</v>
      </c>
      <c r="H208" s="56" t="s">
        <v>466</v>
      </c>
      <c r="I208" s="56" t="s">
        <v>689</v>
      </c>
      <c r="J208" s="61" t="s">
        <v>81</v>
      </c>
      <c r="K208" s="55" t="s">
        <v>74</v>
      </c>
      <c r="L208" s="63">
        <v>800000</v>
      </c>
      <c r="M208" s="63">
        <v>800000</v>
      </c>
      <c r="N208" s="63">
        <v>1108584</v>
      </c>
      <c r="O208" s="63">
        <v>800000</v>
      </c>
      <c r="P208" s="63">
        <v>800000</v>
      </c>
      <c r="Q208" s="63">
        <v>1108584</v>
      </c>
      <c r="R208" s="63">
        <v>800000</v>
      </c>
      <c r="S208" s="63">
        <v>800000</v>
      </c>
      <c r="T208" s="63">
        <v>1108584</v>
      </c>
      <c r="U208" s="55" t="s">
        <v>81</v>
      </c>
      <c r="V208" s="55" t="s">
        <v>78</v>
      </c>
      <c r="W208" s="55" t="s">
        <v>81</v>
      </c>
      <c r="X208" s="59" t="s">
        <v>78</v>
      </c>
      <c r="Y208" s="59" t="s">
        <v>81</v>
      </c>
      <c r="Z208" s="55">
        <v>0</v>
      </c>
      <c r="AA208" s="55" t="s">
        <v>78</v>
      </c>
      <c r="AB208" s="55">
        <v>0</v>
      </c>
      <c r="AC208" s="55" t="s">
        <v>78</v>
      </c>
      <c r="AD208" s="55">
        <v>0</v>
      </c>
      <c r="AE208" s="55" t="s">
        <v>78</v>
      </c>
      <c r="AF208" s="55">
        <v>0</v>
      </c>
      <c r="AG208" s="55" t="s">
        <v>81</v>
      </c>
      <c r="AH208" s="55" t="s">
        <v>78</v>
      </c>
      <c r="AI208" s="59" t="s">
        <v>81</v>
      </c>
      <c r="AJ208" s="55" t="s">
        <v>78</v>
      </c>
      <c r="AK208" s="55" t="s">
        <v>78</v>
      </c>
      <c r="AL208" s="55" t="s">
        <v>81</v>
      </c>
      <c r="AM208" s="55" t="s">
        <v>81</v>
      </c>
      <c r="AN208" s="55" t="s">
        <v>78</v>
      </c>
      <c r="AO208" s="60" t="s">
        <v>81</v>
      </c>
      <c r="AP208" s="58" t="s">
        <v>74</v>
      </c>
      <c r="AQ208" s="56" t="s">
        <v>466</v>
      </c>
    </row>
    <row r="209" spans="1:43" ht="16.2" hidden="1" x14ac:dyDescent="0.45">
      <c r="A209" s="55" t="s">
        <v>1315</v>
      </c>
      <c r="B209" s="56" t="s">
        <v>1316</v>
      </c>
      <c r="C209" s="55">
        <v>2015</v>
      </c>
      <c r="D209" s="55" t="s">
        <v>419</v>
      </c>
      <c r="E209" s="55" t="s">
        <v>78</v>
      </c>
      <c r="F209" s="57" t="s">
        <v>563</v>
      </c>
      <c r="G209" s="56" t="s">
        <v>589</v>
      </c>
      <c r="H209" s="55" t="s">
        <v>256</v>
      </c>
      <c r="I209" s="55" t="s">
        <v>689</v>
      </c>
      <c r="J209" s="57" t="s">
        <v>81</v>
      </c>
      <c r="K209" s="55" t="s">
        <v>74</v>
      </c>
      <c r="L209" s="63">
        <v>797500</v>
      </c>
      <c r="M209" s="63">
        <v>797500</v>
      </c>
      <c r="N209" s="63">
        <v>1155425.9749999999</v>
      </c>
      <c r="O209" s="63">
        <v>797416</v>
      </c>
      <c r="P209" s="63">
        <v>797416</v>
      </c>
      <c r="Q209" s="63">
        <v>1155304.2749599998</v>
      </c>
      <c r="R209" s="63">
        <v>797416</v>
      </c>
      <c r="S209" s="63">
        <v>797416</v>
      </c>
      <c r="T209" s="63">
        <v>1155304.2749599998</v>
      </c>
      <c r="U209" s="55" t="s">
        <v>81</v>
      </c>
      <c r="V209" s="55" t="s">
        <v>78</v>
      </c>
      <c r="W209" s="55" t="s">
        <v>81</v>
      </c>
      <c r="X209" s="59" t="s">
        <v>78</v>
      </c>
      <c r="Y209" s="59" t="s">
        <v>75</v>
      </c>
      <c r="Z209" s="55">
        <v>0</v>
      </c>
      <c r="AA209" s="55" t="s">
        <v>78</v>
      </c>
      <c r="AB209" s="55">
        <v>0</v>
      </c>
      <c r="AC209" s="55" t="s">
        <v>78</v>
      </c>
      <c r="AD209" s="55">
        <v>0</v>
      </c>
      <c r="AE209" s="55" t="s">
        <v>78</v>
      </c>
      <c r="AF209" s="55">
        <v>0</v>
      </c>
      <c r="AG209" s="55" t="s">
        <v>81</v>
      </c>
      <c r="AH209" s="55" t="s">
        <v>78</v>
      </c>
      <c r="AI209" s="59" t="s">
        <v>81</v>
      </c>
      <c r="AJ209" s="55" t="s">
        <v>78</v>
      </c>
      <c r="AK209" s="55" t="s">
        <v>78</v>
      </c>
      <c r="AL209" s="55" t="s">
        <v>81</v>
      </c>
      <c r="AM209" s="55" t="s">
        <v>81</v>
      </c>
      <c r="AN209" s="55" t="s">
        <v>78</v>
      </c>
      <c r="AO209" s="60" t="s">
        <v>81</v>
      </c>
      <c r="AP209" s="58" t="s">
        <v>74</v>
      </c>
      <c r="AQ209" s="55" t="s">
        <v>256</v>
      </c>
    </row>
    <row r="210" spans="1:43" ht="13.2" hidden="1" x14ac:dyDescent="0.25">
      <c r="A210" s="90" t="s">
        <v>1317</v>
      </c>
      <c r="B210" s="91" t="s">
        <v>1318</v>
      </c>
      <c r="C210" s="90">
        <v>2015</v>
      </c>
      <c r="D210" s="90" t="s">
        <v>70</v>
      </c>
      <c r="E210" s="91" t="s">
        <v>78</v>
      </c>
      <c r="F210" s="90" t="s">
        <v>570</v>
      </c>
      <c r="G210" s="91" t="s">
        <v>589</v>
      </c>
      <c r="H210" s="90" t="s">
        <v>256</v>
      </c>
      <c r="I210" s="90" t="s">
        <v>679</v>
      </c>
      <c r="J210" s="90" t="s">
        <v>75</v>
      </c>
      <c r="K210" s="90" t="s">
        <v>104</v>
      </c>
      <c r="L210" s="92">
        <v>2340500</v>
      </c>
      <c r="M210" s="92">
        <v>1961334.7635169108</v>
      </c>
      <c r="N210" s="92">
        <v>2841601.4187309355</v>
      </c>
      <c r="O210" s="92">
        <v>1638041.34</v>
      </c>
      <c r="P210" s="92">
        <v>1638041.34</v>
      </c>
      <c r="Q210" s="92">
        <v>2373210.6738053998</v>
      </c>
      <c r="R210" s="92">
        <v>0</v>
      </c>
      <c r="S210" s="92">
        <v>0</v>
      </c>
      <c r="T210" s="92">
        <v>0</v>
      </c>
      <c r="U210" s="90" t="s">
        <v>81</v>
      </c>
      <c r="V210" s="90" t="s">
        <v>78</v>
      </c>
      <c r="W210" s="90" t="s">
        <v>81</v>
      </c>
      <c r="X210" s="93" t="s">
        <v>78</v>
      </c>
      <c r="Y210" s="93" t="s">
        <v>81</v>
      </c>
      <c r="Z210" s="90">
        <v>0</v>
      </c>
      <c r="AA210" s="90" t="s">
        <v>78</v>
      </c>
      <c r="AB210" s="90">
        <v>0</v>
      </c>
      <c r="AC210" s="90" t="s">
        <v>78</v>
      </c>
      <c r="AD210" s="90">
        <v>0</v>
      </c>
      <c r="AE210" s="90" t="s">
        <v>78</v>
      </c>
      <c r="AF210" s="90">
        <v>0</v>
      </c>
      <c r="AG210" s="90" t="s">
        <v>81</v>
      </c>
      <c r="AH210" s="90" t="s">
        <v>78</v>
      </c>
      <c r="AI210" s="93" t="s">
        <v>81</v>
      </c>
      <c r="AJ210" s="90" t="s">
        <v>78</v>
      </c>
      <c r="AK210" s="90" t="s">
        <v>78</v>
      </c>
      <c r="AL210" s="90" t="s">
        <v>81</v>
      </c>
      <c r="AM210" s="90" t="s">
        <v>81</v>
      </c>
      <c r="AN210" s="90" t="s">
        <v>78</v>
      </c>
      <c r="AO210" s="79" t="s">
        <v>81</v>
      </c>
      <c r="AP210" s="94" t="s">
        <v>104</v>
      </c>
      <c r="AQ210" s="90" t="s">
        <v>256</v>
      </c>
    </row>
    <row r="211" spans="1:43" ht="16.2" hidden="1" x14ac:dyDescent="0.45">
      <c r="A211" s="55" t="s">
        <v>845</v>
      </c>
      <c r="B211" s="56" t="s">
        <v>846</v>
      </c>
      <c r="C211" s="55">
        <v>2015</v>
      </c>
      <c r="D211" s="55" t="s">
        <v>254</v>
      </c>
      <c r="E211" s="56" t="s">
        <v>78</v>
      </c>
      <c r="F211" s="57" t="s">
        <v>555</v>
      </c>
      <c r="G211" s="56" t="s">
        <v>587</v>
      </c>
      <c r="H211" s="56" t="s">
        <v>256</v>
      </c>
      <c r="I211" s="56" t="s">
        <v>689</v>
      </c>
      <c r="J211" s="61" t="s">
        <v>81</v>
      </c>
      <c r="K211" s="55" t="s">
        <v>126</v>
      </c>
      <c r="L211" s="63">
        <v>13705168.91</v>
      </c>
      <c r="M211" s="63">
        <v>9459604.0267529916</v>
      </c>
      <c r="N211" s="63">
        <v>13705168.910000002</v>
      </c>
      <c r="O211" s="63">
        <v>15674999.460000001</v>
      </c>
      <c r="P211" s="63">
        <v>15674999.460000001</v>
      </c>
      <c r="Q211" s="63">
        <v>22710095.967642602</v>
      </c>
      <c r="R211" s="63">
        <v>13705168.91</v>
      </c>
      <c r="S211" s="63">
        <v>13705168.91</v>
      </c>
      <c r="T211" s="63">
        <v>19856185.768497098</v>
      </c>
      <c r="U211" s="55" t="s">
        <v>81</v>
      </c>
      <c r="V211" s="55" t="s">
        <v>78</v>
      </c>
      <c r="W211" s="55" t="s">
        <v>81</v>
      </c>
      <c r="X211" s="59" t="s">
        <v>78</v>
      </c>
      <c r="Y211" s="59" t="s">
        <v>81</v>
      </c>
      <c r="Z211" s="55">
        <v>0</v>
      </c>
      <c r="AA211" s="55" t="s">
        <v>78</v>
      </c>
      <c r="AB211" s="55">
        <v>0</v>
      </c>
      <c r="AC211" s="55" t="s">
        <v>78</v>
      </c>
      <c r="AD211" s="55">
        <v>0</v>
      </c>
      <c r="AE211" s="55" t="s">
        <v>78</v>
      </c>
      <c r="AF211" s="55">
        <v>0</v>
      </c>
      <c r="AG211" s="55" t="s">
        <v>81</v>
      </c>
      <c r="AH211" s="55" t="s">
        <v>78</v>
      </c>
      <c r="AI211" s="59" t="s">
        <v>81</v>
      </c>
      <c r="AJ211" s="55" t="s">
        <v>78</v>
      </c>
      <c r="AK211" s="55" t="s">
        <v>78</v>
      </c>
      <c r="AL211" s="55" t="s">
        <v>81</v>
      </c>
      <c r="AM211" s="55" t="s">
        <v>81</v>
      </c>
      <c r="AN211" s="55" t="s">
        <v>78</v>
      </c>
      <c r="AO211" s="60" t="s">
        <v>81</v>
      </c>
      <c r="AP211" s="58" t="s">
        <v>126</v>
      </c>
      <c r="AQ211" s="56" t="s">
        <v>256</v>
      </c>
    </row>
    <row r="212" spans="1:43" ht="16.2" hidden="1" x14ac:dyDescent="0.45">
      <c r="A212" s="55" t="s">
        <v>1319</v>
      </c>
      <c r="B212" s="56" t="s">
        <v>1320</v>
      </c>
      <c r="C212" s="55">
        <v>2015</v>
      </c>
      <c r="D212" s="55" t="s">
        <v>70</v>
      </c>
      <c r="E212" s="56" t="s">
        <v>78</v>
      </c>
      <c r="F212" s="57" t="s">
        <v>570</v>
      </c>
      <c r="G212" s="56" t="s">
        <v>587</v>
      </c>
      <c r="H212" s="55" t="s">
        <v>256</v>
      </c>
      <c r="I212" s="55" t="s">
        <v>676</v>
      </c>
      <c r="J212" s="57" t="s">
        <v>81</v>
      </c>
      <c r="K212" s="55" t="s">
        <v>74</v>
      </c>
      <c r="L212" s="63">
        <v>26660000</v>
      </c>
      <c r="M212" s="63">
        <v>26660000</v>
      </c>
      <c r="N212" s="63">
        <v>38625274.600000001</v>
      </c>
      <c r="O212" s="63">
        <v>24000000</v>
      </c>
      <c r="P212" s="63">
        <v>24000000</v>
      </c>
      <c r="Q212" s="63">
        <v>34771440</v>
      </c>
      <c r="R212" s="63">
        <v>24000000</v>
      </c>
      <c r="S212" s="63">
        <v>24000000</v>
      </c>
      <c r="T212" s="63">
        <v>34771440</v>
      </c>
      <c r="U212" s="55" t="s">
        <v>81</v>
      </c>
      <c r="V212" s="55" t="s">
        <v>78</v>
      </c>
      <c r="W212" s="55" t="s">
        <v>81</v>
      </c>
      <c r="X212" s="59" t="s">
        <v>78</v>
      </c>
      <c r="Y212" s="59" t="s">
        <v>81</v>
      </c>
      <c r="Z212" s="55">
        <v>0</v>
      </c>
      <c r="AA212" s="55" t="s">
        <v>78</v>
      </c>
      <c r="AB212" s="55">
        <v>0</v>
      </c>
      <c r="AC212" s="55" t="s">
        <v>78</v>
      </c>
      <c r="AD212" s="55">
        <v>0</v>
      </c>
      <c r="AE212" s="55" t="s">
        <v>78</v>
      </c>
      <c r="AF212" s="55">
        <v>0</v>
      </c>
      <c r="AG212" s="55" t="s">
        <v>81</v>
      </c>
      <c r="AH212" s="55" t="s">
        <v>78</v>
      </c>
      <c r="AI212" s="59" t="s">
        <v>81</v>
      </c>
      <c r="AJ212" s="55" t="s">
        <v>78</v>
      </c>
      <c r="AK212" s="55" t="s">
        <v>78</v>
      </c>
      <c r="AL212" s="55" t="s">
        <v>81</v>
      </c>
      <c r="AM212" s="55" t="s">
        <v>81</v>
      </c>
      <c r="AN212" s="55" t="s">
        <v>78</v>
      </c>
      <c r="AO212" s="60" t="s">
        <v>81</v>
      </c>
      <c r="AP212" s="58" t="s">
        <v>74</v>
      </c>
      <c r="AQ212" s="55" t="s">
        <v>256</v>
      </c>
    </row>
    <row r="213" spans="1:43" ht="16.2" hidden="1" x14ac:dyDescent="0.45">
      <c r="A213" s="55" t="s">
        <v>1321</v>
      </c>
      <c r="B213" s="56" t="s">
        <v>1322</v>
      </c>
      <c r="C213" s="55">
        <v>2015</v>
      </c>
      <c r="D213" s="55" t="s">
        <v>254</v>
      </c>
      <c r="E213" s="56" t="s">
        <v>78</v>
      </c>
      <c r="F213" s="57" t="s">
        <v>555</v>
      </c>
      <c r="G213" s="56" t="s">
        <v>585</v>
      </c>
      <c r="H213" s="55" t="s">
        <v>228</v>
      </c>
      <c r="I213" s="55" t="s">
        <v>689</v>
      </c>
      <c r="J213" s="57" t="s">
        <v>81</v>
      </c>
      <c r="K213" s="55" t="s">
        <v>126</v>
      </c>
      <c r="L213" s="63">
        <v>1000000</v>
      </c>
      <c r="M213" s="63">
        <v>690221.6301654462</v>
      </c>
      <c r="N213" s="63">
        <v>1000000.0000000001</v>
      </c>
      <c r="O213" s="63">
        <v>723227.91</v>
      </c>
      <c r="P213" s="63">
        <v>723227.91</v>
      </c>
      <c r="Q213" s="63">
        <v>1047819.8282871</v>
      </c>
      <c r="R213" s="63">
        <v>723227.91</v>
      </c>
      <c r="S213" s="63">
        <v>723227.91</v>
      </c>
      <c r="T213" s="63">
        <v>1047819.8282871</v>
      </c>
      <c r="U213" s="55" t="s">
        <v>81</v>
      </c>
      <c r="V213" s="55" t="s">
        <v>78</v>
      </c>
      <c r="W213" s="55" t="s">
        <v>81</v>
      </c>
      <c r="X213" s="59" t="s">
        <v>78</v>
      </c>
      <c r="Y213" s="59" t="s">
        <v>81</v>
      </c>
      <c r="Z213" s="55">
        <v>0</v>
      </c>
      <c r="AA213" s="55" t="s">
        <v>78</v>
      </c>
      <c r="AB213" s="55">
        <v>0</v>
      </c>
      <c r="AC213" s="55" t="s">
        <v>78</v>
      </c>
      <c r="AD213" s="55">
        <v>0</v>
      </c>
      <c r="AE213" s="55" t="s">
        <v>78</v>
      </c>
      <c r="AF213" s="55">
        <v>0</v>
      </c>
      <c r="AG213" s="55" t="s">
        <v>81</v>
      </c>
      <c r="AH213" s="55" t="s">
        <v>78</v>
      </c>
      <c r="AI213" s="59" t="s">
        <v>81</v>
      </c>
      <c r="AJ213" s="55" t="s">
        <v>78</v>
      </c>
      <c r="AK213" s="55" t="s">
        <v>78</v>
      </c>
      <c r="AL213" s="55" t="s">
        <v>81</v>
      </c>
      <c r="AM213" s="55" t="s">
        <v>81</v>
      </c>
      <c r="AN213" s="55" t="s">
        <v>78</v>
      </c>
      <c r="AO213" s="60" t="s">
        <v>81</v>
      </c>
      <c r="AP213" s="58" t="s">
        <v>126</v>
      </c>
      <c r="AQ213" s="55" t="s">
        <v>228</v>
      </c>
    </row>
    <row r="214" spans="1:43" ht="16.2" hidden="1" x14ac:dyDescent="0.45">
      <c r="A214" s="55" t="s">
        <v>1323</v>
      </c>
      <c r="B214" s="56" t="s">
        <v>1324</v>
      </c>
      <c r="C214" s="55">
        <v>2015</v>
      </c>
      <c r="D214" s="55" t="s">
        <v>516</v>
      </c>
      <c r="E214" s="56" t="s">
        <v>78</v>
      </c>
      <c r="F214" s="57" t="s">
        <v>569</v>
      </c>
      <c r="G214" s="56" t="s">
        <v>228</v>
      </c>
      <c r="H214" s="55" t="s">
        <v>228</v>
      </c>
      <c r="I214" s="55" t="s">
        <v>689</v>
      </c>
      <c r="J214" s="57" t="s">
        <v>81</v>
      </c>
      <c r="K214" s="55" t="s">
        <v>126</v>
      </c>
      <c r="L214" s="63">
        <v>56000000</v>
      </c>
      <c r="M214" s="63">
        <v>38652411.289264984</v>
      </c>
      <c r="N214" s="63">
        <v>56000000</v>
      </c>
      <c r="O214" s="63">
        <v>32545255.989999998</v>
      </c>
      <c r="P214" s="63">
        <v>32545255.989999998</v>
      </c>
      <c r="Q214" s="63">
        <v>47151892.330871895</v>
      </c>
      <c r="R214" s="63">
        <v>32545255.989999998</v>
      </c>
      <c r="S214" s="63">
        <v>32545255.989999998</v>
      </c>
      <c r="T214" s="63">
        <v>47151892.330871895</v>
      </c>
      <c r="U214" s="55" t="s">
        <v>81</v>
      </c>
      <c r="V214" s="55" t="s">
        <v>78</v>
      </c>
      <c r="W214" s="55" t="s">
        <v>81</v>
      </c>
      <c r="X214" s="59" t="s">
        <v>78</v>
      </c>
      <c r="Y214" s="59" t="s">
        <v>81</v>
      </c>
      <c r="Z214" s="55">
        <v>0</v>
      </c>
      <c r="AA214" s="55" t="s">
        <v>78</v>
      </c>
      <c r="AB214" s="55">
        <v>0</v>
      </c>
      <c r="AC214" s="55" t="s">
        <v>78</v>
      </c>
      <c r="AD214" s="55">
        <v>0</v>
      </c>
      <c r="AE214" s="55" t="s">
        <v>78</v>
      </c>
      <c r="AF214" s="55">
        <v>0</v>
      </c>
      <c r="AG214" s="55" t="s">
        <v>81</v>
      </c>
      <c r="AH214" s="55" t="s">
        <v>78</v>
      </c>
      <c r="AI214" s="59" t="s">
        <v>81</v>
      </c>
      <c r="AJ214" s="55" t="s">
        <v>78</v>
      </c>
      <c r="AK214" s="55" t="s">
        <v>78</v>
      </c>
      <c r="AL214" s="55" t="s">
        <v>81</v>
      </c>
      <c r="AM214" s="55" t="s">
        <v>81</v>
      </c>
      <c r="AN214" s="55" t="s">
        <v>78</v>
      </c>
      <c r="AO214" s="60" t="s">
        <v>81</v>
      </c>
      <c r="AP214" s="58" t="s">
        <v>126</v>
      </c>
      <c r="AQ214" s="55" t="s">
        <v>228</v>
      </c>
    </row>
    <row r="215" spans="1:43" ht="16.2" hidden="1" x14ac:dyDescent="0.45">
      <c r="A215" s="55" t="s">
        <v>1325</v>
      </c>
      <c r="B215" s="55" t="s">
        <v>1326</v>
      </c>
      <c r="C215" s="55">
        <v>2015</v>
      </c>
      <c r="D215" s="55" t="s">
        <v>70</v>
      </c>
      <c r="E215" s="55" t="s">
        <v>78</v>
      </c>
      <c r="F215" s="57" t="s">
        <v>570</v>
      </c>
      <c r="G215" s="55" t="s">
        <v>584</v>
      </c>
      <c r="H215" s="55" t="s">
        <v>228</v>
      </c>
      <c r="I215" s="55" t="s">
        <v>676</v>
      </c>
      <c r="J215" s="57" t="s">
        <v>81</v>
      </c>
      <c r="K215" s="55" t="s">
        <v>126</v>
      </c>
      <c r="L215" s="63">
        <v>1676177.15</v>
      </c>
      <c r="M215" s="63">
        <v>1156933.7249190714</v>
      </c>
      <c r="N215" s="63">
        <v>1676177.1499999997</v>
      </c>
      <c r="O215" s="63">
        <v>1442393.67</v>
      </c>
      <c r="P215" s="63">
        <v>1442393.67</v>
      </c>
      <c r="Q215" s="63">
        <v>2089754.3730326998</v>
      </c>
      <c r="R215" s="63">
        <v>719165.76</v>
      </c>
      <c r="S215" s="63">
        <v>719165.76</v>
      </c>
      <c r="T215" s="63">
        <v>1041934.5447456</v>
      </c>
      <c r="U215" s="55" t="s">
        <v>81</v>
      </c>
      <c r="V215" s="55" t="s">
        <v>78</v>
      </c>
      <c r="W215" s="55" t="s">
        <v>81</v>
      </c>
      <c r="X215" s="59" t="s">
        <v>78</v>
      </c>
      <c r="Y215" s="59" t="s">
        <v>81</v>
      </c>
      <c r="Z215" s="55">
        <v>0</v>
      </c>
      <c r="AA215" s="55" t="s">
        <v>78</v>
      </c>
      <c r="AB215" s="55">
        <v>0</v>
      </c>
      <c r="AC215" s="55" t="s">
        <v>78</v>
      </c>
      <c r="AD215" s="55">
        <v>0</v>
      </c>
      <c r="AE215" s="55" t="s">
        <v>78</v>
      </c>
      <c r="AF215" s="55">
        <v>0</v>
      </c>
      <c r="AG215" s="55" t="s">
        <v>81</v>
      </c>
      <c r="AH215" s="55" t="s">
        <v>78</v>
      </c>
      <c r="AI215" s="59" t="s">
        <v>81</v>
      </c>
      <c r="AJ215" s="55" t="s">
        <v>78</v>
      </c>
      <c r="AK215" s="55" t="s">
        <v>78</v>
      </c>
      <c r="AL215" s="55" t="s">
        <v>81</v>
      </c>
      <c r="AM215" s="55" t="s">
        <v>81</v>
      </c>
      <c r="AN215" s="55" t="s">
        <v>78</v>
      </c>
      <c r="AO215" s="60" t="s">
        <v>81</v>
      </c>
      <c r="AP215" s="58" t="s">
        <v>126</v>
      </c>
      <c r="AQ215" s="55" t="s">
        <v>228</v>
      </c>
    </row>
    <row r="216" spans="1:43" ht="13.2" hidden="1" x14ac:dyDescent="0.25">
      <c r="A216" s="90" t="s">
        <v>1327</v>
      </c>
      <c r="B216" s="90" t="s">
        <v>1328</v>
      </c>
      <c r="C216" s="90">
        <v>2015</v>
      </c>
      <c r="D216" s="90" t="s">
        <v>70</v>
      </c>
      <c r="E216" s="90" t="s">
        <v>78</v>
      </c>
      <c r="F216" s="90" t="s">
        <v>570</v>
      </c>
      <c r="G216" s="90" t="s">
        <v>587</v>
      </c>
      <c r="H216" s="90" t="s">
        <v>256</v>
      </c>
      <c r="I216" s="90" t="s">
        <v>679</v>
      </c>
      <c r="J216" s="90" t="s">
        <v>75</v>
      </c>
      <c r="K216" s="90" t="s">
        <v>126</v>
      </c>
      <c r="L216" s="92">
        <v>16150000</v>
      </c>
      <c r="M216" s="92">
        <v>11147079.327171955</v>
      </c>
      <c r="N216" s="92">
        <v>16150000</v>
      </c>
      <c r="O216" s="92">
        <v>11680130.76</v>
      </c>
      <c r="P216" s="92">
        <v>11680130.76</v>
      </c>
      <c r="Q216" s="92">
        <v>16922290.246395599</v>
      </c>
      <c r="R216" s="92">
        <v>0</v>
      </c>
      <c r="S216" s="92">
        <v>0</v>
      </c>
      <c r="T216" s="92">
        <v>0</v>
      </c>
      <c r="U216" s="90" t="s">
        <v>75</v>
      </c>
      <c r="V216" s="90" t="s">
        <v>1329</v>
      </c>
      <c r="W216" s="90" t="s">
        <v>81</v>
      </c>
      <c r="X216" s="93" t="s">
        <v>78</v>
      </c>
      <c r="Y216" s="93" t="s">
        <v>75</v>
      </c>
      <c r="Z216" s="90">
        <v>999</v>
      </c>
      <c r="AA216" s="90" t="s">
        <v>1330</v>
      </c>
      <c r="AB216" s="90">
        <v>999</v>
      </c>
      <c r="AC216" s="90" t="s">
        <v>1331</v>
      </c>
      <c r="AD216" s="90">
        <v>0</v>
      </c>
      <c r="AE216" s="90" t="s">
        <v>78</v>
      </c>
      <c r="AF216" s="90">
        <v>2</v>
      </c>
      <c r="AG216" s="90" t="s">
        <v>81</v>
      </c>
      <c r="AH216" s="90" t="s">
        <v>78</v>
      </c>
      <c r="AI216" s="93" t="s">
        <v>75</v>
      </c>
      <c r="AJ216" s="90" t="s">
        <v>256</v>
      </c>
      <c r="AK216" s="90" t="s">
        <v>704</v>
      </c>
      <c r="AL216" s="90" t="s">
        <v>81</v>
      </c>
      <c r="AM216" s="90" t="s">
        <v>81</v>
      </c>
      <c r="AN216" s="90" t="s">
        <v>78</v>
      </c>
      <c r="AO216" s="79" t="s">
        <v>81</v>
      </c>
      <c r="AP216" s="94" t="s">
        <v>126</v>
      </c>
      <c r="AQ216" s="90" t="s">
        <v>256</v>
      </c>
    </row>
    <row r="217" spans="1:43" ht="16.2" hidden="1" x14ac:dyDescent="0.45">
      <c r="A217" s="55" t="s">
        <v>1332</v>
      </c>
      <c r="B217" s="55" t="s">
        <v>1333</v>
      </c>
      <c r="C217" s="55">
        <v>2015</v>
      </c>
      <c r="D217" s="55" t="s">
        <v>163</v>
      </c>
      <c r="E217" s="55" t="s">
        <v>78</v>
      </c>
      <c r="F217" s="57" t="s">
        <v>556</v>
      </c>
      <c r="G217" s="55" t="s">
        <v>596</v>
      </c>
      <c r="H217" s="55" t="s">
        <v>101</v>
      </c>
      <c r="I217" s="55" t="s">
        <v>689</v>
      </c>
      <c r="J217" s="57" t="s">
        <v>81</v>
      </c>
      <c r="K217" s="55" t="s">
        <v>126</v>
      </c>
      <c r="L217" s="63">
        <v>10000000</v>
      </c>
      <c r="M217" s="63">
        <v>6902216.3016544618</v>
      </c>
      <c r="N217" s="63">
        <v>10000000</v>
      </c>
      <c r="O217" s="63">
        <v>7232279.1100000003</v>
      </c>
      <c r="P217" s="63">
        <v>7232279.1100000003</v>
      </c>
      <c r="Q217" s="63">
        <v>10478198.2973591</v>
      </c>
      <c r="R217" s="63">
        <v>7232279.1100000003</v>
      </c>
      <c r="S217" s="63">
        <v>7232279.1100000003</v>
      </c>
      <c r="T217" s="63">
        <v>10478198.2973591</v>
      </c>
      <c r="U217" s="55" t="s">
        <v>81</v>
      </c>
      <c r="V217" s="55" t="s">
        <v>78</v>
      </c>
      <c r="W217" s="55" t="s">
        <v>81</v>
      </c>
      <c r="X217" s="59" t="s">
        <v>78</v>
      </c>
      <c r="Y217" s="59" t="s">
        <v>81</v>
      </c>
      <c r="Z217" s="55">
        <v>0</v>
      </c>
      <c r="AA217" s="55" t="s">
        <v>78</v>
      </c>
      <c r="AB217" s="55">
        <v>0</v>
      </c>
      <c r="AC217" s="55" t="s">
        <v>78</v>
      </c>
      <c r="AD217" s="55">
        <v>0</v>
      </c>
      <c r="AE217" s="55" t="s">
        <v>78</v>
      </c>
      <c r="AF217" s="55">
        <v>0</v>
      </c>
      <c r="AG217" s="55" t="s">
        <v>81</v>
      </c>
      <c r="AH217" s="55" t="s">
        <v>78</v>
      </c>
      <c r="AI217" s="59" t="s">
        <v>81</v>
      </c>
      <c r="AJ217" s="55" t="s">
        <v>78</v>
      </c>
      <c r="AK217" s="55" t="s">
        <v>78</v>
      </c>
      <c r="AL217" s="55" t="s">
        <v>81</v>
      </c>
      <c r="AM217" s="55" t="s">
        <v>81</v>
      </c>
      <c r="AN217" s="55" t="s">
        <v>78</v>
      </c>
      <c r="AO217" s="60" t="s">
        <v>81</v>
      </c>
      <c r="AP217" s="58" t="s">
        <v>126</v>
      </c>
      <c r="AQ217" s="55" t="s">
        <v>101</v>
      </c>
    </row>
    <row r="218" spans="1:43" ht="16.2" hidden="1" x14ac:dyDescent="0.45">
      <c r="A218" s="55" t="s">
        <v>1334</v>
      </c>
      <c r="B218" s="55" t="s">
        <v>1335</v>
      </c>
      <c r="C218" s="55">
        <v>2015</v>
      </c>
      <c r="D218" s="55" t="s">
        <v>87</v>
      </c>
      <c r="E218" s="55" t="s">
        <v>1336</v>
      </c>
      <c r="F218" s="57" t="s">
        <v>1848</v>
      </c>
      <c r="G218" s="55" t="s">
        <v>596</v>
      </c>
      <c r="H218" s="55" t="s">
        <v>101</v>
      </c>
      <c r="I218" s="55" t="s">
        <v>676</v>
      </c>
      <c r="J218" s="57" t="s">
        <v>81</v>
      </c>
      <c r="K218" s="55" t="s">
        <v>74</v>
      </c>
      <c r="L218" s="63">
        <v>10000000</v>
      </c>
      <c r="M218" s="63">
        <v>10000000</v>
      </c>
      <c r="N218" s="63">
        <v>14488100</v>
      </c>
      <c r="O218" s="63">
        <v>10000000</v>
      </c>
      <c r="P218" s="63">
        <v>10000000</v>
      </c>
      <c r="Q218" s="63">
        <v>14488100</v>
      </c>
      <c r="R218" s="63">
        <v>10000000</v>
      </c>
      <c r="S218" s="63">
        <v>10000000</v>
      </c>
      <c r="T218" s="63">
        <v>14488100</v>
      </c>
      <c r="U218" s="55" t="s">
        <v>81</v>
      </c>
      <c r="V218" s="55" t="s">
        <v>78</v>
      </c>
      <c r="W218" s="55" t="s">
        <v>81</v>
      </c>
      <c r="X218" s="59" t="s">
        <v>78</v>
      </c>
      <c r="Y218" s="59" t="s">
        <v>81</v>
      </c>
      <c r="Z218" s="55">
        <v>0</v>
      </c>
      <c r="AA218" s="55" t="s">
        <v>78</v>
      </c>
      <c r="AB218" s="55">
        <v>0</v>
      </c>
      <c r="AC218" s="55" t="s">
        <v>78</v>
      </c>
      <c r="AD218" s="55">
        <v>0</v>
      </c>
      <c r="AE218" s="55" t="s">
        <v>78</v>
      </c>
      <c r="AF218" s="55">
        <v>0</v>
      </c>
      <c r="AG218" s="55" t="s">
        <v>81</v>
      </c>
      <c r="AH218" s="55" t="s">
        <v>78</v>
      </c>
      <c r="AI218" s="59" t="s">
        <v>81</v>
      </c>
      <c r="AJ218" s="55" t="s">
        <v>78</v>
      </c>
      <c r="AK218" s="55" t="s">
        <v>78</v>
      </c>
      <c r="AL218" s="55" t="s">
        <v>81</v>
      </c>
      <c r="AM218" s="55" t="s">
        <v>81</v>
      </c>
      <c r="AN218" s="55" t="s">
        <v>78</v>
      </c>
      <c r="AO218" s="60" t="s">
        <v>81</v>
      </c>
      <c r="AP218" s="58" t="s">
        <v>74</v>
      </c>
      <c r="AQ218" s="55" t="s">
        <v>101</v>
      </c>
    </row>
    <row r="219" spans="1:43" ht="13.2" hidden="1" x14ac:dyDescent="0.25">
      <c r="A219" s="90" t="s">
        <v>1337</v>
      </c>
      <c r="B219" s="90" t="s">
        <v>1338</v>
      </c>
      <c r="C219" s="90">
        <v>2015</v>
      </c>
      <c r="D219" s="90" t="s">
        <v>297</v>
      </c>
      <c r="E219" s="90" t="s">
        <v>78</v>
      </c>
      <c r="F219" s="90" t="s">
        <v>566</v>
      </c>
      <c r="G219" s="90" t="s">
        <v>587</v>
      </c>
      <c r="H219" s="90" t="s">
        <v>256</v>
      </c>
      <c r="I219" s="90" t="s">
        <v>679</v>
      </c>
      <c r="J219" s="90" t="s">
        <v>81</v>
      </c>
      <c r="K219" s="90" t="s">
        <v>74</v>
      </c>
      <c r="L219" s="92">
        <v>166320000</v>
      </c>
      <c r="M219" s="92">
        <v>166320000</v>
      </c>
      <c r="N219" s="92">
        <v>240966079.19999999</v>
      </c>
      <c r="O219" s="92">
        <v>152265092</v>
      </c>
      <c r="P219" s="92">
        <v>152265092</v>
      </c>
      <c r="Q219" s="92">
        <v>220603187.94051999</v>
      </c>
      <c r="R219" s="92">
        <v>121889519.7</v>
      </c>
      <c r="S219" s="92">
        <v>121889519.7</v>
      </c>
      <c r="T219" s="92">
        <v>176594755.03655699</v>
      </c>
      <c r="U219" s="90" t="s">
        <v>81</v>
      </c>
      <c r="V219" s="90" t="s">
        <v>78</v>
      </c>
      <c r="W219" s="90" t="s">
        <v>81</v>
      </c>
      <c r="X219" s="93" t="s">
        <v>78</v>
      </c>
      <c r="Y219" s="93" t="s">
        <v>81</v>
      </c>
      <c r="Z219" s="90">
        <v>0</v>
      </c>
      <c r="AA219" s="90" t="s">
        <v>78</v>
      </c>
      <c r="AB219" s="90">
        <v>0</v>
      </c>
      <c r="AC219" s="90" t="s">
        <v>78</v>
      </c>
      <c r="AD219" s="90">
        <v>0</v>
      </c>
      <c r="AE219" s="90" t="s">
        <v>78</v>
      </c>
      <c r="AF219" s="90">
        <v>0</v>
      </c>
      <c r="AG219" s="90" t="s">
        <v>81</v>
      </c>
      <c r="AH219" s="90" t="s">
        <v>78</v>
      </c>
      <c r="AI219" s="93" t="s">
        <v>81</v>
      </c>
      <c r="AJ219" s="90" t="s">
        <v>78</v>
      </c>
      <c r="AK219" s="90" t="s">
        <v>78</v>
      </c>
      <c r="AL219" s="90" t="s">
        <v>81</v>
      </c>
      <c r="AM219" s="90" t="s">
        <v>81</v>
      </c>
      <c r="AN219" s="90" t="s">
        <v>78</v>
      </c>
      <c r="AO219" s="79" t="s">
        <v>81</v>
      </c>
      <c r="AP219" s="94" t="s">
        <v>74</v>
      </c>
      <c r="AQ219" s="90" t="s">
        <v>256</v>
      </c>
    </row>
    <row r="220" spans="1:43" ht="16.2" hidden="1" x14ac:dyDescent="0.45">
      <c r="A220" s="55" t="s">
        <v>1339</v>
      </c>
      <c r="B220" s="55" t="s">
        <v>1340</v>
      </c>
      <c r="C220" s="55">
        <v>2015</v>
      </c>
      <c r="D220" s="55" t="s">
        <v>314</v>
      </c>
      <c r="E220" s="55" t="s">
        <v>78</v>
      </c>
      <c r="F220" s="57" t="s">
        <v>557</v>
      </c>
      <c r="G220" s="55" t="s">
        <v>587</v>
      </c>
      <c r="H220" s="55" t="s">
        <v>256</v>
      </c>
      <c r="I220" s="55" t="s">
        <v>676</v>
      </c>
      <c r="J220" s="57" t="s">
        <v>81</v>
      </c>
      <c r="K220" s="55" t="s">
        <v>74</v>
      </c>
      <c r="L220" s="63">
        <v>15638000</v>
      </c>
      <c r="M220" s="63">
        <v>15638000</v>
      </c>
      <c r="N220" s="63">
        <v>22656490.779999997</v>
      </c>
      <c r="O220" s="63">
        <v>15656167.98</v>
      </c>
      <c r="P220" s="63">
        <v>15656167.98</v>
      </c>
      <c r="Q220" s="63">
        <v>22682812.7311038</v>
      </c>
      <c r="R220" s="63">
        <v>15000000</v>
      </c>
      <c r="S220" s="63">
        <v>15000000</v>
      </c>
      <c r="T220" s="63">
        <v>21732150</v>
      </c>
      <c r="U220" s="55" t="s">
        <v>81</v>
      </c>
      <c r="V220" s="55" t="s">
        <v>78</v>
      </c>
      <c r="W220" s="55" t="s">
        <v>81</v>
      </c>
      <c r="X220" s="59" t="s">
        <v>78</v>
      </c>
      <c r="Y220" s="59" t="s">
        <v>81</v>
      </c>
      <c r="Z220" s="55">
        <v>0</v>
      </c>
      <c r="AA220" s="55" t="s">
        <v>78</v>
      </c>
      <c r="AB220" s="55">
        <v>0</v>
      </c>
      <c r="AC220" s="55" t="s">
        <v>78</v>
      </c>
      <c r="AD220" s="55">
        <v>0</v>
      </c>
      <c r="AE220" s="55" t="s">
        <v>78</v>
      </c>
      <c r="AF220" s="55">
        <v>0</v>
      </c>
      <c r="AG220" s="55" t="s">
        <v>81</v>
      </c>
      <c r="AH220" s="55" t="s">
        <v>78</v>
      </c>
      <c r="AI220" s="59" t="s">
        <v>81</v>
      </c>
      <c r="AJ220" s="55" t="s">
        <v>78</v>
      </c>
      <c r="AK220" s="55" t="s">
        <v>78</v>
      </c>
      <c r="AL220" s="55" t="s">
        <v>81</v>
      </c>
      <c r="AM220" s="55" t="s">
        <v>81</v>
      </c>
      <c r="AN220" s="55" t="s">
        <v>78</v>
      </c>
      <c r="AO220" s="60" t="s">
        <v>81</v>
      </c>
      <c r="AP220" s="58" t="s">
        <v>74</v>
      </c>
      <c r="AQ220" s="55" t="s">
        <v>256</v>
      </c>
    </row>
    <row r="221" spans="1:43" ht="16.2" hidden="1" x14ac:dyDescent="0.45">
      <c r="A221" s="55" t="s">
        <v>1341</v>
      </c>
      <c r="B221" s="55" t="s">
        <v>1342</v>
      </c>
      <c r="C221" s="55">
        <v>2015</v>
      </c>
      <c r="D221" s="55" t="s">
        <v>70</v>
      </c>
      <c r="E221" s="55" t="s">
        <v>78</v>
      </c>
      <c r="F221" s="57" t="s">
        <v>570</v>
      </c>
      <c r="G221" s="55" t="s">
        <v>599</v>
      </c>
      <c r="H221" s="55" t="s">
        <v>101</v>
      </c>
      <c r="I221" s="55" t="s">
        <v>676</v>
      </c>
      <c r="J221" s="57" t="s">
        <v>81</v>
      </c>
      <c r="K221" s="55" t="s">
        <v>74</v>
      </c>
      <c r="L221" s="63">
        <v>2000000</v>
      </c>
      <c r="M221" s="63">
        <v>2000000</v>
      </c>
      <c r="N221" s="63">
        <v>2897620</v>
      </c>
      <c r="O221" s="63">
        <v>2000000</v>
      </c>
      <c r="P221" s="63">
        <v>2000000</v>
      </c>
      <c r="Q221" s="63">
        <v>2897620</v>
      </c>
      <c r="R221" s="63">
        <v>2000000</v>
      </c>
      <c r="S221" s="63">
        <v>2000000</v>
      </c>
      <c r="T221" s="63">
        <v>2897620</v>
      </c>
      <c r="U221" s="55" t="s">
        <v>81</v>
      </c>
      <c r="V221" s="55" t="s">
        <v>78</v>
      </c>
      <c r="W221" s="55" t="s">
        <v>81</v>
      </c>
      <c r="X221" s="59" t="s">
        <v>78</v>
      </c>
      <c r="Y221" s="59" t="s">
        <v>81</v>
      </c>
      <c r="Z221" s="55">
        <v>0</v>
      </c>
      <c r="AA221" s="55" t="s">
        <v>78</v>
      </c>
      <c r="AB221" s="55">
        <v>0</v>
      </c>
      <c r="AC221" s="55" t="s">
        <v>78</v>
      </c>
      <c r="AD221" s="55">
        <v>0</v>
      </c>
      <c r="AE221" s="55" t="s">
        <v>78</v>
      </c>
      <c r="AF221" s="55">
        <v>0</v>
      </c>
      <c r="AG221" s="55" t="s">
        <v>81</v>
      </c>
      <c r="AH221" s="55" t="s">
        <v>78</v>
      </c>
      <c r="AI221" s="59" t="s">
        <v>81</v>
      </c>
      <c r="AJ221" s="55" t="s">
        <v>78</v>
      </c>
      <c r="AK221" s="55" t="s">
        <v>78</v>
      </c>
      <c r="AL221" s="55" t="s">
        <v>81</v>
      </c>
      <c r="AM221" s="55" t="s">
        <v>81</v>
      </c>
      <c r="AN221" s="55" t="s">
        <v>78</v>
      </c>
      <c r="AO221" s="60" t="s">
        <v>81</v>
      </c>
      <c r="AP221" s="58" t="s">
        <v>74</v>
      </c>
      <c r="AQ221" s="55" t="s">
        <v>101</v>
      </c>
    </row>
    <row r="222" spans="1:43" ht="16.2" hidden="1" x14ac:dyDescent="0.45">
      <c r="A222" s="55" t="s">
        <v>1343</v>
      </c>
      <c r="B222" s="55" t="s">
        <v>1344</v>
      </c>
      <c r="C222" s="55">
        <v>2015</v>
      </c>
      <c r="D222" s="55" t="s">
        <v>353</v>
      </c>
      <c r="E222" s="55" t="s">
        <v>78</v>
      </c>
      <c r="F222" s="57" t="s">
        <v>78</v>
      </c>
      <c r="G222" s="55" t="s">
        <v>597</v>
      </c>
      <c r="H222" s="55" t="s">
        <v>101</v>
      </c>
      <c r="I222" s="55" t="s">
        <v>689</v>
      </c>
      <c r="J222" s="57" t="s">
        <v>81</v>
      </c>
      <c r="K222" s="55" t="s">
        <v>74</v>
      </c>
      <c r="L222" s="63">
        <v>787681</v>
      </c>
      <c r="M222" s="63">
        <v>787681</v>
      </c>
      <c r="N222" s="63">
        <v>1141200.1096099999</v>
      </c>
      <c r="O222" s="63">
        <v>787671</v>
      </c>
      <c r="P222" s="63">
        <v>787671</v>
      </c>
      <c r="Q222" s="63">
        <v>1141185.62151</v>
      </c>
      <c r="R222" s="63">
        <v>787671</v>
      </c>
      <c r="S222" s="63">
        <v>787671</v>
      </c>
      <c r="T222" s="63">
        <v>1141185.62151</v>
      </c>
      <c r="U222" s="55" t="s">
        <v>81</v>
      </c>
      <c r="V222" s="55" t="s">
        <v>78</v>
      </c>
      <c r="W222" s="55" t="s">
        <v>81</v>
      </c>
      <c r="X222" s="59" t="s">
        <v>78</v>
      </c>
      <c r="Y222" s="59" t="s">
        <v>81</v>
      </c>
      <c r="Z222" s="55">
        <v>0</v>
      </c>
      <c r="AA222" s="55" t="s">
        <v>78</v>
      </c>
      <c r="AB222" s="55">
        <v>0</v>
      </c>
      <c r="AC222" s="55" t="s">
        <v>78</v>
      </c>
      <c r="AD222" s="55">
        <v>0</v>
      </c>
      <c r="AE222" s="55" t="s">
        <v>78</v>
      </c>
      <c r="AF222" s="55">
        <v>0</v>
      </c>
      <c r="AG222" s="55" t="s">
        <v>81</v>
      </c>
      <c r="AH222" s="55" t="s">
        <v>78</v>
      </c>
      <c r="AI222" s="59" t="s">
        <v>81</v>
      </c>
      <c r="AJ222" s="55" t="s">
        <v>78</v>
      </c>
      <c r="AK222" s="55" t="s">
        <v>78</v>
      </c>
      <c r="AL222" s="55" t="s">
        <v>81</v>
      </c>
      <c r="AM222" s="55" t="s">
        <v>81</v>
      </c>
      <c r="AN222" s="55" t="s">
        <v>78</v>
      </c>
      <c r="AO222" s="60" t="s">
        <v>81</v>
      </c>
      <c r="AP222" s="58" t="s">
        <v>74</v>
      </c>
      <c r="AQ222" s="55" t="s">
        <v>101</v>
      </c>
    </row>
    <row r="223" spans="1:43" ht="13.2" hidden="1" x14ac:dyDescent="0.25">
      <c r="A223" s="90" t="s">
        <v>1345</v>
      </c>
      <c r="B223" s="90" t="s">
        <v>1346</v>
      </c>
      <c r="C223" s="90">
        <v>2015</v>
      </c>
      <c r="D223" s="90" t="s">
        <v>516</v>
      </c>
      <c r="E223" s="90" t="s">
        <v>78</v>
      </c>
      <c r="F223" s="90" t="s">
        <v>569</v>
      </c>
      <c r="G223" s="90" t="s">
        <v>587</v>
      </c>
      <c r="H223" s="90" t="s">
        <v>256</v>
      </c>
      <c r="I223" s="90" t="s">
        <v>679</v>
      </c>
      <c r="J223" s="90" t="s">
        <v>81</v>
      </c>
      <c r="K223" s="90" t="s">
        <v>74</v>
      </c>
      <c r="L223" s="92">
        <v>24981509</v>
      </c>
      <c r="M223" s="92">
        <v>24981509</v>
      </c>
      <c r="N223" s="92">
        <v>36193460.054289997</v>
      </c>
      <c r="O223" s="92">
        <v>24205958.280000001</v>
      </c>
      <c r="P223" s="92">
        <v>24205958.280000001</v>
      </c>
      <c r="Q223" s="92">
        <v>35069834.415646799</v>
      </c>
      <c r="R223" s="92">
        <v>11210032.619999999</v>
      </c>
      <c r="S223" s="92">
        <v>11210032.619999999</v>
      </c>
      <c r="T223" s="92">
        <v>16241207.360182198</v>
      </c>
      <c r="U223" s="90" t="s">
        <v>75</v>
      </c>
      <c r="V223" s="90" t="s">
        <v>1347</v>
      </c>
      <c r="W223" s="90" t="s">
        <v>81</v>
      </c>
      <c r="X223" s="93" t="s">
        <v>78</v>
      </c>
      <c r="Y223" s="93" t="s">
        <v>75</v>
      </c>
      <c r="Z223" s="90">
        <v>999</v>
      </c>
      <c r="AA223" s="90" t="s">
        <v>1013</v>
      </c>
      <c r="AB223" s="90">
        <v>0</v>
      </c>
      <c r="AC223" s="90" t="s">
        <v>78</v>
      </c>
      <c r="AD223" s="90">
        <v>0</v>
      </c>
      <c r="AE223" s="90" t="s">
        <v>78</v>
      </c>
      <c r="AF223" s="90">
        <v>1</v>
      </c>
      <c r="AG223" s="90" t="s">
        <v>81</v>
      </c>
      <c r="AH223" s="90" t="s">
        <v>78</v>
      </c>
      <c r="AI223" s="93" t="s">
        <v>75</v>
      </c>
      <c r="AJ223" s="90" t="s">
        <v>256</v>
      </c>
      <c r="AK223" s="90" t="s">
        <v>704</v>
      </c>
      <c r="AL223" s="90" t="s">
        <v>81</v>
      </c>
      <c r="AM223" s="90" t="s">
        <v>81</v>
      </c>
      <c r="AN223" s="90" t="s">
        <v>78</v>
      </c>
      <c r="AO223" s="79" t="s">
        <v>81</v>
      </c>
      <c r="AP223" s="94" t="s">
        <v>74</v>
      </c>
      <c r="AQ223" s="90" t="s">
        <v>256</v>
      </c>
    </row>
    <row r="224" spans="1:43" ht="16.2" hidden="1" x14ac:dyDescent="0.45">
      <c r="A224" s="55" t="s">
        <v>1348</v>
      </c>
      <c r="B224" s="55" t="s">
        <v>1349</v>
      </c>
      <c r="C224" s="55">
        <v>2015</v>
      </c>
      <c r="D224" s="55" t="s">
        <v>516</v>
      </c>
      <c r="E224" s="55" t="s">
        <v>78</v>
      </c>
      <c r="F224" s="57" t="s">
        <v>569</v>
      </c>
      <c r="G224" s="55" t="s">
        <v>587</v>
      </c>
      <c r="H224" s="55" t="s">
        <v>256</v>
      </c>
      <c r="I224" s="55" t="s">
        <v>689</v>
      </c>
      <c r="J224" s="57" t="s">
        <v>81</v>
      </c>
      <c r="K224" s="55" t="s">
        <v>126</v>
      </c>
      <c r="L224" s="63">
        <v>168000000</v>
      </c>
      <c r="M224" s="63">
        <v>115957233.86779496</v>
      </c>
      <c r="N224" s="63">
        <v>168000000</v>
      </c>
      <c r="O224" s="63">
        <v>36161395.539999999</v>
      </c>
      <c r="P224" s="63">
        <v>36161395.539999999</v>
      </c>
      <c r="Q224" s="63">
        <v>52390991.472307399</v>
      </c>
      <c r="R224" s="63">
        <v>36161395.539999999</v>
      </c>
      <c r="S224" s="63">
        <v>36161395.539999999</v>
      </c>
      <c r="T224" s="63">
        <v>52390991.472307399</v>
      </c>
      <c r="U224" s="55" t="s">
        <v>75</v>
      </c>
      <c r="V224" s="55" t="s">
        <v>1350</v>
      </c>
      <c r="W224" s="55" t="s">
        <v>81</v>
      </c>
      <c r="X224" s="59" t="s">
        <v>78</v>
      </c>
      <c r="Y224" s="59" t="s">
        <v>75</v>
      </c>
      <c r="Z224" s="55">
        <v>999</v>
      </c>
      <c r="AA224" s="55" t="s">
        <v>1351</v>
      </c>
      <c r="AB224" s="55">
        <v>999</v>
      </c>
      <c r="AC224" s="55" t="s">
        <v>1331</v>
      </c>
      <c r="AD224" s="55">
        <v>0</v>
      </c>
      <c r="AE224" s="55" t="s">
        <v>78</v>
      </c>
      <c r="AF224" s="55">
        <v>2</v>
      </c>
      <c r="AG224" s="55" t="s">
        <v>75</v>
      </c>
      <c r="AH224" s="55" t="s">
        <v>1352</v>
      </c>
      <c r="AI224" s="59" t="s">
        <v>75</v>
      </c>
      <c r="AJ224" s="55" t="s">
        <v>466</v>
      </c>
      <c r="AK224" s="55" t="s">
        <v>704</v>
      </c>
      <c r="AL224" s="55" t="s">
        <v>81</v>
      </c>
      <c r="AM224" s="55" t="s">
        <v>81</v>
      </c>
      <c r="AN224" s="55" t="s">
        <v>78</v>
      </c>
      <c r="AO224" s="60" t="s">
        <v>81</v>
      </c>
      <c r="AP224" s="58" t="s">
        <v>126</v>
      </c>
      <c r="AQ224" s="55" t="s">
        <v>256</v>
      </c>
    </row>
    <row r="225" spans="1:43" ht="16.2" hidden="1" x14ac:dyDescent="0.45">
      <c r="A225" s="55" t="s">
        <v>1353</v>
      </c>
      <c r="B225" s="55" t="s">
        <v>1354</v>
      </c>
      <c r="C225" s="55">
        <v>2015</v>
      </c>
      <c r="D225" s="55" t="s">
        <v>297</v>
      </c>
      <c r="E225" s="55" t="s">
        <v>78</v>
      </c>
      <c r="F225" s="57" t="s">
        <v>566</v>
      </c>
      <c r="G225" s="55" t="s">
        <v>596</v>
      </c>
      <c r="H225" s="55" t="s">
        <v>101</v>
      </c>
      <c r="I225" s="55" t="s">
        <v>676</v>
      </c>
      <c r="J225" s="57" t="s">
        <v>81</v>
      </c>
      <c r="K225" s="55" t="s">
        <v>74</v>
      </c>
      <c r="L225" s="63">
        <v>50000000</v>
      </c>
      <c r="M225" s="63">
        <v>50000000</v>
      </c>
      <c r="N225" s="63">
        <v>72440500</v>
      </c>
      <c r="O225" s="63">
        <v>50000000</v>
      </c>
      <c r="P225" s="63">
        <v>50000000</v>
      </c>
      <c r="Q225" s="63">
        <v>72440500</v>
      </c>
      <c r="R225" s="63">
        <v>50000000</v>
      </c>
      <c r="S225" s="63">
        <v>50000000</v>
      </c>
      <c r="T225" s="63">
        <v>72440500</v>
      </c>
      <c r="U225" s="55" t="s">
        <v>81</v>
      </c>
      <c r="V225" s="55" t="s">
        <v>78</v>
      </c>
      <c r="W225" s="55" t="s">
        <v>81</v>
      </c>
      <c r="X225" s="59" t="s">
        <v>78</v>
      </c>
      <c r="Y225" s="59" t="s">
        <v>81</v>
      </c>
      <c r="Z225" s="55">
        <v>0</v>
      </c>
      <c r="AA225" s="55" t="s">
        <v>78</v>
      </c>
      <c r="AB225" s="55">
        <v>0</v>
      </c>
      <c r="AC225" s="55" t="s">
        <v>78</v>
      </c>
      <c r="AD225" s="55">
        <v>0</v>
      </c>
      <c r="AE225" s="55" t="s">
        <v>78</v>
      </c>
      <c r="AF225" s="55">
        <v>0</v>
      </c>
      <c r="AG225" s="55" t="s">
        <v>81</v>
      </c>
      <c r="AH225" s="55" t="s">
        <v>78</v>
      </c>
      <c r="AI225" s="59" t="s">
        <v>81</v>
      </c>
      <c r="AJ225" s="55" t="s">
        <v>78</v>
      </c>
      <c r="AK225" s="55" t="s">
        <v>78</v>
      </c>
      <c r="AL225" s="55" t="s">
        <v>81</v>
      </c>
      <c r="AM225" s="55" t="s">
        <v>81</v>
      </c>
      <c r="AN225" s="55" t="s">
        <v>78</v>
      </c>
      <c r="AO225" s="60" t="s">
        <v>81</v>
      </c>
      <c r="AP225" s="58" t="s">
        <v>74</v>
      </c>
      <c r="AQ225" s="55" t="s">
        <v>101</v>
      </c>
    </row>
    <row r="226" spans="1:43" ht="16.2" hidden="1" x14ac:dyDescent="0.45">
      <c r="A226" s="55" t="s">
        <v>1355</v>
      </c>
      <c r="B226" s="55" t="s">
        <v>1356</v>
      </c>
      <c r="C226" s="55">
        <v>2015</v>
      </c>
      <c r="D226" s="55" t="s">
        <v>514</v>
      </c>
      <c r="E226" s="55" t="s">
        <v>78</v>
      </c>
      <c r="F226" s="57" t="s">
        <v>567</v>
      </c>
      <c r="G226" s="55" t="s">
        <v>583</v>
      </c>
      <c r="H226" s="55" t="s">
        <v>228</v>
      </c>
      <c r="I226" s="55" t="s">
        <v>676</v>
      </c>
      <c r="J226" s="57" t="s">
        <v>81</v>
      </c>
      <c r="K226" s="55" t="s">
        <v>74</v>
      </c>
      <c r="L226" s="63">
        <v>5000000</v>
      </c>
      <c r="M226" s="63">
        <v>5000000</v>
      </c>
      <c r="N226" s="63">
        <v>7244050</v>
      </c>
      <c r="O226" s="63">
        <v>5000000</v>
      </c>
      <c r="P226" s="63">
        <v>5000000</v>
      </c>
      <c r="Q226" s="63">
        <v>7244050</v>
      </c>
      <c r="R226" s="63">
        <v>5000000</v>
      </c>
      <c r="S226" s="63">
        <v>5000000</v>
      </c>
      <c r="T226" s="63">
        <v>7244050</v>
      </c>
      <c r="U226" s="55" t="s">
        <v>81</v>
      </c>
      <c r="V226" s="55" t="s">
        <v>78</v>
      </c>
      <c r="W226" s="55" t="s">
        <v>81</v>
      </c>
      <c r="X226" s="59" t="s">
        <v>78</v>
      </c>
      <c r="Y226" s="59" t="s">
        <v>81</v>
      </c>
      <c r="Z226" s="55">
        <v>0</v>
      </c>
      <c r="AA226" s="55" t="s">
        <v>78</v>
      </c>
      <c r="AB226" s="55">
        <v>0</v>
      </c>
      <c r="AC226" s="55" t="s">
        <v>78</v>
      </c>
      <c r="AD226" s="55">
        <v>0</v>
      </c>
      <c r="AE226" s="55" t="s">
        <v>78</v>
      </c>
      <c r="AF226" s="55">
        <v>0</v>
      </c>
      <c r="AG226" s="55" t="s">
        <v>81</v>
      </c>
      <c r="AH226" s="55" t="s">
        <v>78</v>
      </c>
      <c r="AI226" s="59" t="s">
        <v>81</v>
      </c>
      <c r="AJ226" s="55" t="s">
        <v>78</v>
      </c>
      <c r="AK226" s="55" t="s">
        <v>78</v>
      </c>
      <c r="AL226" s="55" t="s">
        <v>81</v>
      </c>
      <c r="AM226" s="55" t="s">
        <v>81</v>
      </c>
      <c r="AN226" s="55" t="s">
        <v>78</v>
      </c>
      <c r="AO226" s="60" t="s">
        <v>81</v>
      </c>
      <c r="AP226" s="58" t="s">
        <v>74</v>
      </c>
      <c r="AQ226" s="55" t="s">
        <v>228</v>
      </c>
    </row>
    <row r="227" spans="1:43" ht="16.2" hidden="1" x14ac:dyDescent="0.45">
      <c r="A227" s="55" t="s">
        <v>1357</v>
      </c>
      <c r="B227" s="55" t="s">
        <v>1358</v>
      </c>
      <c r="C227" s="55">
        <v>2015</v>
      </c>
      <c r="D227" s="55" t="s">
        <v>184</v>
      </c>
      <c r="E227" s="55" t="s">
        <v>78</v>
      </c>
      <c r="F227" s="57" t="s">
        <v>554</v>
      </c>
      <c r="G227" s="55" t="s">
        <v>228</v>
      </c>
      <c r="H227" s="55" t="s">
        <v>228</v>
      </c>
      <c r="I227" s="55" t="s">
        <v>689</v>
      </c>
      <c r="J227" s="57" t="s">
        <v>81</v>
      </c>
      <c r="K227" s="55" t="s">
        <v>74</v>
      </c>
      <c r="L227" s="63">
        <v>425000</v>
      </c>
      <c r="M227" s="63">
        <v>425000</v>
      </c>
      <c r="N227" s="63">
        <v>615744.25</v>
      </c>
      <c r="O227" s="63">
        <v>367700</v>
      </c>
      <c r="P227" s="63">
        <v>367700</v>
      </c>
      <c r="Q227" s="63">
        <v>532727.43699999992</v>
      </c>
      <c r="R227" s="63">
        <v>367700</v>
      </c>
      <c r="S227" s="63">
        <v>367700</v>
      </c>
      <c r="T227" s="63">
        <v>532727.43699999992</v>
      </c>
      <c r="U227" s="55" t="s">
        <v>81</v>
      </c>
      <c r="V227" s="55" t="s">
        <v>78</v>
      </c>
      <c r="W227" s="55" t="s">
        <v>81</v>
      </c>
      <c r="X227" s="59" t="s">
        <v>78</v>
      </c>
      <c r="Y227" s="59" t="s">
        <v>81</v>
      </c>
      <c r="Z227" s="55">
        <v>0</v>
      </c>
      <c r="AA227" s="55" t="s">
        <v>78</v>
      </c>
      <c r="AB227" s="55">
        <v>0</v>
      </c>
      <c r="AC227" s="55" t="s">
        <v>78</v>
      </c>
      <c r="AD227" s="55">
        <v>0</v>
      </c>
      <c r="AE227" s="55" t="s">
        <v>78</v>
      </c>
      <c r="AF227" s="55">
        <v>0</v>
      </c>
      <c r="AG227" s="55" t="s">
        <v>81</v>
      </c>
      <c r="AH227" s="55" t="s">
        <v>78</v>
      </c>
      <c r="AI227" s="59" t="s">
        <v>81</v>
      </c>
      <c r="AJ227" s="55" t="s">
        <v>78</v>
      </c>
      <c r="AK227" s="55" t="s">
        <v>78</v>
      </c>
      <c r="AL227" s="55" t="s">
        <v>81</v>
      </c>
      <c r="AM227" s="55" t="s">
        <v>81</v>
      </c>
      <c r="AN227" s="55" t="s">
        <v>78</v>
      </c>
      <c r="AO227" s="60" t="s">
        <v>81</v>
      </c>
      <c r="AP227" s="58" t="s">
        <v>74</v>
      </c>
      <c r="AQ227" s="55" t="s">
        <v>228</v>
      </c>
    </row>
    <row r="228" spans="1:43" ht="16.2" hidden="1" x14ac:dyDescent="0.45">
      <c r="A228" s="55" t="s">
        <v>1359</v>
      </c>
      <c r="B228" s="55" t="s">
        <v>1360</v>
      </c>
      <c r="C228" s="55">
        <v>2015</v>
      </c>
      <c r="D228" s="55" t="s">
        <v>163</v>
      </c>
      <c r="E228" s="55" t="s">
        <v>78</v>
      </c>
      <c r="F228" s="57" t="s">
        <v>556</v>
      </c>
      <c r="G228" s="55" t="s">
        <v>588</v>
      </c>
      <c r="H228" s="55" t="s">
        <v>256</v>
      </c>
      <c r="I228" s="55" t="s">
        <v>689</v>
      </c>
      <c r="J228" s="57" t="s">
        <v>81</v>
      </c>
      <c r="K228" s="55" t="s">
        <v>126</v>
      </c>
      <c r="L228" s="63">
        <v>26374096</v>
      </c>
      <c r="M228" s="63">
        <v>18203971.535259973</v>
      </c>
      <c r="N228" s="63">
        <v>26374096</v>
      </c>
      <c r="O228" s="63">
        <v>16098494.960000001</v>
      </c>
      <c r="P228" s="63">
        <v>16098494.960000001</v>
      </c>
      <c r="Q228" s="63">
        <v>23323660.4829976</v>
      </c>
      <c r="R228" s="63">
        <v>16098494.960000001</v>
      </c>
      <c r="S228" s="63">
        <v>16098494.960000001</v>
      </c>
      <c r="T228" s="63">
        <v>23323660.4829976</v>
      </c>
      <c r="U228" s="55" t="s">
        <v>81</v>
      </c>
      <c r="V228" s="55" t="s">
        <v>78</v>
      </c>
      <c r="W228" s="55" t="s">
        <v>81</v>
      </c>
      <c r="X228" s="59" t="s">
        <v>78</v>
      </c>
      <c r="Y228" s="59" t="s">
        <v>81</v>
      </c>
      <c r="Z228" s="55">
        <v>0</v>
      </c>
      <c r="AA228" s="55" t="s">
        <v>78</v>
      </c>
      <c r="AB228" s="55">
        <v>0</v>
      </c>
      <c r="AC228" s="55" t="s">
        <v>78</v>
      </c>
      <c r="AD228" s="55">
        <v>0</v>
      </c>
      <c r="AE228" s="55" t="s">
        <v>78</v>
      </c>
      <c r="AF228" s="55">
        <v>0</v>
      </c>
      <c r="AG228" s="55" t="s">
        <v>81</v>
      </c>
      <c r="AH228" s="55" t="s">
        <v>78</v>
      </c>
      <c r="AI228" s="59" t="s">
        <v>81</v>
      </c>
      <c r="AJ228" s="55" t="s">
        <v>78</v>
      </c>
      <c r="AK228" s="55" t="s">
        <v>78</v>
      </c>
      <c r="AL228" s="55" t="s">
        <v>81</v>
      </c>
      <c r="AM228" s="55" t="s">
        <v>81</v>
      </c>
      <c r="AN228" s="55" t="s">
        <v>78</v>
      </c>
      <c r="AO228" s="60" t="s">
        <v>81</v>
      </c>
      <c r="AP228" s="58" t="s">
        <v>126</v>
      </c>
      <c r="AQ228" s="55" t="s">
        <v>256</v>
      </c>
    </row>
    <row r="229" spans="1:43" ht="13.2" hidden="1" x14ac:dyDescent="0.25">
      <c r="A229" s="90" t="s">
        <v>1361</v>
      </c>
      <c r="B229" s="90" t="s">
        <v>1362</v>
      </c>
      <c r="C229" s="90">
        <v>2015</v>
      </c>
      <c r="D229" s="90" t="s">
        <v>514</v>
      </c>
      <c r="E229" s="90" t="s">
        <v>78</v>
      </c>
      <c r="F229" s="90" t="s">
        <v>567</v>
      </c>
      <c r="G229" s="90" t="s">
        <v>587</v>
      </c>
      <c r="H229" s="90" t="s">
        <v>256</v>
      </c>
      <c r="I229" s="90" t="s">
        <v>679</v>
      </c>
      <c r="J229" s="90" t="s">
        <v>75</v>
      </c>
      <c r="K229" s="90" t="s">
        <v>126</v>
      </c>
      <c r="L229" s="92">
        <v>8370000</v>
      </c>
      <c r="M229" s="92">
        <v>5777155.0444847839</v>
      </c>
      <c r="N229" s="92">
        <v>8369999.9999999991</v>
      </c>
      <c r="O229" s="92">
        <v>6053417.6100000003</v>
      </c>
      <c r="P229" s="92">
        <v>6053417.6100000003</v>
      </c>
      <c r="Q229" s="92">
        <v>8770251.9675440993</v>
      </c>
      <c r="R229" s="92">
        <v>0</v>
      </c>
      <c r="S229" s="92">
        <v>0</v>
      </c>
      <c r="T229" s="92">
        <v>0</v>
      </c>
      <c r="U229" s="90" t="s">
        <v>81</v>
      </c>
      <c r="V229" s="90" t="s">
        <v>78</v>
      </c>
      <c r="W229" s="90" t="s">
        <v>81</v>
      </c>
      <c r="X229" s="93" t="s">
        <v>78</v>
      </c>
      <c r="Y229" s="93" t="s">
        <v>81</v>
      </c>
      <c r="Z229" s="90">
        <v>0</v>
      </c>
      <c r="AA229" s="90" t="s">
        <v>78</v>
      </c>
      <c r="AB229" s="90">
        <v>0</v>
      </c>
      <c r="AC229" s="90" t="s">
        <v>78</v>
      </c>
      <c r="AD229" s="90">
        <v>0</v>
      </c>
      <c r="AE229" s="90" t="s">
        <v>78</v>
      </c>
      <c r="AF229" s="90">
        <v>0</v>
      </c>
      <c r="AG229" s="90" t="s">
        <v>81</v>
      </c>
      <c r="AH229" s="90" t="s">
        <v>78</v>
      </c>
      <c r="AI229" s="93" t="s">
        <v>81</v>
      </c>
      <c r="AJ229" s="90" t="s">
        <v>78</v>
      </c>
      <c r="AK229" s="90" t="s">
        <v>78</v>
      </c>
      <c r="AL229" s="90" t="s">
        <v>81</v>
      </c>
      <c r="AM229" s="90" t="s">
        <v>81</v>
      </c>
      <c r="AN229" s="90" t="s">
        <v>78</v>
      </c>
      <c r="AO229" s="79" t="s">
        <v>81</v>
      </c>
      <c r="AP229" s="94" t="s">
        <v>126</v>
      </c>
      <c r="AQ229" s="90" t="s">
        <v>256</v>
      </c>
    </row>
    <row r="230" spans="1:43" ht="13.2" hidden="1" x14ac:dyDescent="0.25">
      <c r="A230" s="90" t="s">
        <v>1363</v>
      </c>
      <c r="B230" s="90" t="s">
        <v>1364</v>
      </c>
      <c r="C230" s="90">
        <v>2015</v>
      </c>
      <c r="D230" s="90" t="s">
        <v>297</v>
      </c>
      <c r="E230" s="90" t="s">
        <v>78</v>
      </c>
      <c r="F230" s="90" t="s">
        <v>566</v>
      </c>
      <c r="G230" s="90" t="s">
        <v>589</v>
      </c>
      <c r="H230" s="90" t="s">
        <v>256</v>
      </c>
      <c r="I230" s="90" t="s">
        <v>679</v>
      </c>
      <c r="J230" s="90" t="s">
        <v>75</v>
      </c>
      <c r="K230" s="90" t="s">
        <v>104</v>
      </c>
      <c r="L230" s="92">
        <v>5000000</v>
      </c>
      <c r="M230" s="92">
        <v>4189990.9496195489</v>
      </c>
      <c r="N230" s="92">
        <v>6070500.7877182979</v>
      </c>
      <c r="O230" s="92">
        <v>1629099.41</v>
      </c>
      <c r="P230" s="92">
        <v>1629099.41</v>
      </c>
      <c r="Q230" s="92">
        <v>2360255.5162020996</v>
      </c>
      <c r="R230" s="92">
        <v>0</v>
      </c>
      <c r="S230" s="92">
        <v>0</v>
      </c>
      <c r="T230" s="92">
        <v>0</v>
      </c>
      <c r="U230" s="90" t="s">
        <v>81</v>
      </c>
      <c r="V230" s="90" t="s">
        <v>78</v>
      </c>
      <c r="W230" s="90" t="s">
        <v>81</v>
      </c>
      <c r="X230" s="93" t="s">
        <v>78</v>
      </c>
      <c r="Y230" s="93" t="s">
        <v>81</v>
      </c>
      <c r="Z230" s="90">
        <v>0</v>
      </c>
      <c r="AA230" s="90" t="s">
        <v>78</v>
      </c>
      <c r="AB230" s="90">
        <v>0</v>
      </c>
      <c r="AC230" s="90" t="s">
        <v>78</v>
      </c>
      <c r="AD230" s="90">
        <v>0</v>
      </c>
      <c r="AE230" s="90" t="s">
        <v>78</v>
      </c>
      <c r="AF230" s="90">
        <v>0</v>
      </c>
      <c r="AG230" s="90" t="s">
        <v>81</v>
      </c>
      <c r="AH230" s="90" t="s">
        <v>78</v>
      </c>
      <c r="AI230" s="93" t="s">
        <v>81</v>
      </c>
      <c r="AJ230" s="90" t="s">
        <v>78</v>
      </c>
      <c r="AK230" s="90" t="s">
        <v>78</v>
      </c>
      <c r="AL230" s="90" t="s">
        <v>81</v>
      </c>
      <c r="AM230" s="90" t="s">
        <v>81</v>
      </c>
      <c r="AN230" s="90" t="s">
        <v>78</v>
      </c>
      <c r="AO230" s="79" t="s">
        <v>81</v>
      </c>
      <c r="AP230" s="94" t="s">
        <v>104</v>
      </c>
      <c r="AQ230" s="90" t="s">
        <v>256</v>
      </c>
    </row>
    <row r="231" spans="1:43" ht="16.2" hidden="1" x14ac:dyDescent="0.45">
      <c r="A231" s="55" t="s">
        <v>1365</v>
      </c>
      <c r="B231" s="56" t="s">
        <v>1366</v>
      </c>
      <c r="C231" s="55">
        <v>2015</v>
      </c>
      <c r="D231" s="55" t="s">
        <v>507</v>
      </c>
      <c r="E231" s="55" t="s">
        <v>78</v>
      </c>
      <c r="F231" s="57" t="s">
        <v>562</v>
      </c>
      <c r="G231" s="55" t="s">
        <v>596</v>
      </c>
      <c r="H231" s="55" t="s">
        <v>101</v>
      </c>
      <c r="I231" s="55" t="s">
        <v>689</v>
      </c>
      <c r="J231" s="57" t="s">
        <v>81</v>
      </c>
      <c r="K231" s="55" t="s">
        <v>74</v>
      </c>
      <c r="L231" s="63">
        <v>2160000</v>
      </c>
      <c r="M231" s="63">
        <v>2160000</v>
      </c>
      <c r="N231" s="63">
        <v>3129429.5999999996</v>
      </c>
      <c r="O231" s="63">
        <v>2000000</v>
      </c>
      <c r="P231" s="63">
        <v>2000000</v>
      </c>
      <c r="Q231" s="63">
        <v>2897620</v>
      </c>
      <c r="R231" s="63">
        <v>2000000</v>
      </c>
      <c r="S231" s="63">
        <v>2000000</v>
      </c>
      <c r="T231" s="63">
        <v>2897620</v>
      </c>
      <c r="U231" s="55" t="s">
        <v>81</v>
      </c>
      <c r="V231" s="55" t="s">
        <v>78</v>
      </c>
      <c r="W231" s="55" t="s">
        <v>81</v>
      </c>
      <c r="X231" s="59" t="s">
        <v>78</v>
      </c>
      <c r="Y231" s="59" t="s">
        <v>81</v>
      </c>
      <c r="Z231" s="55">
        <v>0</v>
      </c>
      <c r="AA231" s="55" t="s">
        <v>78</v>
      </c>
      <c r="AB231" s="55">
        <v>0</v>
      </c>
      <c r="AC231" s="55" t="s">
        <v>78</v>
      </c>
      <c r="AD231" s="55">
        <v>0</v>
      </c>
      <c r="AE231" s="55" t="s">
        <v>78</v>
      </c>
      <c r="AF231" s="55">
        <v>0</v>
      </c>
      <c r="AG231" s="55" t="s">
        <v>81</v>
      </c>
      <c r="AH231" s="55" t="s">
        <v>78</v>
      </c>
      <c r="AI231" s="59" t="s">
        <v>81</v>
      </c>
      <c r="AJ231" s="55" t="s">
        <v>78</v>
      </c>
      <c r="AK231" s="55" t="s">
        <v>78</v>
      </c>
      <c r="AL231" s="55" t="s">
        <v>81</v>
      </c>
      <c r="AM231" s="55" t="s">
        <v>81</v>
      </c>
      <c r="AN231" s="55" t="s">
        <v>78</v>
      </c>
      <c r="AO231" s="60" t="s">
        <v>81</v>
      </c>
      <c r="AP231" s="58" t="s">
        <v>74</v>
      </c>
      <c r="AQ231" s="55" t="s">
        <v>101</v>
      </c>
    </row>
    <row r="232" spans="1:43" ht="16.2" hidden="1" x14ac:dyDescent="0.45">
      <c r="A232" s="55" t="s">
        <v>1367</v>
      </c>
      <c r="B232" s="56" t="s">
        <v>1368</v>
      </c>
      <c r="C232" s="55">
        <v>2015</v>
      </c>
      <c r="D232" s="55" t="s">
        <v>500</v>
      </c>
      <c r="E232" s="55" t="s">
        <v>78</v>
      </c>
      <c r="F232" s="57" t="s">
        <v>547</v>
      </c>
      <c r="G232" s="55" t="s">
        <v>228</v>
      </c>
      <c r="H232" s="55" t="s">
        <v>228</v>
      </c>
      <c r="I232" s="55" t="s">
        <v>676</v>
      </c>
      <c r="J232" s="57" t="s">
        <v>81</v>
      </c>
      <c r="K232" s="55" t="s">
        <v>74</v>
      </c>
      <c r="L232" s="63">
        <v>467666</v>
      </c>
      <c r="M232" s="63">
        <v>467666</v>
      </c>
      <c r="N232" s="63">
        <v>677559.17745999992</v>
      </c>
      <c r="O232" s="63">
        <v>467666</v>
      </c>
      <c r="P232" s="63">
        <v>467666</v>
      </c>
      <c r="Q232" s="63">
        <v>677559.17745999992</v>
      </c>
      <c r="R232" s="63">
        <v>467666</v>
      </c>
      <c r="S232" s="63">
        <v>467666</v>
      </c>
      <c r="T232" s="63">
        <v>677559.17745999992</v>
      </c>
      <c r="U232" s="55" t="s">
        <v>81</v>
      </c>
      <c r="V232" s="55" t="s">
        <v>78</v>
      </c>
      <c r="W232" s="55" t="s">
        <v>81</v>
      </c>
      <c r="X232" s="59" t="s">
        <v>78</v>
      </c>
      <c r="Y232" s="59" t="s">
        <v>81</v>
      </c>
      <c r="Z232" s="55">
        <v>0</v>
      </c>
      <c r="AA232" s="55" t="s">
        <v>78</v>
      </c>
      <c r="AB232" s="55">
        <v>0</v>
      </c>
      <c r="AC232" s="55" t="s">
        <v>78</v>
      </c>
      <c r="AD232" s="55">
        <v>0</v>
      </c>
      <c r="AE232" s="55" t="s">
        <v>78</v>
      </c>
      <c r="AF232" s="55">
        <v>0</v>
      </c>
      <c r="AG232" s="55" t="s">
        <v>81</v>
      </c>
      <c r="AH232" s="55" t="s">
        <v>78</v>
      </c>
      <c r="AI232" s="59" t="s">
        <v>81</v>
      </c>
      <c r="AJ232" s="55" t="s">
        <v>78</v>
      </c>
      <c r="AK232" s="55" t="s">
        <v>78</v>
      </c>
      <c r="AL232" s="55" t="s">
        <v>81</v>
      </c>
      <c r="AM232" s="55" t="s">
        <v>81</v>
      </c>
      <c r="AN232" s="55" t="s">
        <v>78</v>
      </c>
      <c r="AO232" s="60" t="s">
        <v>81</v>
      </c>
      <c r="AP232" s="58" t="s">
        <v>74</v>
      </c>
      <c r="AQ232" s="55" t="s">
        <v>228</v>
      </c>
    </row>
    <row r="233" spans="1:43" ht="16.2" hidden="1" x14ac:dyDescent="0.45">
      <c r="A233" s="55" t="s">
        <v>1369</v>
      </c>
      <c r="B233" s="55" t="s">
        <v>1370</v>
      </c>
      <c r="C233" s="55">
        <v>2015</v>
      </c>
      <c r="D233" s="55" t="s">
        <v>501</v>
      </c>
      <c r="E233" s="55" t="s">
        <v>78</v>
      </c>
      <c r="F233" s="57" t="s">
        <v>551</v>
      </c>
      <c r="G233" s="55" t="s">
        <v>587</v>
      </c>
      <c r="H233" s="55" t="s">
        <v>256</v>
      </c>
      <c r="I233" s="55" t="s">
        <v>676</v>
      </c>
      <c r="J233" s="57" t="s">
        <v>81</v>
      </c>
      <c r="K233" s="55" t="s">
        <v>74</v>
      </c>
      <c r="L233" s="63">
        <v>22500000</v>
      </c>
      <c r="M233" s="63">
        <v>22500000</v>
      </c>
      <c r="N233" s="63">
        <v>32598225</v>
      </c>
      <c r="O233" s="63">
        <v>10500000</v>
      </c>
      <c r="P233" s="63">
        <v>10500000</v>
      </c>
      <c r="Q233" s="63">
        <v>15212505</v>
      </c>
      <c r="R233" s="63">
        <v>10500000</v>
      </c>
      <c r="S233" s="63">
        <v>10500000</v>
      </c>
      <c r="T233" s="63">
        <v>15212505</v>
      </c>
      <c r="U233" s="55" t="s">
        <v>75</v>
      </c>
      <c r="V233" s="55" t="s">
        <v>1371</v>
      </c>
      <c r="W233" s="55" t="s">
        <v>75</v>
      </c>
      <c r="X233" s="59" t="s">
        <v>1372</v>
      </c>
      <c r="Y233" s="59" t="s">
        <v>75</v>
      </c>
      <c r="Z233" s="55">
        <v>999</v>
      </c>
      <c r="AA233" s="55" t="s">
        <v>1373</v>
      </c>
      <c r="AB233" s="55">
        <v>999</v>
      </c>
      <c r="AC233" s="55" t="s">
        <v>1374</v>
      </c>
      <c r="AD233" s="55">
        <v>999</v>
      </c>
      <c r="AE233" s="55" t="s">
        <v>1375</v>
      </c>
      <c r="AF233" s="55">
        <v>3</v>
      </c>
      <c r="AG233" s="55" t="s">
        <v>81</v>
      </c>
      <c r="AH233" s="55" t="s">
        <v>78</v>
      </c>
      <c r="AI233" s="59" t="s">
        <v>75</v>
      </c>
      <c r="AJ233" s="55" t="s">
        <v>256</v>
      </c>
      <c r="AK233" s="55" t="s">
        <v>796</v>
      </c>
      <c r="AL233" s="55" t="s">
        <v>81</v>
      </c>
      <c r="AM233" s="55" t="s">
        <v>81</v>
      </c>
      <c r="AN233" s="55" t="s">
        <v>78</v>
      </c>
      <c r="AO233" s="60" t="s">
        <v>75</v>
      </c>
      <c r="AP233" s="58" t="s">
        <v>74</v>
      </c>
      <c r="AQ233" s="55" t="s">
        <v>256</v>
      </c>
    </row>
    <row r="234" spans="1:43" ht="16.2" hidden="1" x14ac:dyDescent="0.45">
      <c r="A234" s="55" t="s">
        <v>1376</v>
      </c>
      <c r="B234" s="55" t="s">
        <v>1377</v>
      </c>
      <c r="C234" s="55">
        <v>2015</v>
      </c>
      <c r="D234" s="55" t="s">
        <v>501</v>
      </c>
      <c r="E234" s="55" t="s">
        <v>78</v>
      </c>
      <c r="F234" s="57" t="s">
        <v>551</v>
      </c>
      <c r="G234" s="55" t="s">
        <v>228</v>
      </c>
      <c r="H234" s="55" t="s">
        <v>228</v>
      </c>
      <c r="I234" s="55" t="s">
        <v>837</v>
      </c>
      <c r="J234" s="57" t="s">
        <v>81</v>
      </c>
      <c r="K234" s="55" t="s">
        <v>74</v>
      </c>
      <c r="L234" s="63">
        <v>50000000</v>
      </c>
      <c r="M234" s="63">
        <v>50000000</v>
      </c>
      <c r="N234" s="63">
        <v>72440500</v>
      </c>
      <c r="O234" s="63">
        <v>24500000</v>
      </c>
      <c r="P234" s="63">
        <v>24500000</v>
      </c>
      <c r="Q234" s="63">
        <v>35495845</v>
      </c>
      <c r="R234" s="63">
        <v>20000000</v>
      </c>
      <c r="S234" s="63">
        <v>20000000</v>
      </c>
      <c r="T234" s="63">
        <v>28976200</v>
      </c>
      <c r="U234" s="55" t="s">
        <v>81</v>
      </c>
      <c r="V234" s="55" t="s">
        <v>78</v>
      </c>
      <c r="W234" s="55" t="s">
        <v>81</v>
      </c>
      <c r="X234" s="59" t="s">
        <v>78</v>
      </c>
      <c r="Y234" s="59" t="s">
        <v>81</v>
      </c>
      <c r="Z234" s="55">
        <v>0</v>
      </c>
      <c r="AA234" s="55" t="s">
        <v>78</v>
      </c>
      <c r="AB234" s="55">
        <v>0</v>
      </c>
      <c r="AC234" s="55" t="s">
        <v>78</v>
      </c>
      <c r="AD234" s="55">
        <v>0</v>
      </c>
      <c r="AE234" s="55" t="s">
        <v>78</v>
      </c>
      <c r="AF234" s="55">
        <v>0</v>
      </c>
      <c r="AG234" s="55" t="s">
        <v>75</v>
      </c>
      <c r="AH234" s="55" t="s">
        <v>442</v>
      </c>
      <c r="AI234" s="59" t="s">
        <v>81</v>
      </c>
      <c r="AJ234" s="55" t="s">
        <v>78</v>
      </c>
      <c r="AK234" s="55" t="s">
        <v>78</v>
      </c>
      <c r="AL234" s="55" t="s">
        <v>81</v>
      </c>
      <c r="AM234" s="55" t="s">
        <v>81</v>
      </c>
      <c r="AN234" s="55" t="s">
        <v>78</v>
      </c>
      <c r="AO234" s="60" t="s">
        <v>81</v>
      </c>
      <c r="AP234" s="58" t="s">
        <v>74</v>
      </c>
      <c r="AQ234" s="55" t="s">
        <v>228</v>
      </c>
    </row>
    <row r="235" spans="1:43" ht="16.2" hidden="1" x14ac:dyDescent="0.45">
      <c r="A235" s="55" t="s">
        <v>1378</v>
      </c>
      <c r="B235" s="56" t="s">
        <v>1379</v>
      </c>
      <c r="C235" s="55">
        <v>2015</v>
      </c>
      <c r="D235" s="55" t="s">
        <v>87</v>
      </c>
      <c r="E235" s="55" t="s">
        <v>1380</v>
      </c>
      <c r="F235" s="57" t="s">
        <v>1848</v>
      </c>
      <c r="G235" s="55" t="s">
        <v>599</v>
      </c>
      <c r="H235" s="55" t="s">
        <v>101</v>
      </c>
      <c r="I235" s="55" t="s">
        <v>676</v>
      </c>
      <c r="J235" s="57" t="s">
        <v>81</v>
      </c>
      <c r="K235" s="55" t="s">
        <v>74</v>
      </c>
      <c r="L235" s="63">
        <v>687510</v>
      </c>
      <c r="M235" s="63">
        <v>687510</v>
      </c>
      <c r="N235" s="63">
        <v>996071.36309999996</v>
      </c>
      <c r="O235" s="63">
        <v>687510</v>
      </c>
      <c r="P235" s="63">
        <v>687510</v>
      </c>
      <c r="Q235" s="63">
        <v>996071.36309999996</v>
      </c>
      <c r="R235" s="63">
        <v>687510</v>
      </c>
      <c r="S235" s="63">
        <v>687510</v>
      </c>
      <c r="T235" s="63">
        <v>996071.36309999996</v>
      </c>
      <c r="U235" s="55" t="s">
        <v>81</v>
      </c>
      <c r="V235" s="55" t="s">
        <v>78</v>
      </c>
      <c r="W235" s="55" t="s">
        <v>81</v>
      </c>
      <c r="X235" s="59" t="s">
        <v>78</v>
      </c>
      <c r="Y235" s="59" t="s">
        <v>81</v>
      </c>
      <c r="Z235" s="55">
        <v>0</v>
      </c>
      <c r="AA235" s="55" t="s">
        <v>78</v>
      </c>
      <c r="AB235" s="55">
        <v>0</v>
      </c>
      <c r="AC235" s="55" t="s">
        <v>78</v>
      </c>
      <c r="AD235" s="55">
        <v>0</v>
      </c>
      <c r="AE235" s="55" t="s">
        <v>78</v>
      </c>
      <c r="AF235" s="55">
        <v>0</v>
      </c>
      <c r="AG235" s="55" t="s">
        <v>81</v>
      </c>
      <c r="AH235" s="55" t="s">
        <v>78</v>
      </c>
      <c r="AI235" s="59" t="s">
        <v>81</v>
      </c>
      <c r="AJ235" s="55" t="s">
        <v>78</v>
      </c>
      <c r="AK235" s="55" t="s">
        <v>78</v>
      </c>
      <c r="AL235" s="55" t="s">
        <v>81</v>
      </c>
      <c r="AM235" s="55" t="s">
        <v>81</v>
      </c>
      <c r="AN235" s="55" t="s">
        <v>78</v>
      </c>
      <c r="AO235" s="60" t="s">
        <v>81</v>
      </c>
      <c r="AP235" s="58" t="s">
        <v>74</v>
      </c>
      <c r="AQ235" s="55" t="s">
        <v>101</v>
      </c>
    </row>
    <row r="236" spans="1:43" ht="16.2" hidden="1" x14ac:dyDescent="0.45">
      <c r="A236" s="55" t="s">
        <v>1381</v>
      </c>
      <c r="B236" s="56" t="s">
        <v>1382</v>
      </c>
      <c r="C236" s="55">
        <v>2015</v>
      </c>
      <c r="D236" s="55" t="s">
        <v>87</v>
      </c>
      <c r="E236" s="55" t="s">
        <v>1383</v>
      </c>
      <c r="F236" s="57" t="s">
        <v>1848</v>
      </c>
      <c r="G236" s="55" t="s">
        <v>596</v>
      </c>
      <c r="H236" s="55" t="s">
        <v>101</v>
      </c>
      <c r="I236" s="55" t="s">
        <v>676</v>
      </c>
      <c r="J236" s="57" t="s">
        <v>81</v>
      </c>
      <c r="K236" s="55" t="s">
        <v>74</v>
      </c>
      <c r="L236" s="63">
        <v>585865</v>
      </c>
      <c r="M236" s="63">
        <v>585865</v>
      </c>
      <c r="N236" s="63">
        <v>848807.07065000001</v>
      </c>
      <c r="O236" s="63">
        <v>495365</v>
      </c>
      <c r="P236" s="63">
        <v>495365</v>
      </c>
      <c r="Q236" s="63">
        <v>717689.76564999996</v>
      </c>
      <c r="R236" s="63">
        <v>495365</v>
      </c>
      <c r="S236" s="63">
        <v>495365</v>
      </c>
      <c r="T236" s="63">
        <v>717689.76564999996</v>
      </c>
      <c r="U236" s="55" t="s">
        <v>81</v>
      </c>
      <c r="V236" s="55" t="s">
        <v>78</v>
      </c>
      <c r="W236" s="55" t="s">
        <v>81</v>
      </c>
      <c r="X236" s="59" t="s">
        <v>78</v>
      </c>
      <c r="Y236" s="59" t="s">
        <v>81</v>
      </c>
      <c r="Z236" s="55">
        <v>0</v>
      </c>
      <c r="AA236" s="55" t="s">
        <v>78</v>
      </c>
      <c r="AB236" s="55">
        <v>0</v>
      </c>
      <c r="AC236" s="55" t="s">
        <v>78</v>
      </c>
      <c r="AD236" s="55">
        <v>0</v>
      </c>
      <c r="AE236" s="55" t="s">
        <v>78</v>
      </c>
      <c r="AF236" s="55">
        <v>0</v>
      </c>
      <c r="AG236" s="55" t="s">
        <v>81</v>
      </c>
      <c r="AH236" s="55" t="s">
        <v>78</v>
      </c>
      <c r="AI236" s="59" t="s">
        <v>81</v>
      </c>
      <c r="AJ236" s="55" t="s">
        <v>78</v>
      </c>
      <c r="AK236" s="55" t="s">
        <v>78</v>
      </c>
      <c r="AL236" s="55" t="s">
        <v>81</v>
      </c>
      <c r="AM236" s="55" t="s">
        <v>81</v>
      </c>
      <c r="AN236" s="55" t="s">
        <v>78</v>
      </c>
      <c r="AO236" s="60" t="s">
        <v>81</v>
      </c>
      <c r="AP236" s="58" t="s">
        <v>74</v>
      </c>
      <c r="AQ236" s="55" t="s">
        <v>101</v>
      </c>
    </row>
    <row r="237" spans="1:43" ht="16.2" hidden="1" x14ac:dyDescent="0.45">
      <c r="A237" s="55" t="s">
        <v>1384</v>
      </c>
      <c r="B237" s="56" t="s">
        <v>1385</v>
      </c>
      <c r="C237" s="55">
        <v>2015</v>
      </c>
      <c r="D237" s="55" t="s">
        <v>155</v>
      </c>
      <c r="E237" s="55" t="s">
        <v>78</v>
      </c>
      <c r="F237" s="57" t="s">
        <v>559</v>
      </c>
      <c r="G237" s="55" t="s">
        <v>585</v>
      </c>
      <c r="H237" s="55" t="s">
        <v>228</v>
      </c>
      <c r="I237" s="55" t="s">
        <v>676</v>
      </c>
      <c r="J237" s="57" t="s">
        <v>81</v>
      </c>
      <c r="K237" s="55" t="s">
        <v>74</v>
      </c>
      <c r="L237" s="63">
        <v>22250000</v>
      </c>
      <c r="M237" s="63">
        <v>22250000</v>
      </c>
      <c r="N237" s="63">
        <v>32236022.5</v>
      </c>
      <c r="O237" s="63">
        <v>22250000</v>
      </c>
      <c r="P237" s="63">
        <v>22250000</v>
      </c>
      <c r="Q237" s="63">
        <v>32236022.5</v>
      </c>
      <c r="R237" s="63">
        <v>22250000</v>
      </c>
      <c r="S237" s="63">
        <v>22250000</v>
      </c>
      <c r="T237" s="63">
        <v>32236022.5</v>
      </c>
      <c r="U237" s="55" t="s">
        <v>75</v>
      </c>
      <c r="V237" s="55" t="s">
        <v>1386</v>
      </c>
      <c r="W237" s="55" t="s">
        <v>75</v>
      </c>
      <c r="X237" s="59" t="s">
        <v>1387</v>
      </c>
      <c r="Y237" s="59" t="s">
        <v>75</v>
      </c>
      <c r="Z237" s="55">
        <v>999</v>
      </c>
      <c r="AA237" s="55" t="s">
        <v>1388</v>
      </c>
      <c r="AB237" s="55">
        <v>0</v>
      </c>
      <c r="AC237" s="55" t="s">
        <v>78</v>
      </c>
      <c r="AD237" s="55">
        <v>999</v>
      </c>
      <c r="AE237" s="55" t="s">
        <v>1389</v>
      </c>
      <c r="AF237" s="55">
        <v>2</v>
      </c>
      <c r="AG237" s="55" t="s">
        <v>81</v>
      </c>
      <c r="AH237" s="55" t="s">
        <v>78</v>
      </c>
      <c r="AI237" s="59" t="s">
        <v>75</v>
      </c>
      <c r="AJ237" s="55" t="s">
        <v>228</v>
      </c>
      <c r="AK237" s="55" t="s">
        <v>78</v>
      </c>
      <c r="AL237" s="55" t="s">
        <v>81</v>
      </c>
      <c r="AM237" s="55" t="s">
        <v>81</v>
      </c>
      <c r="AN237" s="55" t="s">
        <v>78</v>
      </c>
      <c r="AO237" s="60" t="s">
        <v>75</v>
      </c>
      <c r="AP237" s="58" t="s">
        <v>74</v>
      </c>
      <c r="AQ237" s="55" t="s">
        <v>228</v>
      </c>
    </row>
    <row r="238" spans="1:43" ht="16.2" hidden="1" x14ac:dyDescent="0.45">
      <c r="A238" s="55" t="s">
        <v>1390</v>
      </c>
      <c r="B238" s="55" t="s">
        <v>1066</v>
      </c>
      <c r="C238" s="55">
        <v>2019</v>
      </c>
      <c r="D238" s="55" t="s">
        <v>172</v>
      </c>
      <c r="E238" s="55" t="s">
        <v>78</v>
      </c>
      <c r="F238" s="57" t="s">
        <v>537</v>
      </c>
      <c r="G238" s="55" t="s">
        <v>587</v>
      </c>
      <c r="H238" s="55" t="s">
        <v>256</v>
      </c>
      <c r="I238" s="55" t="s">
        <v>1391</v>
      </c>
      <c r="J238" s="57" t="s">
        <v>81</v>
      </c>
      <c r="K238" s="55" t="s">
        <v>74</v>
      </c>
      <c r="L238" s="63">
        <v>96950000</v>
      </c>
      <c r="M238" s="63">
        <v>96950000</v>
      </c>
      <c r="N238" s="63">
        <v>134837090.5</v>
      </c>
      <c r="O238" s="63">
        <v>60702180.93</v>
      </c>
      <c r="P238" s="63">
        <v>60702180.93</v>
      </c>
      <c r="Q238" s="63">
        <v>84423986.215634704</v>
      </c>
      <c r="R238" s="63">
        <v>60702180.93</v>
      </c>
      <c r="S238" s="63">
        <v>60702180.93</v>
      </c>
      <c r="T238" s="63">
        <v>84423986.215634704</v>
      </c>
      <c r="U238" s="55" t="s">
        <v>75</v>
      </c>
      <c r="V238" s="55" t="s">
        <v>1392</v>
      </c>
      <c r="W238" s="55" t="s">
        <v>75</v>
      </c>
      <c r="X238" s="55" t="s">
        <v>1393</v>
      </c>
      <c r="Y238" s="55" t="s">
        <v>75</v>
      </c>
      <c r="Z238" s="55">
        <v>0</v>
      </c>
      <c r="AA238" s="55" t="s">
        <v>78</v>
      </c>
      <c r="AB238" s="55">
        <v>999</v>
      </c>
      <c r="AC238" s="55" t="s">
        <v>1394</v>
      </c>
      <c r="AD238" s="55">
        <v>0</v>
      </c>
      <c r="AE238" s="55" t="s">
        <v>78</v>
      </c>
      <c r="AF238" s="55">
        <v>1</v>
      </c>
      <c r="AG238" s="55" t="s">
        <v>81</v>
      </c>
      <c r="AH238" s="55" t="s">
        <v>78</v>
      </c>
      <c r="AI238" s="55" t="s">
        <v>75</v>
      </c>
      <c r="AJ238" s="55" t="s">
        <v>1395</v>
      </c>
      <c r="AK238" s="55" t="s">
        <v>121</v>
      </c>
      <c r="AL238" s="55" t="s">
        <v>75</v>
      </c>
      <c r="AM238" s="55" t="s">
        <v>81</v>
      </c>
      <c r="AN238" s="55" t="s">
        <v>78</v>
      </c>
      <c r="AO238" s="60" t="s">
        <v>75</v>
      </c>
      <c r="AP238" s="58" t="s">
        <v>74</v>
      </c>
      <c r="AQ238" s="55" t="s">
        <v>256</v>
      </c>
    </row>
    <row r="239" spans="1:43" ht="16.2" hidden="1" x14ac:dyDescent="0.45">
      <c r="A239" s="55" t="s">
        <v>1396</v>
      </c>
      <c r="B239" s="55" t="s">
        <v>1397</v>
      </c>
      <c r="C239" s="55">
        <v>2019</v>
      </c>
      <c r="D239" s="55" t="s">
        <v>433</v>
      </c>
      <c r="E239" s="55" t="s">
        <v>78</v>
      </c>
      <c r="F239" s="57" t="s">
        <v>564</v>
      </c>
      <c r="G239" s="55" t="s">
        <v>228</v>
      </c>
      <c r="H239" s="55" t="s">
        <v>228</v>
      </c>
      <c r="I239" s="55" t="s">
        <v>1398</v>
      </c>
      <c r="J239" s="57" t="s">
        <v>75</v>
      </c>
      <c r="K239" s="55" t="s">
        <v>126</v>
      </c>
      <c r="L239" s="63">
        <v>1000000</v>
      </c>
      <c r="M239" s="63">
        <v>719015.81115768733</v>
      </c>
      <c r="N239" s="63">
        <v>1000000</v>
      </c>
      <c r="O239" s="63">
        <v>719016</v>
      </c>
      <c r="P239" s="63">
        <v>719016</v>
      </c>
      <c r="Q239" s="63">
        <v>1000000.26264</v>
      </c>
      <c r="R239" s="63">
        <v>0</v>
      </c>
      <c r="S239" s="63">
        <v>0</v>
      </c>
      <c r="T239" s="63">
        <v>0</v>
      </c>
      <c r="U239" s="55" t="s">
        <v>75</v>
      </c>
      <c r="V239" s="55" t="s">
        <v>1399</v>
      </c>
      <c r="W239" s="55" t="s">
        <v>75</v>
      </c>
      <c r="X239" s="55" t="s">
        <v>1400</v>
      </c>
      <c r="Y239" s="55" t="s">
        <v>75</v>
      </c>
      <c r="Z239" s="55">
        <v>0</v>
      </c>
      <c r="AA239" s="55" t="s">
        <v>78</v>
      </c>
      <c r="AB239" s="55">
        <v>999</v>
      </c>
      <c r="AC239" s="55" t="s">
        <v>1401</v>
      </c>
      <c r="AD239" s="55">
        <v>0</v>
      </c>
      <c r="AE239" s="55" t="s">
        <v>78</v>
      </c>
      <c r="AF239" s="55">
        <v>2</v>
      </c>
      <c r="AG239" s="55" t="s">
        <v>75</v>
      </c>
      <c r="AH239" s="55" t="s">
        <v>442</v>
      </c>
      <c r="AI239" s="55" t="s">
        <v>75</v>
      </c>
      <c r="AJ239" s="55" t="s">
        <v>1402</v>
      </c>
      <c r="AK239" s="55" t="s">
        <v>286</v>
      </c>
      <c r="AL239" s="55" t="s">
        <v>75</v>
      </c>
      <c r="AM239" s="55" t="s">
        <v>81</v>
      </c>
      <c r="AN239" s="55" t="s">
        <v>78</v>
      </c>
      <c r="AO239" s="60" t="s">
        <v>75</v>
      </c>
      <c r="AP239" s="58" t="s">
        <v>126</v>
      </c>
      <c r="AQ239" s="55" t="s">
        <v>228</v>
      </c>
    </row>
    <row r="240" spans="1:43" ht="16.2" hidden="1" x14ac:dyDescent="0.45">
      <c r="A240" s="55" t="s">
        <v>1403</v>
      </c>
      <c r="B240" s="55" t="s">
        <v>1404</v>
      </c>
      <c r="C240" s="55">
        <v>2019</v>
      </c>
      <c r="D240" s="55" t="s">
        <v>498</v>
      </c>
      <c r="E240" s="55" t="s">
        <v>78</v>
      </c>
      <c r="F240" s="57" t="s">
        <v>540</v>
      </c>
      <c r="G240" s="55" t="s">
        <v>228</v>
      </c>
      <c r="H240" s="55" t="s">
        <v>228</v>
      </c>
      <c r="I240" s="55" t="s">
        <v>1398</v>
      </c>
      <c r="J240" s="57" t="s">
        <v>75</v>
      </c>
      <c r="K240" s="55" t="s">
        <v>126</v>
      </c>
      <c r="L240" s="63">
        <v>1000000</v>
      </c>
      <c r="M240" s="63">
        <v>719015.81115768733</v>
      </c>
      <c r="N240" s="63">
        <v>1000000</v>
      </c>
      <c r="O240" s="63">
        <v>719016</v>
      </c>
      <c r="P240" s="63">
        <v>719016</v>
      </c>
      <c r="Q240" s="63">
        <v>1000000.26264</v>
      </c>
      <c r="R240" s="63">
        <v>0</v>
      </c>
      <c r="S240" s="63">
        <v>0</v>
      </c>
      <c r="T240" s="63">
        <v>0</v>
      </c>
      <c r="U240" s="55" t="s">
        <v>75</v>
      </c>
      <c r="V240" s="55" t="s">
        <v>1399</v>
      </c>
      <c r="W240" s="55" t="s">
        <v>75</v>
      </c>
      <c r="X240" s="55" t="s">
        <v>1405</v>
      </c>
      <c r="Y240" s="55" t="s">
        <v>75</v>
      </c>
      <c r="Z240" s="55">
        <v>999</v>
      </c>
      <c r="AA240" s="55" t="s">
        <v>1406</v>
      </c>
      <c r="AB240" s="55">
        <v>0</v>
      </c>
      <c r="AC240" s="55" t="s">
        <v>78</v>
      </c>
      <c r="AD240" s="55">
        <v>0</v>
      </c>
      <c r="AE240" s="55" t="s">
        <v>78</v>
      </c>
      <c r="AF240" s="55">
        <v>1</v>
      </c>
      <c r="AG240" s="55" t="s">
        <v>75</v>
      </c>
      <c r="AH240" s="55" t="s">
        <v>442</v>
      </c>
      <c r="AI240" s="55" t="s">
        <v>75</v>
      </c>
      <c r="AJ240" s="55" t="s">
        <v>1402</v>
      </c>
      <c r="AK240" s="55" t="s">
        <v>286</v>
      </c>
      <c r="AL240" s="55" t="s">
        <v>75</v>
      </c>
      <c r="AM240" s="55" t="s">
        <v>81</v>
      </c>
      <c r="AN240" s="55" t="s">
        <v>78</v>
      </c>
      <c r="AO240" s="60" t="s">
        <v>75</v>
      </c>
      <c r="AP240" s="58" t="s">
        <v>126</v>
      </c>
      <c r="AQ240" s="55" t="s">
        <v>228</v>
      </c>
    </row>
    <row r="241" spans="1:43" ht="13.2" hidden="1" x14ac:dyDescent="0.25">
      <c r="A241" s="90" t="s">
        <v>1407</v>
      </c>
      <c r="B241" s="90" t="s">
        <v>1408</v>
      </c>
      <c r="C241" s="90">
        <v>2019</v>
      </c>
      <c r="D241" s="90" t="s">
        <v>513</v>
      </c>
      <c r="E241" s="90" t="s">
        <v>78</v>
      </c>
      <c r="F241" s="90" t="s">
        <v>539</v>
      </c>
      <c r="G241" s="90" t="s">
        <v>595</v>
      </c>
      <c r="H241" s="90" t="s">
        <v>101</v>
      </c>
      <c r="I241" s="90" t="s">
        <v>679</v>
      </c>
      <c r="J241" s="90" t="s">
        <v>75</v>
      </c>
      <c r="K241" s="90" t="s">
        <v>74</v>
      </c>
      <c r="L241" s="92">
        <v>2680000</v>
      </c>
      <c r="M241" s="92">
        <v>2680000</v>
      </c>
      <c r="N241" s="92">
        <v>3727317.1999999997</v>
      </c>
      <c r="O241" s="92">
        <v>0</v>
      </c>
      <c r="P241" s="92">
        <v>0</v>
      </c>
      <c r="Q241" s="92">
        <v>0</v>
      </c>
      <c r="R241" s="92">
        <v>0</v>
      </c>
      <c r="S241" s="92">
        <v>0</v>
      </c>
      <c r="T241" s="92">
        <v>0</v>
      </c>
      <c r="U241" s="90" t="s">
        <v>81</v>
      </c>
      <c r="V241" s="90" t="s">
        <v>78</v>
      </c>
      <c r="W241" s="90" t="s">
        <v>81</v>
      </c>
      <c r="X241" s="90" t="s">
        <v>1409</v>
      </c>
      <c r="Y241" s="90" t="s">
        <v>81</v>
      </c>
      <c r="Z241" s="90">
        <v>0</v>
      </c>
      <c r="AA241" s="90" t="s">
        <v>78</v>
      </c>
      <c r="AB241" s="90">
        <v>0</v>
      </c>
      <c r="AC241" s="90" t="s">
        <v>78</v>
      </c>
      <c r="AD241" s="90">
        <v>0</v>
      </c>
      <c r="AE241" s="90" t="s">
        <v>78</v>
      </c>
      <c r="AF241" s="90">
        <v>0</v>
      </c>
      <c r="AG241" s="90" t="s">
        <v>81</v>
      </c>
      <c r="AH241" s="90" t="s">
        <v>78</v>
      </c>
      <c r="AI241" s="90" t="s">
        <v>81</v>
      </c>
      <c r="AJ241" s="90" t="s">
        <v>1410</v>
      </c>
      <c r="AK241" s="90" t="s">
        <v>286</v>
      </c>
      <c r="AL241" s="90" t="s">
        <v>75</v>
      </c>
      <c r="AM241" s="90" t="s">
        <v>81</v>
      </c>
      <c r="AN241" s="90" t="s">
        <v>78</v>
      </c>
      <c r="AO241" s="79" t="s">
        <v>81</v>
      </c>
      <c r="AP241" s="94" t="s">
        <v>74</v>
      </c>
      <c r="AQ241" s="90" t="s">
        <v>101</v>
      </c>
    </row>
    <row r="242" spans="1:43" ht="16.2" hidden="1" x14ac:dyDescent="0.45">
      <c r="A242" s="55" t="s">
        <v>1411</v>
      </c>
      <c r="B242" s="55" t="s">
        <v>1412</v>
      </c>
      <c r="C242" s="55">
        <v>2019</v>
      </c>
      <c r="D242" s="55" t="s">
        <v>70</v>
      </c>
      <c r="E242" s="55" t="s">
        <v>78</v>
      </c>
      <c r="F242" s="57" t="s">
        <v>570</v>
      </c>
      <c r="G242" s="55" t="s">
        <v>587</v>
      </c>
      <c r="H242" s="55" t="s">
        <v>256</v>
      </c>
      <c r="I242" s="55" t="s">
        <v>1413</v>
      </c>
      <c r="J242" s="57" t="s">
        <v>75</v>
      </c>
      <c r="K242" s="55" t="s">
        <v>126</v>
      </c>
      <c r="L242" s="63">
        <v>1750000</v>
      </c>
      <c r="M242" s="63">
        <v>1258277.669525953</v>
      </c>
      <c r="N242" s="63">
        <v>1750000.0000000002</v>
      </c>
      <c r="O242" s="63">
        <v>1276841.02</v>
      </c>
      <c r="P242" s="63">
        <v>1276841.02</v>
      </c>
      <c r="Q242" s="63">
        <v>1775817.7222058</v>
      </c>
      <c r="R242" s="63">
        <v>0</v>
      </c>
      <c r="S242" s="63">
        <v>0</v>
      </c>
      <c r="T242" s="63">
        <v>0</v>
      </c>
      <c r="U242" s="55" t="s">
        <v>75</v>
      </c>
      <c r="V242" s="55" t="s">
        <v>1414</v>
      </c>
      <c r="W242" s="55" t="s">
        <v>75</v>
      </c>
      <c r="X242" s="55" t="s">
        <v>1415</v>
      </c>
      <c r="Y242" s="55" t="s">
        <v>75</v>
      </c>
      <c r="Z242" s="55">
        <v>999</v>
      </c>
      <c r="AA242" s="55" t="s">
        <v>1416</v>
      </c>
      <c r="AB242" s="55">
        <v>999</v>
      </c>
      <c r="AC242" s="55" t="s">
        <v>1417</v>
      </c>
      <c r="AD242" s="55">
        <v>0</v>
      </c>
      <c r="AE242" s="55" t="s">
        <v>78</v>
      </c>
      <c r="AF242" s="55">
        <v>2</v>
      </c>
      <c r="AG242" s="55" t="s">
        <v>81</v>
      </c>
      <c r="AH242" s="55" t="s">
        <v>78</v>
      </c>
      <c r="AI242" s="55" t="s">
        <v>75</v>
      </c>
      <c r="AJ242" s="55" t="s">
        <v>1418</v>
      </c>
      <c r="AK242" s="55" t="s">
        <v>121</v>
      </c>
      <c r="AL242" s="55" t="s">
        <v>81</v>
      </c>
      <c r="AM242" s="55" t="s">
        <v>75</v>
      </c>
      <c r="AN242" s="55" t="s">
        <v>78</v>
      </c>
      <c r="AO242" s="60" t="s">
        <v>75</v>
      </c>
      <c r="AP242" s="58" t="s">
        <v>126</v>
      </c>
      <c r="AQ242" s="55" t="s">
        <v>256</v>
      </c>
    </row>
    <row r="243" spans="1:43" ht="16.2" hidden="1" x14ac:dyDescent="0.45">
      <c r="A243" s="55" t="s">
        <v>1419</v>
      </c>
      <c r="B243" s="55" t="s">
        <v>1420</v>
      </c>
      <c r="C243" s="55">
        <v>2019</v>
      </c>
      <c r="D243" s="55" t="s">
        <v>87</v>
      </c>
      <c r="E243" s="55" t="s">
        <v>1421</v>
      </c>
      <c r="F243" s="57" t="s">
        <v>1848</v>
      </c>
      <c r="G243" s="55" t="s">
        <v>593</v>
      </c>
      <c r="H243" s="55" t="s">
        <v>101</v>
      </c>
      <c r="I243" s="55" t="s">
        <v>676</v>
      </c>
      <c r="J243" s="57" t="s">
        <v>81</v>
      </c>
      <c r="K243" s="55" t="s">
        <v>126</v>
      </c>
      <c r="L243" s="63">
        <v>49000000</v>
      </c>
      <c r="M243" s="63">
        <v>35231774.746726684</v>
      </c>
      <c r="N243" s="63">
        <v>49000000.000000007</v>
      </c>
      <c r="O243" s="63">
        <v>15000000</v>
      </c>
      <c r="P243" s="63">
        <v>15000000</v>
      </c>
      <c r="Q243" s="63">
        <v>20861850</v>
      </c>
      <c r="R243" s="63">
        <v>12000000</v>
      </c>
      <c r="S243" s="63">
        <v>12000000</v>
      </c>
      <c r="T243" s="63">
        <v>16689480</v>
      </c>
      <c r="U243" s="55" t="s">
        <v>81</v>
      </c>
      <c r="V243" s="55" t="s">
        <v>78</v>
      </c>
      <c r="W243" s="55" t="s">
        <v>81</v>
      </c>
      <c r="X243" s="55" t="s">
        <v>1422</v>
      </c>
      <c r="Y243" s="55" t="s">
        <v>81</v>
      </c>
      <c r="Z243" s="55">
        <v>0</v>
      </c>
      <c r="AA243" s="55" t="s">
        <v>78</v>
      </c>
      <c r="AB243" s="55">
        <v>0</v>
      </c>
      <c r="AC243" s="55" t="s">
        <v>78</v>
      </c>
      <c r="AD243" s="55">
        <v>0</v>
      </c>
      <c r="AE243" s="55" t="s">
        <v>78</v>
      </c>
      <c r="AF243" s="55">
        <v>0</v>
      </c>
      <c r="AG243" s="55" t="s">
        <v>81</v>
      </c>
      <c r="AH243" s="55" t="s">
        <v>78</v>
      </c>
      <c r="AI243" s="55" t="s">
        <v>81</v>
      </c>
      <c r="AJ243" s="55" t="s">
        <v>1423</v>
      </c>
      <c r="AK243" s="55" t="s">
        <v>397</v>
      </c>
      <c r="AL243" s="55" t="s">
        <v>75</v>
      </c>
      <c r="AM243" s="55" t="s">
        <v>81</v>
      </c>
      <c r="AN243" s="55" t="s">
        <v>78</v>
      </c>
      <c r="AO243" s="60" t="s">
        <v>81</v>
      </c>
      <c r="AP243" s="58" t="s">
        <v>126</v>
      </c>
      <c r="AQ243" s="55" t="s">
        <v>101</v>
      </c>
    </row>
    <row r="244" spans="1:43" ht="16.2" hidden="1" x14ac:dyDescent="0.45">
      <c r="A244" s="55" t="s">
        <v>1424</v>
      </c>
      <c r="B244" s="55" t="s">
        <v>1425</v>
      </c>
      <c r="C244" s="55">
        <v>2019</v>
      </c>
      <c r="D244" s="55" t="s">
        <v>482</v>
      </c>
      <c r="E244" s="55" t="s">
        <v>78</v>
      </c>
      <c r="F244" s="57" t="s">
        <v>527</v>
      </c>
      <c r="G244" s="55" t="s">
        <v>228</v>
      </c>
      <c r="H244" s="55" t="s">
        <v>228</v>
      </c>
      <c r="I244" s="55" t="s">
        <v>676</v>
      </c>
      <c r="J244" s="57" t="s">
        <v>81</v>
      </c>
      <c r="K244" s="55" t="s">
        <v>74</v>
      </c>
      <c r="L244" s="63">
        <v>14590000</v>
      </c>
      <c r="M244" s="63">
        <v>14590000</v>
      </c>
      <c r="N244" s="63">
        <v>20291626.099999998</v>
      </c>
      <c r="O244" s="63">
        <v>13030000</v>
      </c>
      <c r="P244" s="63">
        <v>13030000</v>
      </c>
      <c r="Q244" s="63">
        <v>18121993.699999999</v>
      </c>
      <c r="R244" s="63">
        <v>13030000</v>
      </c>
      <c r="S244" s="63">
        <v>13030000</v>
      </c>
      <c r="T244" s="63">
        <v>18121993.699999999</v>
      </c>
      <c r="U244" s="55" t="s">
        <v>75</v>
      </c>
      <c r="V244" s="55" t="s">
        <v>1426</v>
      </c>
      <c r="W244" s="55" t="s">
        <v>75</v>
      </c>
      <c r="X244" s="55" t="s">
        <v>1427</v>
      </c>
      <c r="Y244" s="55" t="s">
        <v>75</v>
      </c>
      <c r="Z244" s="55">
        <v>999</v>
      </c>
      <c r="AA244" s="55" t="s">
        <v>1428</v>
      </c>
      <c r="AB244" s="55">
        <v>999</v>
      </c>
      <c r="AC244" s="55" t="s">
        <v>1429</v>
      </c>
      <c r="AD244" s="55">
        <v>999</v>
      </c>
      <c r="AE244" s="55" t="s">
        <v>1430</v>
      </c>
      <c r="AF244" s="55">
        <v>3</v>
      </c>
      <c r="AG244" s="55" t="s">
        <v>81</v>
      </c>
      <c r="AH244" s="55" t="s">
        <v>78</v>
      </c>
      <c r="AI244" s="55" t="s">
        <v>75</v>
      </c>
      <c r="AJ244" s="55" t="s">
        <v>1431</v>
      </c>
      <c r="AK244" s="55" t="s">
        <v>121</v>
      </c>
      <c r="AL244" s="55" t="s">
        <v>75</v>
      </c>
      <c r="AM244" s="55" t="s">
        <v>81</v>
      </c>
      <c r="AN244" s="55" t="s">
        <v>78</v>
      </c>
      <c r="AO244" s="60" t="s">
        <v>75</v>
      </c>
      <c r="AP244" s="58" t="s">
        <v>74</v>
      </c>
      <c r="AQ244" s="55" t="s">
        <v>228</v>
      </c>
    </row>
    <row r="245" spans="1:43" ht="13.2" hidden="1" x14ac:dyDescent="0.25">
      <c r="A245" s="90" t="s">
        <v>1432</v>
      </c>
      <c r="B245" s="90" t="s">
        <v>1433</v>
      </c>
      <c r="C245" s="90">
        <v>2019</v>
      </c>
      <c r="D245" s="90" t="s">
        <v>433</v>
      </c>
      <c r="E245" s="90" t="s">
        <v>78</v>
      </c>
      <c r="F245" s="90" t="s">
        <v>564</v>
      </c>
      <c r="G245" s="90" t="s">
        <v>228</v>
      </c>
      <c r="H245" s="90" t="s">
        <v>228</v>
      </c>
      <c r="I245" s="90" t="s">
        <v>679</v>
      </c>
      <c r="J245" s="90" t="s">
        <v>75</v>
      </c>
      <c r="K245" s="90" t="s">
        <v>74</v>
      </c>
      <c r="L245" s="92">
        <v>49066000</v>
      </c>
      <c r="M245" s="92">
        <v>49066000</v>
      </c>
      <c r="N245" s="92">
        <v>68240502.140000001</v>
      </c>
      <c r="O245" s="92">
        <v>4000000</v>
      </c>
      <c r="P245" s="92">
        <v>4000000</v>
      </c>
      <c r="Q245" s="92">
        <v>5563160</v>
      </c>
      <c r="R245" s="92">
        <v>0</v>
      </c>
      <c r="S245" s="92">
        <v>0</v>
      </c>
      <c r="T245" s="92">
        <v>0</v>
      </c>
      <c r="U245" s="90" t="s">
        <v>75</v>
      </c>
      <c r="V245" s="90" t="s">
        <v>1434</v>
      </c>
      <c r="W245" s="90" t="s">
        <v>75</v>
      </c>
      <c r="X245" s="90" t="s">
        <v>1435</v>
      </c>
      <c r="Y245" s="90" t="s">
        <v>75</v>
      </c>
      <c r="Z245" s="90">
        <v>999</v>
      </c>
      <c r="AA245" s="90" t="s">
        <v>1436</v>
      </c>
      <c r="AB245" s="90">
        <v>999</v>
      </c>
      <c r="AC245" s="90" t="s">
        <v>1437</v>
      </c>
      <c r="AD245" s="90">
        <v>0</v>
      </c>
      <c r="AE245" s="90" t="s">
        <v>78</v>
      </c>
      <c r="AF245" s="90">
        <v>3</v>
      </c>
      <c r="AG245" s="90" t="s">
        <v>81</v>
      </c>
      <c r="AH245" s="90" t="s">
        <v>78</v>
      </c>
      <c r="AI245" s="90" t="s">
        <v>75</v>
      </c>
      <c r="AJ245" s="90" t="s">
        <v>1438</v>
      </c>
      <c r="AK245" s="90" t="s">
        <v>132</v>
      </c>
      <c r="AL245" s="90" t="s">
        <v>75</v>
      </c>
      <c r="AM245" s="90" t="s">
        <v>75</v>
      </c>
      <c r="AN245" s="90" t="s">
        <v>78</v>
      </c>
      <c r="AO245" s="79" t="s">
        <v>75</v>
      </c>
      <c r="AP245" s="94" t="s">
        <v>74</v>
      </c>
      <c r="AQ245" s="90" t="s">
        <v>228</v>
      </c>
    </row>
    <row r="246" spans="1:43" ht="13.2" hidden="1" x14ac:dyDescent="0.25">
      <c r="A246" s="90" t="s">
        <v>1439</v>
      </c>
      <c r="B246" s="90" t="s">
        <v>1440</v>
      </c>
      <c r="C246" s="90">
        <v>2019</v>
      </c>
      <c r="D246" s="90" t="s">
        <v>289</v>
      </c>
      <c r="E246" s="90" t="s">
        <v>78</v>
      </c>
      <c r="F246" s="90" t="s">
        <v>492</v>
      </c>
      <c r="G246" s="90" t="s">
        <v>115</v>
      </c>
      <c r="H246" s="90" t="s">
        <v>115</v>
      </c>
      <c r="I246" s="90" t="s">
        <v>679</v>
      </c>
      <c r="J246" s="90" t="s">
        <v>81</v>
      </c>
      <c r="K246" s="90" t="s">
        <v>126</v>
      </c>
      <c r="L246" s="92">
        <v>115360000</v>
      </c>
      <c r="M246" s="92">
        <v>82945663.975150809</v>
      </c>
      <c r="N246" s="92">
        <v>115359999.99999999</v>
      </c>
      <c r="O246" s="92">
        <v>60000000</v>
      </c>
      <c r="P246" s="92">
        <v>60000000</v>
      </c>
      <c r="Q246" s="92">
        <v>83447400</v>
      </c>
      <c r="R246" s="92">
        <v>60000000</v>
      </c>
      <c r="S246" s="92">
        <v>60000000</v>
      </c>
      <c r="T246" s="92">
        <v>83447400</v>
      </c>
      <c r="U246" s="90" t="s">
        <v>75</v>
      </c>
      <c r="V246" s="90" t="s">
        <v>1441</v>
      </c>
      <c r="W246" s="90" t="s">
        <v>75</v>
      </c>
      <c r="X246" s="90" t="s">
        <v>1442</v>
      </c>
      <c r="Y246" s="90" t="s">
        <v>75</v>
      </c>
      <c r="Z246" s="90">
        <v>999</v>
      </c>
      <c r="AA246" s="90" t="s">
        <v>1443</v>
      </c>
      <c r="AB246" s="90">
        <v>999</v>
      </c>
      <c r="AC246" s="90" t="s">
        <v>1444</v>
      </c>
      <c r="AD246" s="90">
        <v>0</v>
      </c>
      <c r="AE246" s="90" t="s">
        <v>78</v>
      </c>
      <c r="AF246" s="90">
        <v>3</v>
      </c>
      <c r="AG246" s="90" t="s">
        <v>81</v>
      </c>
      <c r="AH246" s="90" t="s">
        <v>78</v>
      </c>
      <c r="AI246" s="90" t="s">
        <v>75</v>
      </c>
      <c r="AJ246" s="90" t="s">
        <v>1445</v>
      </c>
      <c r="AK246" s="90" t="s">
        <v>1446</v>
      </c>
      <c r="AL246" s="90" t="s">
        <v>75</v>
      </c>
      <c r="AM246" s="90" t="s">
        <v>75</v>
      </c>
      <c r="AN246" s="90" t="s">
        <v>78</v>
      </c>
      <c r="AO246" s="79" t="s">
        <v>75</v>
      </c>
      <c r="AP246" s="94" t="s">
        <v>126</v>
      </c>
      <c r="AQ246" s="90" t="s">
        <v>115</v>
      </c>
    </row>
    <row r="247" spans="1:43" ht="13.2" hidden="1" x14ac:dyDescent="0.25">
      <c r="A247" s="90" t="s">
        <v>1447</v>
      </c>
      <c r="B247" s="90" t="s">
        <v>1448</v>
      </c>
      <c r="C247" s="90">
        <v>2019</v>
      </c>
      <c r="D247" s="90" t="s">
        <v>501</v>
      </c>
      <c r="E247" s="90" t="s">
        <v>78</v>
      </c>
      <c r="F247" s="90" t="s">
        <v>551</v>
      </c>
      <c r="G247" s="90" t="s">
        <v>587</v>
      </c>
      <c r="H247" s="90" t="s">
        <v>256</v>
      </c>
      <c r="I247" s="90" t="s">
        <v>679</v>
      </c>
      <c r="J247" s="90" t="s">
        <v>75</v>
      </c>
      <c r="K247" s="90" t="s">
        <v>74</v>
      </c>
      <c r="L247" s="92">
        <v>27490000</v>
      </c>
      <c r="M247" s="92">
        <v>27490000</v>
      </c>
      <c r="N247" s="92">
        <v>38232817.100000001</v>
      </c>
      <c r="O247" s="92">
        <v>1928759.57</v>
      </c>
      <c r="P247" s="92">
        <v>1928759.57</v>
      </c>
      <c r="Q247" s="92">
        <v>2682499.5223603002</v>
      </c>
      <c r="R247" s="92">
        <v>0</v>
      </c>
      <c r="S247" s="92">
        <v>0</v>
      </c>
      <c r="T247" s="92">
        <v>0</v>
      </c>
      <c r="U247" s="90" t="s">
        <v>75</v>
      </c>
      <c r="V247" s="90" t="s">
        <v>1449</v>
      </c>
      <c r="W247" s="90" t="s">
        <v>75</v>
      </c>
      <c r="X247" s="90" t="s">
        <v>1450</v>
      </c>
      <c r="Y247" s="90" t="s">
        <v>75</v>
      </c>
      <c r="Z247" s="90">
        <v>999</v>
      </c>
      <c r="AA247" s="90" t="s">
        <v>1451</v>
      </c>
      <c r="AB247" s="90">
        <v>999</v>
      </c>
      <c r="AC247" s="90" t="s">
        <v>1452</v>
      </c>
      <c r="AD247" s="90">
        <v>999</v>
      </c>
      <c r="AE247" s="90" t="s">
        <v>1453</v>
      </c>
      <c r="AF247" s="90">
        <v>4</v>
      </c>
      <c r="AG247" s="90" t="s">
        <v>81</v>
      </c>
      <c r="AH247" s="90" t="s">
        <v>78</v>
      </c>
      <c r="AI247" s="90" t="s">
        <v>75</v>
      </c>
      <c r="AJ247" s="90" t="s">
        <v>1454</v>
      </c>
      <c r="AK247" s="90" t="s">
        <v>121</v>
      </c>
      <c r="AL247" s="90" t="s">
        <v>75</v>
      </c>
      <c r="AM247" s="90" t="s">
        <v>75</v>
      </c>
      <c r="AN247" s="90" t="s">
        <v>78</v>
      </c>
      <c r="AO247" s="79" t="s">
        <v>75</v>
      </c>
      <c r="AP247" s="94" t="s">
        <v>74</v>
      </c>
      <c r="AQ247" s="90" t="s">
        <v>256</v>
      </c>
    </row>
    <row r="248" spans="1:43" ht="13.2" hidden="1" x14ac:dyDescent="0.25">
      <c r="A248" s="90" t="s">
        <v>1455</v>
      </c>
      <c r="B248" s="90" t="s">
        <v>1456</v>
      </c>
      <c r="C248" s="90">
        <v>2019</v>
      </c>
      <c r="D248" s="90" t="s">
        <v>87</v>
      </c>
      <c r="E248" s="90" t="s">
        <v>1457</v>
      </c>
      <c r="F248" s="90" t="s">
        <v>1848</v>
      </c>
      <c r="G248" s="90" t="s">
        <v>589</v>
      </c>
      <c r="H248" s="90" t="s">
        <v>256</v>
      </c>
      <c r="I248" s="90" t="s">
        <v>679</v>
      </c>
      <c r="J248" s="90" t="s">
        <v>75</v>
      </c>
      <c r="K248" s="90" t="s">
        <v>126</v>
      </c>
      <c r="L248" s="92">
        <v>17423316</v>
      </c>
      <c r="M248" s="92">
        <v>12527639.686796714</v>
      </c>
      <c r="N248" s="92">
        <v>17423316</v>
      </c>
      <c r="O248" s="92">
        <v>4664259.4000000004</v>
      </c>
      <c r="P248" s="92">
        <v>4664259.4000000004</v>
      </c>
      <c r="Q248" s="92">
        <v>6487005.3309260001</v>
      </c>
      <c r="R248" s="92">
        <v>0</v>
      </c>
      <c r="S248" s="92">
        <v>0</v>
      </c>
      <c r="T248" s="92">
        <v>0</v>
      </c>
      <c r="U248" s="90" t="s">
        <v>75</v>
      </c>
      <c r="V248" s="90" t="s">
        <v>1458</v>
      </c>
      <c r="W248" s="90" t="s">
        <v>75</v>
      </c>
      <c r="X248" s="90" t="s">
        <v>1459</v>
      </c>
      <c r="Y248" s="90" t="s">
        <v>81</v>
      </c>
      <c r="Z248" s="90">
        <v>0</v>
      </c>
      <c r="AA248" s="90" t="s">
        <v>78</v>
      </c>
      <c r="AB248" s="90">
        <v>0</v>
      </c>
      <c r="AC248" s="90" t="s">
        <v>78</v>
      </c>
      <c r="AD248" s="90">
        <v>0</v>
      </c>
      <c r="AE248" s="90" t="s">
        <v>78</v>
      </c>
      <c r="AF248" s="90">
        <v>0</v>
      </c>
      <c r="AG248" s="90" t="s">
        <v>81</v>
      </c>
      <c r="AH248" s="90" t="s">
        <v>78</v>
      </c>
      <c r="AI248" s="90" t="s">
        <v>81</v>
      </c>
      <c r="AJ248" s="90" t="s">
        <v>1423</v>
      </c>
      <c r="AK248" s="90" t="s">
        <v>121</v>
      </c>
      <c r="AL248" s="90" t="s">
        <v>81</v>
      </c>
      <c r="AM248" s="90" t="s">
        <v>81</v>
      </c>
      <c r="AN248" s="90" t="s">
        <v>78</v>
      </c>
      <c r="AO248" s="79" t="s">
        <v>81</v>
      </c>
      <c r="AP248" s="94" t="s">
        <v>126</v>
      </c>
      <c r="AQ248" s="90" t="s">
        <v>256</v>
      </c>
    </row>
    <row r="249" spans="1:43" ht="13.2" hidden="1" x14ac:dyDescent="0.25">
      <c r="A249" s="90" t="s">
        <v>1460</v>
      </c>
      <c r="B249" s="90" t="s">
        <v>1461</v>
      </c>
      <c r="C249" s="90">
        <v>2019</v>
      </c>
      <c r="D249" s="90" t="s">
        <v>282</v>
      </c>
      <c r="E249" s="90" t="s">
        <v>78</v>
      </c>
      <c r="F249" s="90" t="s">
        <v>553</v>
      </c>
      <c r="G249" s="90" t="s">
        <v>228</v>
      </c>
      <c r="H249" s="90" t="s">
        <v>228</v>
      </c>
      <c r="I249" s="90" t="s">
        <v>679</v>
      </c>
      <c r="J249" s="90" t="s">
        <v>81</v>
      </c>
      <c r="K249" s="90" t="s">
        <v>74</v>
      </c>
      <c r="L249" s="92">
        <v>92000000</v>
      </c>
      <c r="M249" s="92">
        <v>92000000</v>
      </c>
      <c r="N249" s="92">
        <v>127952680</v>
      </c>
      <c r="O249" s="92">
        <v>92000000</v>
      </c>
      <c r="P249" s="92">
        <v>92000000</v>
      </c>
      <c r="Q249" s="92">
        <v>127952680</v>
      </c>
      <c r="R249" s="92">
        <v>82000000</v>
      </c>
      <c r="S249" s="92">
        <v>82000000</v>
      </c>
      <c r="T249" s="92">
        <v>114044780</v>
      </c>
      <c r="U249" s="90" t="s">
        <v>75</v>
      </c>
      <c r="V249" s="90" t="s">
        <v>1462</v>
      </c>
      <c r="W249" s="90" t="s">
        <v>75</v>
      </c>
      <c r="X249" s="90" t="s">
        <v>1463</v>
      </c>
      <c r="Y249" s="90" t="s">
        <v>75</v>
      </c>
      <c r="Z249" s="90">
        <v>0</v>
      </c>
      <c r="AA249" s="90" t="s">
        <v>78</v>
      </c>
      <c r="AB249" s="90">
        <v>999</v>
      </c>
      <c r="AC249" s="90" t="s">
        <v>1464</v>
      </c>
      <c r="AD249" s="90">
        <v>0</v>
      </c>
      <c r="AE249" s="90" t="s">
        <v>78</v>
      </c>
      <c r="AF249" s="90">
        <v>1</v>
      </c>
      <c r="AG249" s="90" t="s">
        <v>81</v>
      </c>
      <c r="AH249" s="90" t="s">
        <v>78</v>
      </c>
      <c r="AI249" s="90" t="s">
        <v>81</v>
      </c>
      <c r="AJ249" s="90" t="s">
        <v>1423</v>
      </c>
      <c r="AK249" s="90" t="s">
        <v>132</v>
      </c>
      <c r="AL249" s="90" t="s">
        <v>75</v>
      </c>
      <c r="AM249" s="90" t="s">
        <v>81</v>
      </c>
      <c r="AN249" s="90" t="s">
        <v>78</v>
      </c>
      <c r="AO249" s="79" t="s">
        <v>75</v>
      </c>
      <c r="AP249" s="94" t="s">
        <v>74</v>
      </c>
      <c r="AQ249" s="90" t="s">
        <v>228</v>
      </c>
    </row>
    <row r="250" spans="1:43" ht="16.2" hidden="1" x14ac:dyDescent="0.45">
      <c r="A250" s="55" t="s">
        <v>1465</v>
      </c>
      <c r="B250" s="55" t="s">
        <v>1466</v>
      </c>
      <c r="C250" s="55">
        <v>2019</v>
      </c>
      <c r="D250" s="55" t="s">
        <v>289</v>
      </c>
      <c r="E250" s="55" t="s">
        <v>78</v>
      </c>
      <c r="F250" s="57" t="s">
        <v>492</v>
      </c>
      <c r="G250" s="55" t="s">
        <v>228</v>
      </c>
      <c r="H250" s="55" t="s">
        <v>228</v>
      </c>
      <c r="I250" s="55" t="s">
        <v>676</v>
      </c>
      <c r="J250" s="57" t="s">
        <v>81</v>
      </c>
      <c r="K250" s="55" t="s">
        <v>74</v>
      </c>
      <c r="L250" s="63">
        <v>21434370</v>
      </c>
      <c r="M250" s="63">
        <v>21434370</v>
      </c>
      <c r="N250" s="63">
        <v>29810707.452300001</v>
      </c>
      <c r="O250" s="63">
        <v>20000000</v>
      </c>
      <c r="P250" s="63">
        <v>20000000</v>
      </c>
      <c r="Q250" s="63">
        <v>27815800</v>
      </c>
      <c r="R250" s="63">
        <v>20000000</v>
      </c>
      <c r="S250" s="63">
        <v>20000000</v>
      </c>
      <c r="T250" s="63">
        <v>27815800</v>
      </c>
      <c r="U250" s="55" t="s">
        <v>75</v>
      </c>
      <c r="V250" s="55" t="s">
        <v>1467</v>
      </c>
      <c r="W250" s="55" t="s">
        <v>75</v>
      </c>
      <c r="X250" s="55" t="s">
        <v>1468</v>
      </c>
      <c r="Y250" s="55" t="s">
        <v>75</v>
      </c>
      <c r="Z250" s="55">
        <v>999</v>
      </c>
      <c r="AA250" s="55" t="s">
        <v>1469</v>
      </c>
      <c r="AB250" s="55">
        <v>0</v>
      </c>
      <c r="AC250" s="55" t="s">
        <v>78</v>
      </c>
      <c r="AD250" s="55">
        <v>999</v>
      </c>
      <c r="AE250" s="55" t="s">
        <v>1470</v>
      </c>
      <c r="AF250" s="55">
        <v>3</v>
      </c>
      <c r="AG250" s="55" t="s">
        <v>81</v>
      </c>
      <c r="AH250" s="55" t="s">
        <v>78</v>
      </c>
      <c r="AI250" s="55" t="s">
        <v>75</v>
      </c>
      <c r="AJ250" s="55" t="s">
        <v>1471</v>
      </c>
      <c r="AK250" s="55" t="s">
        <v>121</v>
      </c>
      <c r="AL250" s="55" t="s">
        <v>75</v>
      </c>
      <c r="AM250" s="55" t="s">
        <v>75</v>
      </c>
      <c r="AN250" s="55" t="s">
        <v>78</v>
      </c>
      <c r="AO250" s="60" t="s">
        <v>75</v>
      </c>
      <c r="AP250" s="58" t="s">
        <v>74</v>
      </c>
      <c r="AQ250" s="55" t="s">
        <v>228</v>
      </c>
    </row>
    <row r="251" spans="1:43" ht="16.2" hidden="1" x14ac:dyDescent="0.45">
      <c r="A251" s="55" t="s">
        <v>1472</v>
      </c>
      <c r="B251" s="55" t="s">
        <v>1473</v>
      </c>
      <c r="C251" s="55">
        <v>2019</v>
      </c>
      <c r="D251" s="55" t="s">
        <v>124</v>
      </c>
      <c r="E251" s="55" t="s">
        <v>78</v>
      </c>
      <c r="F251" s="57" t="s">
        <v>550</v>
      </c>
      <c r="G251" s="55" t="s">
        <v>585</v>
      </c>
      <c r="H251" s="55" t="s">
        <v>228</v>
      </c>
      <c r="I251" s="55" t="s">
        <v>689</v>
      </c>
      <c r="J251" s="57" t="s">
        <v>81</v>
      </c>
      <c r="K251" s="55" t="s">
        <v>104</v>
      </c>
      <c r="L251" s="63">
        <v>100000000</v>
      </c>
      <c r="M251" s="63">
        <v>82356041.63921465</v>
      </c>
      <c r="N251" s="63">
        <v>114539959.15140334</v>
      </c>
      <c r="O251" s="63">
        <v>80951995</v>
      </c>
      <c r="P251" s="63">
        <v>80951995</v>
      </c>
      <c r="Q251" s="63">
        <v>112587225.12605</v>
      </c>
      <c r="R251" s="63">
        <v>80951995</v>
      </c>
      <c r="S251" s="63">
        <v>80951995</v>
      </c>
      <c r="T251" s="63">
        <v>112587225.12605</v>
      </c>
      <c r="U251" s="55" t="s">
        <v>81</v>
      </c>
      <c r="V251" s="55" t="s">
        <v>78</v>
      </c>
      <c r="W251" s="55" t="s">
        <v>81</v>
      </c>
      <c r="X251" s="55" t="s">
        <v>1474</v>
      </c>
      <c r="Y251" s="55" t="s">
        <v>81</v>
      </c>
      <c r="Z251" s="55">
        <v>0</v>
      </c>
      <c r="AA251" s="55" t="s">
        <v>78</v>
      </c>
      <c r="AB251" s="55">
        <v>0</v>
      </c>
      <c r="AC251" s="55" t="s">
        <v>78</v>
      </c>
      <c r="AD251" s="55">
        <v>0</v>
      </c>
      <c r="AE251" s="55" t="s">
        <v>78</v>
      </c>
      <c r="AF251" s="55">
        <v>0</v>
      </c>
      <c r="AG251" s="55" t="s">
        <v>81</v>
      </c>
      <c r="AH251" s="55" t="s">
        <v>78</v>
      </c>
      <c r="AI251" s="55" t="s">
        <v>81</v>
      </c>
      <c r="AJ251" s="55" t="s">
        <v>1423</v>
      </c>
      <c r="AK251" s="55" t="s">
        <v>397</v>
      </c>
      <c r="AL251" s="55" t="s">
        <v>75</v>
      </c>
      <c r="AM251" s="55" t="s">
        <v>81</v>
      </c>
      <c r="AN251" s="55" t="s">
        <v>78</v>
      </c>
      <c r="AO251" s="60" t="s">
        <v>81</v>
      </c>
      <c r="AP251" s="58" t="s">
        <v>104</v>
      </c>
      <c r="AQ251" s="55" t="s">
        <v>228</v>
      </c>
    </row>
    <row r="252" spans="1:43" ht="13.2" hidden="1" x14ac:dyDescent="0.25">
      <c r="A252" s="90" t="s">
        <v>1475</v>
      </c>
      <c r="B252" s="90" t="s">
        <v>1476</v>
      </c>
      <c r="C252" s="90">
        <v>2019</v>
      </c>
      <c r="D252" s="90" t="s">
        <v>396</v>
      </c>
      <c r="E252" s="90" t="s">
        <v>78</v>
      </c>
      <c r="F252" s="90" t="s">
        <v>545</v>
      </c>
      <c r="G252" s="90" t="s">
        <v>587</v>
      </c>
      <c r="H252" s="90" t="s">
        <v>256</v>
      </c>
      <c r="I252" s="90" t="s">
        <v>679</v>
      </c>
      <c r="J252" s="90" t="s">
        <v>75</v>
      </c>
      <c r="K252" s="90" t="s">
        <v>74</v>
      </c>
      <c r="L252" s="92">
        <v>3143904</v>
      </c>
      <c r="M252" s="92">
        <v>3143904</v>
      </c>
      <c r="N252" s="92">
        <v>4372510.2441600002</v>
      </c>
      <c r="O252" s="92">
        <v>3222170.34</v>
      </c>
      <c r="P252" s="92">
        <v>3222170.34</v>
      </c>
      <c r="Q252" s="92">
        <v>4481362.2871685997</v>
      </c>
      <c r="R252" s="92">
        <v>0</v>
      </c>
      <c r="S252" s="92">
        <v>0</v>
      </c>
      <c r="T252" s="92">
        <v>0</v>
      </c>
      <c r="U252" s="90" t="s">
        <v>75</v>
      </c>
      <c r="V252" s="90" t="s">
        <v>1477</v>
      </c>
      <c r="W252" s="90" t="s">
        <v>75</v>
      </c>
      <c r="X252" s="90" t="s">
        <v>1478</v>
      </c>
      <c r="Y252" s="90" t="s">
        <v>75</v>
      </c>
      <c r="Z252" s="90">
        <v>999</v>
      </c>
      <c r="AA252" s="90" t="s">
        <v>1479</v>
      </c>
      <c r="AB252" s="90">
        <v>999</v>
      </c>
      <c r="AC252" s="90" t="s">
        <v>1480</v>
      </c>
      <c r="AD252" s="90">
        <v>999</v>
      </c>
      <c r="AE252" s="90" t="s">
        <v>1481</v>
      </c>
      <c r="AF252" s="90">
        <v>3</v>
      </c>
      <c r="AG252" s="90" t="s">
        <v>81</v>
      </c>
      <c r="AH252" s="90" t="s">
        <v>78</v>
      </c>
      <c r="AI252" s="90" t="s">
        <v>75</v>
      </c>
      <c r="AJ252" s="90" t="s">
        <v>1482</v>
      </c>
      <c r="AK252" s="90" t="s">
        <v>121</v>
      </c>
      <c r="AL252" s="90" t="s">
        <v>75</v>
      </c>
      <c r="AM252" s="90" t="s">
        <v>75</v>
      </c>
      <c r="AN252" s="90" t="s">
        <v>78</v>
      </c>
      <c r="AO252" s="79" t="s">
        <v>75</v>
      </c>
      <c r="AP252" s="94" t="s">
        <v>74</v>
      </c>
      <c r="AQ252" s="90" t="s">
        <v>256</v>
      </c>
    </row>
    <row r="253" spans="1:43" ht="13.2" hidden="1" x14ac:dyDescent="0.25">
      <c r="A253" s="90" t="s">
        <v>1483</v>
      </c>
      <c r="B253" s="90" t="s">
        <v>1484</v>
      </c>
      <c r="C253" s="90">
        <v>2019</v>
      </c>
      <c r="D253" s="90" t="s">
        <v>500</v>
      </c>
      <c r="E253" s="90" t="s">
        <v>78</v>
      </c>
      <c r="F253" s="90" t="s">
        <v>547</v>
      </c>
      <c r="G253" s="90" t="s">
        <v>595</v>
      </c>
      <c r="H253" s="90" t="s">
        <v>101</v>
      </c>
      <c r="I253" s="90" t="s">
        <v>679</v>
      </c>
      <c r="J253" s="90" t="s">
        <v>75</v>
      </c>
      <c r="K253" s="90" t="s">
        <v>74</v>
      </c>
      <c r="L253" s="92">
        <v>3290000</v>
      </c>
      <c r="M253" s="92">
        <v>3290000</v>
      </c>
      <c r="N253" s="92">
        <v>4575699.0999999996</v>
      </c>
      <c r="O253" s="92">
        <v>0</v>
      </c>
      <c r="P253" s="92">
        <v>0</v>
      </c>
      <c r="Q253" s="92">
        <v>0</v>
      </c>
      <c r="R253" s="92">
        <v>0</v>
      </c>
      <c r="S253" s="92">
        <v>0</v>
      </c>
      <c r="T253" s="92">
        <v>0</v>
      </c>
      <c r="U253" s="90" t="s">
        <v>81</v>
      </c>
      <c r="V253" s="90" t="s">
        <v>78</v>
      </c>
      <c r="W253" s="90" t="s">
        <v>81</v>
      </c>
      <c r="X253" s="90" t="s">
        <v>1409</v>
      </c>
      <c r="Y253" s="90" t="s">
        <v>81</v>
      </c>
      <c r="Z253" s="90">
        <v>0</v>
      </c>
      <c r="AA253" s="90" t="s">
        <v>78</v>
      </c>
      <c r="AB253" s="90">
        <v>0</v>
      </c>
      <c r="AC253" s="90" t="s">
        <v>78</v>
      </c>
      <c r="AD253" s="90">
        <v>0</v>
      </c>
      <c r="AE253" s="90" t="s">
        <v>78</v>
      </c>
      <c r="AF253" s="90">
        <v>0</v>
      </c>
      <c r="AG253" s="90" t="s">
        <v>81</v>
      </c>
      <c r="AH253" s="90" t="s">
        <v>78</v>
      </c>
      <c r="AI253" s="90" t="s">
        <v>81</v>
      </c>
      <c r="AJ253" s="90" t="s">
        <v>1423</v>
      </c>
      <c r="AK253" s="90" t="s">
        <v>286</v>
      </c>
      <c r="AL253" s="90" t="s">
        <v>75</v>
      </c>
      <c r="AM253" s="90" t="s">
        <v>81</v>
      </c>
      <c r="AN253" s="90" t="s">
        <v>78</v>
      </c>
      <c r="AO253" s="79" t="s">
        <v>81</v>
      </c>
      <c r="AP253" s="94" t="s">
        <v>74</v>
      </c>
      <c r="AQ253" s="90" t="s">
        <v>101</v>
      </c>
    </row>
    <row r="254" spans="1:43" ht="13.2" hidden="1" x14ac:dyDescent="0.25">
      <c r="A254" s="90" t="s">
        <v>1485</v>
      </c>
      <c r="B254" s="90" t="s">
        <v>1486</v>
      </c>
      <c r="C254" s="90">
        <v>2019</v>
      </c>
      <c r="D254" s="90" t="s">
        <v>195</v>
      </c>
      <c r="E254" s="90" t="s">
        <v>78</v>
      </c>
      <c r="F254" s="90" t="s">
        <v>536</v>
      </c>
      <c r="G254" s="90" t="s">
        <v>584</v>
      </c>
      <c r="H254" s="90" t="s">
        <v>228</v>
      </c>
      <c r="I254" s="90" t="s">
        <v>679</v>
      </c>
      <c r="J254" s="90" t="s">
        <v>75</v>
      </c>
      <c r="K254" s="90" t="s">
        <v>74</v>
      </c>
      <c r="L254" s="92">
        <v>61330000</v>
      </c>
      <c r="M254" s="92">
        <v>61330000</v>
      </c>
      <c r="N254" s="92">
        <v>85297150.700000003</v>
      </c>
      <c r="O254" s="92">
        <v>8175357</v>
      </c>
      <c r="P254" s="92">
        <v>8175357</v>
      </c>
      <c r="Q254" s="92">
        <v>11370204.76203</v>
      </c>
      <c r="R254" s="92">
        <v>0</v>
      </c>
      <c r="S254" s="92">
        <v>0</v>
      </c>
      <c r="T254" s="92">
        <v>0</v>
      </c>
      <c r="U254" s="90" t="s">
        <v>75</v>
      </c>
      <c r="V254" s="90" t="s">
        <v>1487</v>
      </c>
      <c r="W254" s="90" t="s">
        <v>75</v>
      </c>
      <c r="X254" s="90" t="s">
        <v>1488</v>
      </c>
      <c r="Y254" s="90" t="s">
        <v>75</v>
      </c>
      <c r="Z254" s="90">
        <v>0</v>
      </c>
      <c r="AA254" s="90" t="s">
        <v>78</v>
      </c>
      <c r="AB254" s="90">
        <v>999</v>
      </c>
      <c r="AC254" s="90" t="s">
        <v>1489</v>
      </c>
      <c r="AD254" s="90">
        <v>0</v>
      </c>
      <c r="AE254" s="90" t="s">
        <v>78</v>
      </c>
      <c r="AF254" s="90">
        <v>1</v>
      </c>
      <c r="AG254" s="90" t="s">
        <v>81</v>
      </c>
      <c r="AH254" s="90" t="s">
        <v>78</v>
      </c>
      <c r="AI254" s="90" t="s">
        <v>75</v>
      </c>
      <c r="AJ254" s="90" t="s">
        <v>1490</v>
      </c>
      <c r="AK254" s="90" t="s">
        <v>1491</v>
      </c>
      <c r="AL254" s="90" t="s">
        <v>75</v>
      </c>
      <c r="AM254" s="90" t="s">
        <v>81</v>
      </c>
      <c r="AN254" s="90" t="s">
        <v>78</v>
      </c>
      <c r="AO254" s="79" t="s">
        <v>75</v>
      </c>
      <c r="AP254" s="94" t="s">
        <v>74</v>
      </c>
      <c r="AQ254" s="90" t="s">
        <v>228</v>
      </c>
    </row>
    <row r="255" spans="1:43" ht="13.2" hidden="1" x14ac:dyDescent="0.25">
      <c r="A255" s="90" t="s">
        <v>1492</v>
      </c>
      <c r="B255" s="90" t="s">
        <v>1493</v>
      </c>
      <c r="C255" s="90">
        <v>2019</v>
      </c>
      <c r="D255" s="90" t="s">
        <v>179</v>
      </c>
      <c r="E255" s="90" t="s">
        <v>78</v>
      </c>
      <c r="F255" s="90" t="s">
        <v>561</v>
      </c>
      <c r="G255" s="90" t="s">
        <v>587</v>
      </c>
      <c r="H255" s="90" t="s">
        <v>256</v>
      </c>
      <c r="I255" s="90" t="s">
        <v>679</v>
      </c>
      <c r="J255" s="90" t="s">
        <v>81</v>
      </c>
      <c r="K255" s="90" t="s">
        <v>74</v>
      </c>
      <c r="L255" s="92">
        <v>19621111</v>
      </c>
      <c r="M255" s="92">
        <v>19621111</v>
      </c>
      <c r="N255" s="92">
        <v>27288844.967689998</v>
      </c>
      <c r="O255" s="92">
        <v>8000000</v>
      </c>
      <c r="P255" s="92">
        <v>8000000</v>
      </c>
      <c r="Q255" s="92">
        <v>11126320</v>
      </c>
      <c r="R255" s="92">
        <v>8000000</v>
      </c>
      <c r="S255" s="92">
        <v>8000000</v>
      </c>
      <c r="T255" s="92">
        <v>11126320</v>
      </c>
      <c r="U255" s="90" t="s">
        <v>75</v>
      </c>
      <c r="V255" s="90" t="s">
        <v>1494</v>
      </c>
      <c r="W255" s="90" t="s">
        <v>75</v>
      </c>
      <c r="X255" s="90" t="s">
        <v>1495</v>
      </c>
      <c r="Y255" s="90" t="s">
        <v>75</v>
      </c>
      <c r="Z255" s="90">
        <v>999</v>
      </c>
      <c r="AA255" s="90" t="s">
        <v>1496</v>
      </c>
      <c r="AB255" s="90">
        <v>0</v>
      </c>
      <c r="AC255" s="90" t="s">
        <v>78</v>
      </c>
      <c r="AD255" s="90">
        <v>999</v>
      </c>
      <c r="AE255" s="90" t="s">
        <v>1497</v>
      </c>
      <c r="AF255" s="90">
        <v>3</v>
      </c>
      <c r="AG255" s="90" t="s">
        <v>75</v>
      </c>
      <c r="AH255" s="90" t="s">
        <v>1498</v>
      </c>
      <c r="AI255" s="90" t="s">
        <v>75</v>
      </c>
      <c r="AJ255" s="90" t="s">
        <v>1499</v>
      </c>
      <c r="AK255" s="90" t="s">
        <v>121</v>
      </c>
      <c r="AL255" s="90" t="s">
        <v>75</v>
      </c>
      <c r="AM255" s="90" t="s">
        <v>75</v>
      </c>
      <c r="AN255" s="90" t="s">
        <v>78</v>
      </c>
      <c r="AO255" s="79" t="s">
        <v>75</v>
      </c>
      <c r="AP255" s="94" t="s">
        <v>74</v>
      </c>
      <c r="AQ255" s="90" t="s">
        <v>256</v>
      </c>
    </row>
    <row r="256" spans="1:43" ht="13.2" hidden="1" x14ac:dyDescent="0.25">
      <c r="A256" s="90" t="s">
        <v>1500</v>
      </c>
      <c r="B256" s="90" t="s">
        <v>1501</v>
      </c>
      <c r="C256" s="90">
        <v>2019</v>
      </c>
      <c r="D256" s="90" t="s">
        <v>495</v>
      </c>
      <c r="E256" s="90" t="s">
        <v>78</v>
      </c>
      <c r="F256" s="90" t="s">
        <v>541</v>
      </c>
      <c r="G256" s="90" t="s">
        <v>583</v>
      </c>
      <c r="H256" s="90" t="s">
        <v>228</v>
      </c>
      <c r="I256" s="90" t="s">
        <v>679</v>
      </c>
      <c r="J256" s="90" t="s">
        <v>81</v>
      </c>
      <c r="K256" s="90" t="s">
        <v>74</v>
      </c>
      <c r="L256" s="92">
        <v>56625000</v>
      </c>
      <c r="M256" s="92">
        <v>56625000</v>
      </c>
      <c r="N256" s="92">
        <v>78753483.75</v>
      </c>
      <c r="O256" s="92">
        <v>45445839</v>
      </c>
      <c r="P256" s="92">
        <v>45445839</v>
      </c>
      <c r="Q256" s="92">
        <v>63205618.422809996</v>
      </c>
      <c r="R256" s="92">
        <v>45445839</v>
      </c>
      <c r="S256" s="92">
        <v>45445839</v>
      </c>
      <c r="T256" s="92">
        <v>63205618.422809996</v>
      </c>
      <c r="U256" s="90" t="s">
        <v>75</v>
      </c>
      <c r="V256" s="90" t="s">
        <v>1502</v>
      </c>
      <c r="W256" s="90" t="s">
        <v>75</v>
      </c>
      <c r="X256" s="90" t="s">
        <v>1503</v>
      </c>
      <c r="Y256" s="90" t="s">
        <v>75</v>
      </c>
      <c r="Z256" s="90">
        <v>999</v>
      </c>
      <c r="AA256" s="90" t="s">
        <v>1504</v>
      </c>
      <c r="AB256" s="90">
        <v>999</v>
      </c>
      <c r="AC256" s="90" t="s">
        <v>1505</v>
      </c>
      <c r="AD256" s="90">
        <v>999</v>
      </c>
      <c r="AE256" s="90" t="s">
        <v>1506</v>
      </c>
      <c r="AF256" s="90">
        <v>5</v>
      </c>
      <c r="AG256" s="90" t="s">
        <v>75</v>
      </c>
      <c r="AH256" s="90" t="s">
        <v>1084</v>
      </c>
      <c r="AI256" s="90" t="s">
        <v>75</v>
      </c>
      <c r="AJ256" s="90" t="s">
        <v>1507</v>
      </c>
      <c r="AK256" s="90" t="s">
        <v>121</v>
      </c>
      <c r="AL256" s="90" t="s">
        <v>75</v>
      </c>
      <c r="AM256" s="90" t="s">
        <v>75</v>
      </c>
      <c r="AN256" s="90" t="s">
        <v>78</v>
      </c>
      <c r="AO256" s="79" t="s">
        <v>75</v>
      </c>
      <c r="AP256" s="94" t="s">
        <v>74</v>
      </c>
      <c r="AQ256" s="90" t="s">
        <v>228</v>
      </c>
    </row>
    <row r="257" spans="1:43" ht="13.2" hidden="1" x14ac:dyDescent="0.25">
      <c r="A257" s="90" t="s">
        <v>1508</v>
      </c>
      <c r="B257" s="90" t="s">
        <v>1509</v>
      </c>
      <c r="C257" s="90">
        <v>2019</v>
      </c>
      <c r="D257" s="90" t="s">
        <v>113</v>
      </c>
      <c r="E257" s="90" t="s">
        <v>78</v>
      </c>
      <c r="F257" s="90" t="s">
        <v>565</v>
      </c>
      <c r="G257" s="90" t="s">
        <v>228</v>
      </c>
      <c r="H257" s="90" t="s">
        <v>228</v>
      </c>
      <c r="I257" s="90" t="s">
        <v>679</v>
      </c>
      <c r="J257" s="90" t="s">
        <v>81</v>
      </c>
      <c r="K257" s="90" t="s">
        <v>104</v>
      </c>
      <c r="L257" s="92">
        <v>44840000</v>
      </c>
      <c r="M257" s="92">
        <v>36928449.071023852</v>
      </c>
      <c r="N257" s="92">
        <v>51359717.683489263</v>
      </c>
      <c r="O257" s="92">
        <v>20636363</v>
      </c>
      <c r="P257" s="92">
        <v>20636363</v>
      </c>
      <c r="Q257" s="92">
        <v>28700847.296769999</v>
      </c>
      <c r="R257" s="92">
        <v>20636363</v>
      </c>
      <c r="S257" s="92">
        <v>20636363</v>
      </c>
      <c r="T257" s="92">
        <v>28700847.296769999</v>
      </c>
      <c r="U257" s="90" t="s">
        <v>75</v>
      </c>
      <c r="V257" s="90" t="s">
        <v>1510</v>
      </c>
      <c r="W257" s="90" t="s">
        <v>75</v>
      </c>
      <c r="X257" s="90" t="s">
        <v>1511</v>
      </c>
      <c r="Y257" s="90" t="s">
        <v>81</v>
      </c>
      <c r="Z257" s="90">
        <v>0</v>
      </c>
      <c r="AA257" s="90" t="s">
        <v>78</v>
      </c>
      <c r="AB257" s="90">
        <v>0</v>
      </c>
      <c r="AC257" s="90" t="s">
        <v>78</v>
      </c>
      <c r="AD257" s="90">
        <v>0</v>
      </c>
      <c r="AE257" s="90" t="s">
        <v>78</v>
      </c>
      <c r="AF257" s="90">
        <v>0</v>
      </c>
      <c r="AG257" s="90" t="s">
        <v>81</v>
      </c>
      <c r="AH257" s="90" t="s">
        <v>78</v>
      </c>
      <c r="AI257" s="90" t="s">
        <v>81</v>
      </c>
      <c r="AJ257" s="90" t="s">
        <v>1423</v>
      </c>
      <c r="AK257" s="90" t="s">
        <v>132</v>
      </c>
      <c r="AL257" s="90" t="s">
        <v>75</v>
      </c>
      <c r="AM257" s="90" t="s">
        <v>81</v>
      </c>
      <c r="AN257" s="90" t="s">
        <v>78</v>
      </c>
      <c r="AO257" s="79" t="s">
        <v>81</v>
      </c>
      <c r="AP257" s="94" t="s">
        <v>104</v>
      </c>
      <c r="AQ257" s="90" t="s">
        <v>228</v>
      </c>
    </row>
    <row r="258" spans="1:43" ht="16.2" hidden="1" x14ac:dyDescent="0.45">
      <c r="A258" s="55" t="s">
        <v>1512</v>
      </c>
      <c r="B258" s="55" t="s">
        <v>1513</v>
      </c>
      <c r="C258" s="55">
        <v>2019</v>
      </c>
      <c r="D258" s="55" t="s">
        <v>184</v>
      </c>
      <c r="E258" s="55" t="s">
        <v>78</v>
      </c>
      <c r="F258" s="57" t="s">
        <v>554</v>
      </c>
      <c r="G258" s="55">
        <v>0</v>
      </c>
      <c r="H258" s="55" t="s">
        <v>228</v>
      </c>
      <c r="I258" s="55" t="s">
        <v>1514</v>
      </c>
      <c r="J258" s="57" t="s">
        <v>75</v>
      </c>
      <c r="K258" s="55" t="s">
        <v>104</v>
      </c>
      <c r="L258" s="63">
        <v>2400000</v>
      </c>
      <c r="M258" s="63">
        <v>1976544.9993411517</v>
      </c>
      <c r="N258" s="63">
        <v>2748959.0196336801</v>
      </c>
      <c r="O258" s="63">
        <v>0</v>
      </c>
      <c r="P258" s="63">
        <v>0</v>
      </c>
      <c r="Q258" s="63">
        <v>0</v>
      </c>
      <c r="R258" s="63">
        <v>0</v>
      </c>
      <c r="S258" s="63">
        <v>0</v>
      </c>
      <c r="T258" s="63">
        <v>0</v>
      </c>
      <c r="U258" s="55" t="s">
        <v>75</v>
      </c>
      <c r="V258" s="55" t="s">
        <v>1515</v>
      </c>
      <c r="W258" s="55" t="s">
        <v>75</v>
      </c>
      <c r="X258" s="55" t="s">
        <v>1516</v>
      </c>
      <c r="Y258" s="55" t="s">
        <v>81</v>
      </c>
      <c r="Z258" s="55">
        <v>0</v>
      </c>
      <c r="AA258" s="55" t="s">
        <v>78</v>
      </c>
      <c r="AB258" s="55">
        <v>0</v>
      </c>
      <c r="AC258" s="55" t="s">
        <v>78</v>
      </c>
      <c r="AD258" s="55">
        <v>0</v>
      </c>
      <c r="AE258" s="55" t="s">
        <v>78</v>
      </c>
      <c r="AF258" s="55">
        <v>0</v>
      </c>
      <c r="AG258" s="55" t="s">
        <v>81</v>
      </c>
      <c r="AH258" s="55" t="s">
        <v>78</v>
      </c>
      <c r="AI258" s="55" t="s">
        <v>81</v>
      </c>
      <c r="AJ258" s="55" t="s">
        <v>1423</v>
      </c>
      <c r="AK258" s="55" t="s">
        <v>397</v>
      </c>
      <c r="AL258" s="55" t="s">
        <v>75</v>
      </c>
      <c r="AM258" s="55" t="s">
        <v>81</v>
      </c>
      <c r="AN258" s="55" t="s">
        <v>78</v>
      </c>
      <c r="AO258" s="60" t="s">
        <v>81</v>
      </c>
      <c r="AP258" s="58" t="s">
        <v>104</v>
      </c>
      <c r="AQ258" s="55" t="s">
        <v>228</v>
      </c>
    </row>
    <row r="259" spans="1:43" ht="13.2" hidden="1" x14ac:dyDescent="0.25">
      <c r="A259" s="90" t="s">
        <v>1517</v>
      </c>
      <c r="B259" s="90" t="s">
        <v>1518</v>
      </c>
      <c r="C259" s="90">
        <v>2019</v>
      </c>
      <c r="D259" s="90" t="s">
        <v>155</v>
      </c>
      <c r="E259" s="90" t="s">
        <v>78</v>
      </c>
      <c r="F259" s="90" t="s">
        <v>559</v>
      </c>
      <c r="G259" s="90" t="s">
        <v>228</v>
      </c>
      <c r="H259" s="90" t="s">
        <v>228</v>
      </c>
      <c r="I259" s="90" t="s">
        <v>679</v>
      </c>
      <c r="J259" s="90" t="s">
        <v>81</v>
      </c>
      <c r="K259" s="90" t="s">
        <v>104</v>
      </c>
      <c r="L259" s="92">
        <v>121980000</v>
      </c>
      <c r="M259" s="92">
        <v>100457899.59151404</v>
      </c>
      <c r="N259" s="92">
        <v>139715842.17288181</v>
      </c>
      <c r="O259" s="92">
        <v>71691102</v>
      </c>
      <c r="P259" s="92">
        <v>71691102</v>
      </c>
      <c r="Q259" s="92">
        <v>99707267.750579998</v>
      </c>
      <c r="R259" s="92">
        <v>49794128</v>
      </c>
      <c r="S259" s="92">
        <v>49794128</v>
      </c>
      <c r="T259" s="92">
        <v>69253175.281120002</v>
      </c>
      <c r="U259" s="90" t="s">
        <v>81</v>
      </c>
      <c r="V259" s="90" t="s">
        <v>78</v>
      </c>
      <c r="W259" s="90" t="s">
        <v>81</v>
      </c>
      <c r="X259" s="90" t="s">
        <v>1519</v>
      </c>
      <c r="Y259" s="90" t="s">
        <v>81</v>
      </c>
      <c r="Z259" s="90">
        <v>0</v>
      </c>
      <c r="AA259" s="90" t="s">
        <v>78</v>
      </c>
      <c r="AB259" s="90">
        <v>0</v>
      </c>
      <c r="AC259" s="90" t="s">
        <v>78</v>
      </c>
      <c r="AD259" s="90">
        <v>0</v>
      </c>
      <c r="AE259" s="90" t="s">
        <v>78</v>
      </c>
      <c r="AF259" s="90">
        <v>0</v>
      </c>
      <c r="AG259" s="90" t="s">
        <v>81</v>
      </c>
      <c r="AH259" s="90" t="s">
        <v>78</v>
      </c>
      <c r="AI259" s="90" t="s">
        <v>81</v>
      </c>
      <c r="AJ259" s="90" t="s">
        <v>1423</v>
      </c>
      <c r="AK259" s="90" t="s">
        <v>132</v>
      </c>
      <c r="AL259" s="90" t="s">
        <v>81</v>
      </c>
      <c r="AM259" s="90" t="s">
        <v>81</v>
      </c>
      <c r="AN259" s="90" t="s">
        <v>78</v>
      </c>
      <c r="AO259" s="79" t="s">
        <v>81</v>
      </c>
      <c r="AP259" s="94" t="s">
        <v>104</v>
      </c>
      <c r="AQ259" s="90" t="s">
        <v>228</v>
      </c>
    </row>
    <row r="260" spans="1:43" ht="16.2" hidden="1" x14ac:dyDescent="0.45">
      <c r="A260" s="55" t="s">
        <v>1520</v>
      </c>
      <c r="B260" s="55" t="s">
        <v>1513</v>
      </c>
      <c r="C260" s="55">
        <v>2019</v>
      </c>
      <c r="D260" s="55" t="s">
        <v>87</v>
      </c>
      <c r="E260" s="55" t="s">
        <v>78</v>
      </c>
      <c r="F260" s="57" t="s">
        <v>1848</v>
      </c>
      <c r="G260" s="55">
        <v>0</v>
      </c>
      <c r="H260" s="55" t="s">
        <v>115</v>
      </c>
      <c r="I260" s="55" t="s">
        <v>1521</v>
      </c>
      <c r="J260" s="57" t="s">
        <v>75</v>
      </c>
      <c r="K260" s="55" t="s">
        <v>126</v>
      </c>
      <c r="L260" s="63">
        <v>15042283</v>
      </c>
      <c r="M260" s="63">
        <v>10815639.312908491</v>
      </c>
      <c r="N260" s="63">
        <v>15042283</v>
      </c>
      <c r="O260" s="63">
        <v>0</v>
      </c>
      <c r="P260" s="63">
        <v>0</v>
      </c>
      <c r="Q260" s="63">
        <v>0</v>
      </c>
      <c r="R260" s="63">
        <v>0</v>
      </c>
      <c r="S260" s="63">
        <v>0</v>
      </c>
      <c r="T260" s="63">
        <v>0</v>
      </c>
      <c r="U260" s="55" t="s">
        <v>81</v>
      </c>
      <c r="V260" s="55" t="s">
        <v>78</v>
      </c>
      <c r="W260" s="55" t="s">
        <v>81</v>
      </c>
      <c r="X260" s="55" t="s">
        <v>1522</v>
      </c>
      <c r="Y260" s="55" t="s">
        <v>81</v>
      </c>
      <c r="Z260" s="55">
        <v>0</v>
      </c>
      <c r="AA260" s="55" t="s">
        <v>78</v>
      </c>
      <c r="AB260" s="55">
        <v>0</v>
      </c>
      <c r="AC260" s="55" t="s">
        <v>78</v>
      </c>
      <c r="AD260" s="55">
        <v>0</v>
      </c>
      <c r="AE260" s="55" t="s">
        <v>78</v>
      </c>
      <c r="AF260" s="55">
        <v>0</v>
      </c>
      <c r="AG260" s="55" t="s">
        <v>81</v>
      </c>
      <c r="AH260" s="55" t="s">
        <v>78</v>
      </c>
      <c r="AI260" s="55" t="s">
        <v>81</v>
      </c>
      <c r="AJ260" s="55" t="s">
        <v>1423</v>
      </c>
      <c r="AK260" s="55" t="s">
        <v>1523</v>
      </c>
      <c r="AL260" s="55" t="s">
        <v>81</v>
      </c>
      <c r="AM260" s="55" t="s">
        <v>81</v>
      </c>
      <c r="AN260" s="55" t="s">
        <v>78</v>
      </c>
      <c r="AO260" s="60" t="s">
        <v>81</v>
      </c>
      <c r="AP260" s="58" t="s">
        <v>126</v>
      </c>
      <c r="AQ260" s="55" t="s">
        <v>115</v>
      </c>
    </row>
    <row r="261" spans="1:43" ht="16.2" hidden="1" x14ac:dyDescent="0.45">
      <c r="A261" s="55" t="s">
        <v>1524</v>
      </c>
      <c r="B261" s="55" t="s">
        <v>1513</v>
      </c>
      <c r="C261" s="55">
        <v>2019</v>
      </c>
      <c r="D261" s="55" t="s">
        <v>297</v>
      </c>
      <c r="E261" s="55" t="s">
        <v>78</v>
      </c>
      <c r="F261" s="57" t="s">
        <v>566</v>
      </c>
      <c r="G261" s="55">
        <v>0</v>
      </c>
      <c r="H261" s="55" t="s">
        <v>228</v>
      </c>
      <c r="I261" s="55" t="s">
        <v>1514</v>
      </c>
      <c r="J261" s="57" t="s">
        <v>75</v>
      </c>
      <c r="K261" s="55" t="s">
        <v>104</v>
      </c>
      <c r="L261" s="63">
        <v>2400000</v>
      </c>
      <c r="M261" s="63">
        <v>1976544.9993411517</v>
      </c>
      <c r="N261" s="63">
        <v>2748959.0196336801</v>
      </c>
      <c r="O261" s="63">
        <v>0</v>
      </c>
      <c r="P261" s="63">
        <v>0</v>
      </c>
      <c r="Q261" s="63">
        <v>0</v>
      </c>
      <c r="R261" s="63">
        <v>0</v>
      </c>
      <c r="S261" s="63">
        <v>0</v>
      </c>
      <c r="T261" s="63">
        <v>0</v>
      </c>
      <c r="U261" s="55" t="s">
        <v>75</v>
      </c>
      <c r="V261" s="55" t="s">
        <v>1525</v>
      </c>
      <c r="W261" s="55" t="s">
        <v>75</v>
      </c>
      <c r="X261" s="55" t="s">
        <v>1516</v>
      </c>
      <c r="Y261" s="55" t="s">
        <v>81</v>
      </c>
      <c r="Z261" s="55">
        <v>0</v>
      </c>
      <c r="AA261" s="55" t="s">
        <v>78</v>
      </c>
      <c r="AB261" s="55">
        <v>0</v>
      </c>
      <c r="AC261" s="55" t="s">
        <v>78</v>
      </c>
      <c r="AD261" s="55">
        <v>0</v>
      </c>
      <c r="AE261" s="55" t="s">
        <v>78</v>
      </c>
      <c r="AF261" s="55">
        <v>0</v>
      </c>
      <c r="AG261" s="55" t="s">
        <v>81</v>
      </c>
      <c r="AH261" s="55" t="s">
        <v>78</v>
      </c>
      <c r="AI261" s="55" t="s">
        <v>81</v>
      </c>
      <c r="AJ261" s="55" t="s">
        <v>1423</v>
      </c>
      <c r="AK261" s="55" t="s">
        <v>397</v>
      </c>
      <c r="AL261" s="55" t="s">
        <v>81</v>
      </c>
      <c r="AM261" s="55" t="s">
        <v>81</v>
      </c>
      <c r="AN261" s="55" t="s">
        <v>78</v>
      </c>
      <c r="AO261" s="60" t="s">
        <v>81</v>
      </c>
      <c r="AP261" s="58" t="s">
        <v>104</v>
      </c>
      <c r="AQ261" s="55" t="s">
        <v>228</v>
      </c>
    </row>
    <row r="262" spans="1:43" ht="16.2" hidden="1" x14ac:dyDescent="0.45">
      <c r="A262" s="55" t="s">
        <v>1526</v>
      </c>
      <c r="B262" s="55" t="s">
        <v>1527</v>
      </c>
      <c r="C262" s="55">
        <v>2019</v>
      </c>
      <c r="D262" s="55" t="s">
        <v>508</v>
      </c>
      <c r="E262" s="55" t="s">
        <v>78</v>
      </c>
      <c r="F262" s="57" t="s">
        <v>558</v>
      </c>
      <c r="G262" s="55" t="s">
        <v>228</v>
      </c>
      <c r="H262" s="55" t="s">
        <v>228</v>
      </c>
      <c r="I262" s="55" t="s">
        <v>676</v>
      </c>
      <c r="J262" s="57" t="s">
        <v>81</v>
      </c>
      <c r="K262" s="55" t="s">
        <v>74</v>
      </c>
      <c r="L262" s="63">
        <v>8520000</v>
      </c>
      <c r="M262" s="63">
        <v>8520000</v>
      </c>
      <c r="N262" s="63">
        <v>11849530.799999999</v>
      </c>
      <c r="O262" s="63">
        <v>7990000</v>
      </c>
      <c r="P262" s="63">
        <v>7990000</v>
      </c>
      <c r="Q262" s="63">
        <v>11112412.1</v>
      </c>
      <c r="R262" s="63">
        <v>7990000</v>
      </c>
      <c r="S262" s="63">
        <v>7990000</v>
      </c>
      <c r="T262" s="63">
        <v>11112412.1</v>
      </c>
      <c r="U262" s="55" t="s">
        <v>75</v>
      </c>
      <c r="V262" s="55" t="s">
        <v>1528</v>
      </c>
      <c r="W262" s="55" t="s">
        <v>75</v>
      </c>
      <c r="X262" s="55" t="s">
        <v>1529</v>
      </c>
      <c r="Y262" s="55" t="s">
        <v>81</v>
      </c>
      <c r="Z262" s="55">
        <v>0</v>
      </c>
      <c r="AA262" s="55" t="s">
        <v>78</v>
      </c>
      <c r="AB262" s="55">
        <v>0</v>
      </c>
      <c r="AC262" s="55" t="s">
        <v>78</v>
      </c>
      <c r="AD262" s="55">
        <v>0</v>
      </c>
      <c r="AE262" s="55" t="s">
        <v>78</v>
      </c>
      <c r="AF262" s="55">
        <v>0</v>
      </c>
      <c r="AG262" s="55" t="s">
        <v>75</v>
      </c>
      <c r="AH262" s="55" t="s">
        <v>1530</v>
      </c>
      <c r="AI262" s="55" t="s">
        <v>75</v>
      </c>
      <c r="AJ262" s="55" t="s">
        <v>1531</v>
      </c>
      <c r="AK262" s="55" t="s">
        <v>132</v>
      </c>
      <c r="AL262" s="55" t="s">
        <v>75</v>
      </c>
      <c r="AM262" s="55" t="s">
        <v>75</v>
      </c>
      <c r="AN262" s="55" t="s">
        <v>78</v>
      </c>
      <c r="AO262" s="60" t="s">
        <v>81</v>
      </c>
      <c r="AP262" s="58" t="s">
        <v>74</v>
      </c>
      <c r="AQ262" s="55" t="s">
        <v>228</v>
      </c>
    </row>
    <row r="263" spans="1:43" ht="16.2" hidden="1" x14ac:dyDescent="0.45">
      <c r="A263" s="55" t="s">
        <v>1532</v>
      </c>
      <c r="B263" s="55" t="s">
        <v>1533</v>
      </c>
      <c r="C263" s="55">
        <v>2019</v>
      </c>
      <c r="D263" s="55" t="s">
        <v>509</v>
      </c>
      <c r="E263" s="55" t="s">
        <v>78</v>
      </c>
      <c r="F263" s="57" t="s">
        <v>560</v>
      </c>
      <c r="G263" s="55" t="s">
        <v>587</v>
      </c>
      <c r="H263" s="55" t="s">
        <v>256</v>
      </c>
      <c r="I263" s="55" t="s">
        <v>676</v>
      </c>
      <c r="J263" s="57" t="s">
        <v>75</v>
      </c>
      <c r="K263" s="55" t="s">
        <v>74</v>
      </c>
      <c r="L263" s="63">
        <v>9589000</v>
      </c>
      <c r="M263" s="63">
        <v>9589000</v>
      </c>
      <c r="N263" s="63">
        <v>13336285.310000001</v>
      </c>
      <c r="O263" s="63">
        <v>8627000</v>
      </c>
      <c r="P263" s="63">
        <v>8627000</v>
      </c>
      <c r="Q263" s="63">
        <v>11998345.33</v>
      </c>
      <c r="R263" s="63">
        <v>0</v>
      </c>
      <c r="S263" s="63">
        <v>0</v>
      </c>
      <c r="T263" s="63">
        <v>0</v>
      </c>
      <c r="U263" s="55" t="s">
        <v>75</v>
      </c>
      <c r="V263" s="55" t="s">
        <v>1534</v>
      </c>
      <c r="W263" s="55" t="s">
        <v>75</v>
      </c>
      <c r="X263" s="55" t="s">
        <v>1535</v>
      </c>
      <c r="Y263" s="55" t="s">
        <v>75</v>
      </c>
      <c r="Z263" s="55">
        <v>999</v>
      </c>
      <c r="AA263" s="55" t="s">
        <v>1536</v>
      </c>
      <c r="AB263" s="55">
        <v>999</v>
      </c>
      <c r="AC263" s="55" t="s">
        <v>1537</v>
      </c>
      <c r="AD263" s="55">
        <v>999</v>
      </c>
      <c r="AE263" s="55" t="s">
        <v>1538</v>
      </c>
      <c r="AF263" s="55">
        <v>3</v>
      </c>
      <c r="AG263" s="55" t="s">
        <v>75</v>
      </c>
      <c r="AH263" s="55" t="s">
        <v>1539</v>
      </c>
      <c r="AI263" s="55" t="s">
        <v>75</v>
      </c>
      <c r="AJ263" s="55" t="s">
        <v>1540</v>
      </c>
      <c r="AK263" s="55" t="s">
        <v>121</v>
      </c>
      <c r="AL263" s="55" t="s">
        <v>75</v>
      </c>
      <c r="AM263" s="55" t="s">
        <v>75</v>
      </c>
      <c r="AN263" s="55" t="s">
        <v>78</v>
      </c>
      <c r="AO263" s="60" t="s">
        <v>75</v>
      </c>
      <c r="AP263" s="58" t="s">
        <v>74</v>
      </c>
      <c r="AQ263" s="55" t="s">
        <v>256</v>
      </c>
    </row>
    <row r="264" spans="1:43" ht="13.2" hidden="1" x14ac:dyDescent="0.25">
      <c r="A264" s="90" t="s">
        <v>1541</v>
      </c>
      <c r="B264" s="90" t="s">
        <v>1542</v>
      </c>
      <c r="C264" s="90">
        <v>2019</v>
      </c>
      <c r="D264" s="90" t="s">
        <v>484</v>
      </c>
      <c r="E264" s="90" t="s">
        <v>78</v>
      </c>
      <c r="F264" s="90" t="s">
        <v>525</v>
      </c>
      <c r="G264" s="90" t="s">
        <v>228</v>
      </c>
      <c r="H264" s="90" t="s">
        <v>228</v>
      </c>
      <c r="I264" s="90" t="s">
        <v>679</v>
      </c>
      <c r="J264" s="90" t="s">
        <v>81</v>
      </c>
      <c r="K264" s="90" t="s">
        <v>74</v>
      </c>
      <c r="L264" s="92">
        <v>39770000</v>
      </c>
      <c r="M264" s="92">
        <v>39770000</v>
      </c>
      <c r="N264" s="92">
        <v>55311718.299999997</v>
      </c>
      <c r="O264" s="92">
        <v>26052504</v>
      </c>
      <c r="P264" s="92">
        <v>26052504</v>
      </c>
      <c r="Q264" s="92">
        <v>36233562.038159996</v>
      </c>
      <c r="R264" s="92">
        <v>26052504</v>
      </c>
      <c r="S264" s="92">
        <v>26052504</v>
      </c>
      <c r="T264" s="92">
        <v>36233562.038159996</v>
      </c>
      <c r="U264" s="90" t="s">
        <v>75</v>
      </c>
      <c r="V264" s="90" t="s">
        <v>1543</v>
      </c>
      <c r="W264" s="90" t="s">
        <v>75</v>
      </c>
      <c r="X264" s="90" t="s">
        <v>1544</v>
      </c>
      <c r="Y264" s="90" t="s">
        <v>75</v>
      </c>
      <c r="Z264" s="90">
        <v>0</v>
      </c>
      <c r="AA264" s="90" t="s">
        <v>78</v>
      </c>
      <c r="AB264" s="90">
        <v>0</v>
      </c>
      <c r="AC264" s="90" t="s">
        <v>78</v>
      </c>
      <c r="AD264" s="90">
        <v>999</v>
      </c>
      <c r="AE264" s="90" t="s">
        <v>1545</v>
      </c>
      <c r="AF264" s="90">
        <v>1</v>
      </c>
      <c r="AG264" s="90" t="s">
        <v>75</v>
      </c>
      <c r="AH264" s="90" t="s">
        <v>1546</v>
      </c>
      <c r="AI264" s="90" t="s">
        <v>75</v>
      </c>
      <c r="AJ264" s="90" t="s">
        <v>1547</v>
      </c>
      <c r="AK264" s="90" t="s">
        <v>121</v>
      </c>
      <c r="AL264" s="90" t="s">
        <v>75</v>
      </c>
      <c r="AM264" s="90" t="s">
        <v>81</v>
      </c>
      <c r="AN264" s="90" t="s">
        <v>78</v>
      </c>
      <c r="AO264" s="79" t="s">
        <v>81</v>
      </c>
      <c r="AP264" s="94" t="s">
        <v>74</v>
      </c>
      <c r="AQ264" s="90" t="s">
        <v>228</v>
      </c>
    </row>
    <row r="265" spans="1:43" ht="16.2" hidden="1" x14ac:dyDescent="0.45">
      <c r="A265" s="55" t="s">
        <v>1548</v>
      </c>
      <c r="B265" s="55" t="s">
        <v>1549</v>
      </c>
      <c r="C265" s="55">
        <v>2019</v>
      </c>
      <c r="D265" s="55" t="s">
        <v>353</v>
      </c>
      <c r="E265" s="55" t="s">
        <v>78</v>
      </c>
      <c r="F265" s="57" t="s">
        <v>78</v>
      </c>
      <c r="G265" s="55" t="s">
        <v>228</v>
      </c>
      <c r="H265" s="55" t="s">
        <v>228</v>
      </c>
      <c r="I265" s="55" t="s">
        <v>676</v>
      </c>
      <c r="J265" s="57" t="s">
        <v>75</v>
      </c>
      <c r="K265" s="55" t="s">
        <v>126</v>
      </c>
      <c r="L265" s="63">
        <v>1000000</v>
      </c>
      <c r="M265" s="63">
        <v>719015.81115768733</v>
      </c>
      <c r="N265" s="63">
        <v>1000000</v>
      </c>
      <c r="O265" s="63">
        <v>727051</v>
      </c>
      <c r="P265" s="63">
        <v>727051</v>
      </c>
      <c r="Q265" s="63">
        <v>1011175.26029</v>
      </c>
      <c r="R265" s="63">
        <v>0</v>
      </c>
      <c r="S265" s="63">
        <v>0</v>
      </c>
      <c r="T265" s="63">
        <v>0</v>
      </c>
      <c r="U265" s="55" t="s">
        <v>75</v>
      </c>
      <c r="V265" s="55" t="s">
        <v>1550</v>
      </c>
      <c r="W265" s="55" t="s">
        <v>75</v>
      </c>
      <c r="X265" s="55" t="s">
        <v>1551</v>
      </c>
      <c r="Y265" s="55" t="s">
        <v>75</v>
      </c>
      <c r="Z265" s="55">
        <v>0</v>
      </c>
      <c r="AA265" s="55" t="s">
        <v>78</v>
      </c>
      <c r="AB265" s="55">
        <v>999</v>
      </c>
      <c r="AC265" s="55" t="s">
        <v>1552</v>
      </c>
      <c r="AD265" s="55">
        <v>999</v>
      </c>
      <c r="AE265" s="55" t="s">
        <v>1553</v>
      </c>
      <c r="AF265" s="55">
        <v>2</v>
      </c>
      <c r="AG265" s="55" t="s">
        <v>81</v>
      </c>
      <c r="AH265" s="55" t="s">
        <v>78</v>
      </c>
      <c r="AI265" s="55" t="s">
        <v>75</v>
      </c>
      <c r="AJ265" s="55" t="s">
        <v>1554</v>
      </c>
      <c r="AK265" s="55" t="s">
        <v>121</v>
      </c>
      <c r="AL265" s="55" t="s">
        <v>75</v>
      </c>
      <c r="AM265" s="55" t="s">
        <v>81</v>
      </c>
      <c r="AN265" s="55" t="s">
        <v>78</v>
      </c>
      <c r="AO265" s="60" t="s">
        <v>75</v>
      </c>
      <c r="AP265" s="58" t="s">
        <v>126</v>
      </c>
      <c r="AQ265" s="55" t="s">
        <v>228</v>
      </c>
    </row>
    <row r="266" spans="1:43" ht="16.2" hidden="1" x14ac:dyDescent="0.45">
      <c r="A266" s="55" t="s">
        <v>1555</v>
      </c>
      <c r="B266" s="55" t="s">
        <v>1556</v>
      </c>
      <c r="C266" s="55">
        <v>2019</v>
      </c>
      <c r="D266" s="55" t="s">
        <v>124</v>
      </c>
      <c r="E266" s="55" t="s">
        <v>78</v>
      </c>
      <c r="F266" s="57" t="s">
        <v>550</v>
      </c>
      <c r="G266" s="55" t="s">
        <v>585</v>
      </c>
      <c r="H266" s="55" t="s">
        <v>228</v>
      </c>
      <c r="I266" s="55" t="s">
        <v>1557</v>
      </c>
      <c r="J266" s="57" t="s">
        <v>81</v>
      </c>
      <c r="K266" s="55" t="s">
        <v>126</v>
      </c>
      <c r="L266" s="63">
        <v>20000000</v>
      </c>
      <c r="M266" s="63">
        <v>14380316.223153748</v>
      </c>
      <c r="N266" s="63">
        <v>20000000</v>
      </c>
      <c r="O266" s="63">
        <v>14616250</v>
      </c>
      <c r="P266" s="63">
        <v>14616250</v>
      </c>
      <c r="Q266" s="63">
        <v>20328134.337499999</v>
      </c>
      <c r="R266" s="63">
        <v>14616250</v>
      </c>
      <c r="S266" s="63">
        <v>14616250</v>
      </c>
      <c r="T266" s="63">
        <v>20328134.337499999</v>
      </c>
      <c r="U266" s="55" t="s">
        <v>81</v>
      </c>
      <c r="V266" s="55" t="s">
        <v>78</v>
      </c>
      <c r="W266" s="55" t="s">
        <v>81</v>
      </c>
      <c r="X266" s="55" t="s">
        <v>1558</v>
      </c>
      <c r="Y266" s="55" t="s">
        <v>81</v>
      </c>
      <c r="Z266" s="55">
        <v>0</v>
      </c>
      <c r="AA266" s="55" t="s">
        <v>78</v>
      </c>
      <c r="AB266" s="55">
        <v>0</v>
      </c>
      <c r="AC266" s="55" t="s">
        <v>78</v>
      </c>
      <c r="AD266" s="55">
        <v>0</v>
      </c>
      <c r="AE266" s="55" t="s">
        <v>78</v>
      </c>
      <c r="AF266" s="55">
        <v>0</v>
      </c>
      <c r="AG266" s="55" t="s">
        <v>81</v>
      </c>
      <c r="AH266" s="55" t="s">
        <v>78</v>
      </c>
      <c r="AI266" s="55" t="s">
        <v>81</v>
      </c>
      <c r="AJ266" s="55" t="s">
        <v>1423</v>
      </c>
      <c r="AK266" s="55" t="s">
        <v>397</v>
      </c>
      <c r="AL266" s="55" t="s">
        <v>75</v>
      </c>
      <c r="AM266" s="55" t="s">
        <v>81</v>
      </c>
      <c r="AN266" s="55" t="s">
        <v>78</v>
      </c>
      <c r="AO266" s="60" t="s">
        <v>81</v>
      </c>
      <c r="AP266" s="58" t="s">
        <v>126</v>
      </c>
      <c r="AQ266" s="55" t="s">
        <v>228</v>
      </c>
    </row>
    <row r="267" spans="1:43" ht="16.2" hidden="1" x14ac:dyDescent="0.45">
      <c r="A267" s="55" t="s">
        <v>1559</v>
      </c>
      <c r="B267" s="55" t="s">
        <v>1560</v>
      </c>
      <c r="C267" s="55">
        <v>2019</v>
      </c>
      <c r="D267" s="55" t="s">
        <v>179</v>
      </c>
      <c r="E267" s="55" t="s">
        <v>78</v>
      </c>
      <c r="F267" s="57" t="s">
        <v>561</v>
      </c>
      <c r="G267" s="55" t="s">
        <v>115</v>
      </c>
      <c r="H267" s="55" t="s">
        <v>115</v>
      </c>
      <c r="I267" s="55" t="s">
        <v>676</v>
      </c>
      <c r="J267" s="57" t="s">
        <v>81</v>
      </c>
      <c r="K267" s="55" t="s">
        <v>74</v>
      </c>
      <c r="L267" s="63">
        <v>13350000</v>
      </c>
      <c r="M267" s="63">
        <v>13350000</v>
      </c>
      <c r="N267" s="63">
        <v>18567046.5</v>
      </c>
      <c r="O267" s="63">
        <v>12850000</v>
      </c>
      <c r="P267" s="63">
        <v>12850000</v>
      </c>
      <c r="Q267" s="63">
        <v>17871651.5</v>
      </c>
      <c r="R267" s="63">
        <v>12850000</v>
      </c>
      <c r="S267" s="63">
        <v>12850000</v>
      </c>
      <c r="T267" s="63">
        <v>17871651.5</v>
      </c>
      <c r="U267" s="55" t="s">
        <v>75</v>
      </c>
      <c r="V267" s="55" t="s">
        <v>1561</v>
      </c>
      <c r="W267" s="55" t="s">
        <v>81</v>
      </c>
      <c r="X267" s="55" t="s">
        <v>1562</v>
      </c>
      <c r="Y267" s="55" t="s">
        <v>81</v>
      </c>
      <c r="Z267" s="55">
        <v>0</v>
      </c>
      <c r="AA267" s="55" t="s">
        <v>78</v>
      </c>
      <c r="AB267" s="55">
        <v>0</v>
      </c>
      <c r="AC267" s="55" t="s">
        <v>78</v>
      </c>
      <c r="AD267" s="55">
        <v>0</v>
      </c>
      <c r="AE267" s="55" t="s">
        <v>78</v>
      </c>
      <c r="AF267" s="55">
        <v>0</v>
      </c>
      <c r="AG267" s="55" t="s">
        <v>81</v>
      </c>
      <c r="AH267" s="55" t="s">
        <v>78</v>
      </c>
      <c r="AI267" s="55" t="s">
        <v>81</v>
      </c>
      <c r="AJ267" s="55" t="s">
        <v>1423</v>
      </c>
      <c r="AK267" s="55" t="s">
        <v>1147</v>
      </c>
      <c r="AL267" s="55" t="s">
        <v>75</v>
      </c>
      <c r="AM267" s="55" t="s">
        <v>75</v>
      </c>
      <c r="AN267" s="55" t="s">
        <v>78</v>
      </c>
      <c r="AO267" s="60" t="s">
        <v>81</v>
      </c>
      <c r="AP267" s="58" t="s">
        <v>74</v>
      </c>
      <c r="AQ267" s="55" t="s">
        <v>115</v>
      </c>
    </row>
    <row r="268" spans="1:43" ht="16.2" hidden="1" x14ac:dyDescent="0.45">
      <c r="A268" s="55" t="s">
        <v>1563</v>
      </c>
      <c r="B268" s="55" t="s">
        <v>1564</v>
      </c>
      <c r="C268" s="55">
        <v>2019</v>
      </c>
      <c r="D268" s="55" t="s">
        <v>481</v>
      </c>
      <c r="E268" s="55" t="s">
        <v>78</v>
      </c>
      <c r="F268" s="57" t="s">
        <v>524</v>
      </c>
      <c r="G268" s="55" t="s">
        <v>593</v>
      </c>
      <c r="H268" s="55" t="s">
        <v>101</v>
      </c>
      <c r="I268" s="55" t="s">
        <v>1565</v>
      </c>
      <c r="J268" s="57" t="s">
        <v>75</v>
      </c>
      <c r="K268" s="55" t="s">
        <v>126</v>
      </c>
      <c r="L268" s="63">
        <v>4416210</v>
      </c>
      <c r="M268" s="63">
        <v>3175324.8153926907</v>
      </c>
      <c r="N268" s="63">
        <v>4416210</v>
      </c>
      <c r="O268" s="63">
        <v>3227422</v>
      </c>
      <c r="P268" s="63">
        <v>3227422</v>
      </c>
      <c r="Q268" s="63">
        <v>4488666.2433799999</v>
      </c>
      <c r="R268" s="63">
        <v>0</v>
      </c>
      <c r="S268" s="63">
        <v>0</v>
      </c>
      <c r="T268" s="63">
        <v>0</v>
      </c>
      <c r="U268" s="55" t="s">
        <v>81</v>
      </c>
      <c r="V268" s="55" t="s">
        <v>78</v>
      </c>
      <c r="W268" s="55" t="s">
        <v>81</v>
      </c>
      <c r="X268" s="55" t="s">
        <v>1566</v>
      </c>
      <c r="Y268" s="55" t="s">
        <v>81</v>
      </c>
      <c r="Z268" s="55">
        <v>0</v>
      </c>
      <c r="AA268" s="55" t="s">
        <v>78</v>
      </c>
      <c r="AB268" s="55">
        <v>0</v>
      </c>
      <c r="AC268" s="55" t="s">
        <v>78</v>
      </c>
      <c r="AD268" s="55">
        <v>0</v>
      </c>
      <c r="AE268" s="55" t="s">
        <v>78</v>
      </c>
      <c r="AF268" s="55">
        <v>0</v>
      </c>
      <c r="AG268" s="55" t="s">
        <v>81</v>
      </c>
      <c r="AH268" s="55" t="s">
        <v>78</v>
      </c>
      <c r="AI268" s="55" t="s">
        <v>81</v>
      </c>
      <c r="AJ268" s="55" t="s">
        <v>1423</v>
      </c>
      <c r="AK268" s="55" t="s">
        <v>1174</v>
      </c>
      <c r="AL268" s="55" t="s">
        <v>75</v>
      </c>
      <c r="AM268" s="55" t="s">
        <v>81</v>
      </c>
      <c r="AN268" s="55" t="s">
        <v>78</v>
      </c>
      <c r="AO268" s="60" t="s">
        <v>81</v>
      </c>
      <c r="AP268" s="58" t="s">
        <v>126</v>
      </c>
      <c r="AQ268" s="55" t="s">
        <v>101</v>
      </c>
    </row>
    <row r="269" spans="1:43" ht="13.2" hidden="1" x14ac:dyDescent="0.25">
      <c r="A269" s="90" t="s">
        <v>1567</v>
      </c>
      <c r="B269" s="90" t="s">
        <v>1568</v>
      </c>
      <c r="C269" s="90">
        <v>2019</v>
      </c>
      <c r="D269" s="90" t="s">
        <v>371</v>
      </c>
      <c r="E269" s="90" t="s">
        <v>78</v>
      </c>
      <c r="F269" s="90" t="s">
        <v>542</v>
      </c>
      <c r="G269" s="90" t="s">
        <v>228</v>
      </c>
      <c r="H269" s="90" t="s">
        <v>228</v>
      </c>
      <c r="I269" s="90" t="s">
        <v>679</v>
      </c>
      <c r="J269" s="90" t="s">
        <v>81</v>
      </c>
      <c r="K269" s="90" t="s">
        <v>74</v>
      </c>
      <c r="L269" s="92">
        <v>10620000</v>
      </c>
      <c r="M269" s="92">
        <v>10620000</v>
      </c>
      <c r="N269" s="92">
        <v>14770189.799999999</v>
      </c>
      <c r="O269" s="92">
        <v>9560000</v>
      </c>
      <c r="P269" s="92">
        <v>9560000</v>
      </c>
      <c r="Q269" s="92">
        <v>13295952.4</v>
      </c>
      <c r="R269" s="92">
        <v>1060000</v>
      </c>
      <c r="S269" s="92">
        <v>1060000</v>
      </c>
      <c r="T269" s="92">
        <v>1474237.4</v>
      </c>
      <c r="U269" s="90" t="s">
        <v>75</v>
      </c>
      <c r="V269" s="90" t="s">
        <v>1569</v>
      </c>
      <c r="W269" s="90" t="s">
        <v>75</v>
      </c>
      <c r="X269" s="90" t="s">
        <v>1570</v>
      </c>
      <c r="Y269" s="90" t="s">
        <v>81</v>
      </c>
      <c r="Z269" s="90">
        <v>0</v>
      </c>
      <c r="AA269" s="90" t="s">
        <v>78</v>
      </c>
      <c r="AB269" s="90">
        <v>0</v>
      </c>
      <c r="AC269" s="90" t="s">
        <v>78</v>
      </c>
      <c r="AD269" s="90">
        <v>0</v>
      </c>
      <c r="AE269" s="90" t="s">
        <v>78</v>
      </c>
      <c r="AF269" s="90">
        <v>0</v>
      </c>
      <c r="AG269" s="90" t="s">
        <v>81</v>
      </c>
      <c r="AH269" s="90" t="s">
        <v>78</v>
      </c>
      <c r="AI269" s="90" t="s">
        <v>81</v>
      </c>
      <c r="AJ269" s="90" t="s">
        <v>1423</v>
      </c>
      <c r="AK269" s="90" t="s">
        <v>121</v>
      </c>
      <c r="AL269" s="90" t="s">
        <v>81</v>
      </c>
      <c r="AM269" s="90" t="s">
        <v>81</v>
      </c>
      <c r="AN269" s="90" t="s">
        <v>78</v>
      </c>
      <c r="AO269" s="79" t="s">
        <v>81</v>
      </c>
      <c r="AP269" s="94" t="s">
        <v>74</v>
      </c>
      <c r="AQ269" s="90" t="s">
        <v>228</v>
      </c>
    </row>
    <row r="270" spans="1:43" ht="16.2" hidden="1" x14ac:dyDescent="0.45">
      <c r="A270" s="55" t="s">
        <v>1571</v>
      </c>
      <c r="B270" s="55" t="s">
        <v>1572</v>
      </c>
      <c r="C270" s="55">
        <v>2019</v>
      </c>
      <c r="D270" s="55" t="s">
        <v>481</v>
      </c>
      <c r="E270" s="55" t="s">
        <v>78</v>
      </c>
      <c r="F270" s="57" t="s">
        <v>524</v>
      </c>
      <c r="G270" s="55" t="s">
        <v>228</v>
      </c>
      <c r="H270" s="55" t="s">
        <v>228</v>
      </c>
      <c r="I270" s="55" t="s">
        <v>676</v>
      </c>
      <c r="J270" s="57" t="s">
        <v>75</v>
      </c>
      <c r="K270" s="55" t="s">
        <v>126</v>
      </c>
      <c r="L270" s="63">
        <v>1000000</v>
      </c>
      <c r="M270" s="63">
        <v>719015.81115768733</v>
      </c>
      <c r="N270" s="63">
        <v>1000000</v>
      </c>
      <c r="O270" s="63">
        <v>719015.8112</v>
      </c>
      <c r="P270" s="63">
        <v>719015.8112</v>
      </c>
      <c r="Q270" s="63">
        <v>1000000.0000588479</v>
      </c>
      <c r="R270" s="63">
        <v>0</v>
      </c>
      <c r="S270" s="63">
        <v>0</v>
      </c>
      <c r="T270" s="63">
        <v>0</v>
      </c>
      <c r="U270" s="55" t="s">
        <v>75</v>
      </c>
      <c r="V270" s="55" t="s">
        <v>1573</v>
      </c>
      <c r="W270" s="55" t="s">
        <v>75</v>
      </c>
      <c r="X270" s="55" t="s">
        <v>1574</v>
      </c>
      <c r="Y270" s="55" t="s">
        <v>75</v>
      </c>
      <c r="Z270" s="55">
        <v>999</v>
      </c>
      <c r="AA270" s="55" t="s">
        <v>1575</v>
      </c>
      <c r="AB270" s="55">
        <v>999</v>
      </c>
      <c r="AC270" s="55" t="s">
        <v>1576</v>
      </c>
      <c r="AD270" s="55">
        <v>999</v>
      </c>
      <c r="AE270" s="55" t="s">
        <v>1577</v>
      </c>
      <c r="AF270" s="55">
        <v>3</v>
      </c>
      <c r="AG270" s="55" t="s">
        <v>75</v>
      </c>
      <c r="AH270" s="55" t="s">
        <v>1578</v>
      </c>
      <c r="AI270" s="55" t="s">
        <v>75</v>
      </c>
      <c r="AJ270" s="55" t="s">
        <v>1579</v>
      </c>
      <c r="AK270" s="55" t="s">
        <v>132</v>
      </c>
      <c r="AL270" s="55" t="s">
        <v>75</v>
      </c>
      <c r="AM270" s="55" t="s">
        <v>75</v>
      </c>
      <c r="AN270" s="55" t="s">
        <v>78</v>
      </c>
      <c r="AO270" s="60" t="s">
        <v>75</v>
      </c>
      <c r="AP270" s="58" t="s">
        <v>126</v>
      </c>
      <c r="AQ270" s="55" t="s">
        <v>228</v>
      </c>
    </row>
    <row r="271" spans="1:43" ht="13.2" hidden="1" x14ac:dyDescent="0.25">
      <c r="A271" s="90" t="s">
        <v>1580</v>
      </c>
      <c r="B271" s="90" t="s">
        <v>1581</v>
      </c>
      <c r="C271" s="90">
        <v>2019</v>
      </c>
      <c r="D271" s="90" t="s">
        <v>482</v>
      </c>
      <c r="E271" s="90" t="s">
        <v>78</v>
      </c>
      <c r="F271" s="90" t="s">
        <v>527</v>
      </c>
      <c r="G271" s="90" t="s">
        <v>592</v>
      </c>
      <c r="H271" s="90" t="s">
        <v>256</v>
      </c>
      <c r="I271" s="90" t="s">
        <v>679</v>
      </c>
      <c r="J271" s="90" t="s">
        <v>81</v>
      </c>
      <c r="K271" s="90" t="s">
        <v>104</v>
      </c>
      <c r="L271" s="92">
        <v>50000000</v>
      </c>
      <c r="M271" s="92">
        <v>41178020.819607325</v>
      </c>
      <c r="N271" s="92">
        <v>57269979.575701669</v>
      </c>
      <c r="O271" s="92">
        <v>49109191.469999999</v>
      </c>
      <c r="P271" s="92">
        <v>49109191.469999999</v>
      </c>
      <c r="Q271" s="92">
        <v>68300572.404561296</v>
      </c>
      <c r="R271" s="92">
        <v>49109191.469999999</v>
      </c>
      <c r="S271" s="92">
        <v>49109191.469999999</v>
      </c>
      <c r="T271" s="92">
        <v>68300572.404561296</v>
      </c>
      <c r="U271" s="90" t="s">
        <v>75</v>
      </c>
      <c r="V271" s="90" t="s">
        <v>1582</v>
      </c>
      <c r="W271" s="90" t="s">
        <v>75</v>
      </c>
      <c r="X271" s="90" t="s">
        <v>1583</v>
      </c>
      <c r="Y271" s="90" t="s">
        <v>75</v>
      </c>
      <c r="Z271" s="90">
        <v>0</v>
      </c>
      <c r="AA271" s="90" t="s">
        <v>78</v>
      </c>
      <c r="AB271" s="90">
        <v>0</v>
      </c>
      <c r="AC271" s="90" t="s">
        <v>78</v>
      </c>
      <c r="AD271" s="90">
        <v>999</v>
      </c>
      <c r="AE271" s="90" t="s">
        <v>1584</v>
      </c>
      <c r="AF271" s="90">
        <v>1</v>
      </c>
      <c r="AG271" s="90" t="s">
        <v>81</v>
      </c>
      <c r="AH271" s="90" t="s">
        <v>78</v>
      </c>
      <c r="AI271" s="90" t="s">
        <v>75</v>
      </c>
      <c r="AJ271" s="90" t="s">
        <v>1585</v>
      </c>
      <c r="AK271" s="90" t="s">
        <v>121</v>
      </c>
      <c r="AL271" s="90" t="s">
        <v>75</v>
      </c>
      <c r="AM271" s="90" t="s">
        <v>75</v>
      </c>
      <c r="AN271" s="90" t="s">
        <v>78</v>
      </c>
      <c r="AO271" s="79" t="s">
        <v>81</v>
      </c>
      <c r="AP271" s="94" t="s">
        <v>104</v>
      </c>
      <c r="AQ271" s="90" t="s">
        <v>256</v>
      </c>
    </row>
    <row r="272" spans="1:43" ht="13.2" hidden="1" x14ac:dyDescent="0.25">
      <c r="A272" s="90" t="s">
        <v>1586</v>
      </c>
      <c r="B272" s="90" t="s">
        <v>1587</v>
      </c>
      <c r="C272" s="90">
        <v>2019</v>
      </c>
      <c r="D272" s="90" t="s">
        <v>496</v>
      </c>
      <c r="E272" s="90" t="s">
        <v>78</v>
      </c>
      <c r="F272" s="90" t="s">
        <v>535</v>
      </c>
      <c r="G272" s="90" t="s">
        <v>589</v>
      </c>
      <c r="H272" s="90" t="s">
        <v>256</v>
      </c>
      <c r="I272" s="90" t="s">
        <v>679</v>
      </c>
      <c r="J272" s="90" t="s">
        <v>75</v>
      </c>
      <c r="K272" s="90" t="s">
        <v>74</v>
      </c>
      <c r="L272" s="92">
        <v>978540</v>
      </c>
      <c r="M272" s="92">
        <v>978540</v>
      </c>
      <c r="N272" s="92">
        <v>1360943.6465999999</v>
      </c>
      <c r="O272" s="92">
        <v>511573</v>
      </c>
      <c r="P272" s="92">
        <v>511573</v>
      </c>
      <c r="Q272" s="92">
        <v>711490.61266999994</v>
      </c>
      <c r="R272" s="92">
        <v>0</v>
      </c>
      <c r="S272" s="92">
        <v>0</v>
      </c>
      <c r="T272" s="92">
        <v>0</v>
      </c>
      <c r="U272" s="90" t="s">
        <v>75</v>
      </c>
      <c r="V272" s="90" t="s">
        <v>1588</v>
      </c>
      <c r="W272" s="90" t="s">
        <v>75</v>
      </c>
      <c r="X272" s="90" t="s">
        <v>1589</v>
      </c>
      <c r="Y272" s="90" t="s">
        <v>75</v>
      </c>
      <c r="Z272" s="90">
        <v>999</v>
      </c>
      <c r="AA272" s="90" t="s">
        <v>1590</v>
      </c>
      <c r="AB272" s="90">
        <v>0</v>
      </c>
      <c r="AC272" s="90" t="s">
        <v>78</v>
      </c>
      <c r="AD272" s="90">
        <v>0</v>
      </c>
      <c r="AE272" s="90" t="s">
        <v>78</v>
      </c>
      <c r="AF272" s="90">
        <v>1</v>
      </c>
      <c r="AG272" s="90" t="s">
        <v>81</v>
      </c>
      <c r="AH272" s="90" t="s">
        <v>78</v>
      </c>
      <c r="AI272" s="90" t="s">
        <v>75</v>
      </c>
      <c r="AJ272" s="90" t="s">
        <v>1591</v>
      </c>
      <c r="AK272" s="90" t="s">
        <v>121</v>
      </c>
      <c r="AL272" s="90" t="s">
        <v>81</v>
      </c>
      <c r="AM272" s="90" t="s">
        <v>81</v>
      </c>
      <c r="AN272" s="90" t="s">
        <v>78</v>
      </c>
      <c r="AO272" s="79" t="s">
        <v>75</v>
      </c>
      <c r="AP272" s="94" t="s">
        <v>74</v>
      </c>
      <c r="AQ272" s="90" t="s">
        <v>256</v>
      </c>
    </row>
    <row r="273" spans="1:43" ht="13.2" hidden="1" x14ac:dyDescent="0.25">
      <c r="A273" s="90" t="s">
        <v>1592</v>
      </c>
      <c r="B273" s="90" t="s">
        <v>1593</v>
      </c>
      <c r="C273" s="90">
        <v>2019</v>
      </c>
      <c r="D273" s="90" t="s">
        <v>498</v>
      </c>
      <c r="E273" s="90" t="s">
        <v>78</v>
      </c>
      <c r="F273" s="90" t="s">
        <v>540</v>
      </c>
      <c r="G273" s="90" t="s">
        <v>228</v>
      </c>
      <c r="H273" s="90" t="s">
        <v>228</v>
      </c>
      <c r="I273" s="90" t="s">
        <v>679</v>
      </c>
      <c r="J273" s="90" t="s">
        <v>81</v>
      </c>
      <c r="K273" s="90" t="s">
        <v>74</v>
      </c>
      <c r="L273" s="92">
        <v>12040000</v>
      </c>
      <c r="M273" s="92">
        <v>12040000</v>
      </c>
      <c r="N273" s="92">
        <v>16745111.6</v>
      </c>
      <c r="O273" s="92">
        <v>9620000</v>
      </c>
      <c r="P273" s="92">
        <v>9620000</v>
      </c>
      <c r="Q273" s="92">
        <v>13379399.799999999</v>
      </c>
      <c r="R273" s="92">
        <v>5930000</v>
      </c>
      <c r="S273" s="92">
        <v>5930000</v>
      </c>
      <c r="T273" s="92">
        <v>8247384.7000000002</v>
      </c>
      <c r="U273" s="90" t="s">
        <v>75</v>
      </c>
      <c r="V273" s="90" t="s">
        <v>1594</v>
      </c>
      <c r="W273" s="90" t="s">
        <v>75</v>
      </c>
      <c r="X273" s="90" t="s">
        <v>1595</v>
      </c>
      <c r="Y273" s="90" t="s">
        <v>75</v>
      </c>
      <c r="Z273" s="90">
        <v>999</v>
      </c>
      <c r="AA273" s="90" t="s">
        <v>1596</v>
      </c>
      <c r="AB273" s="90">
        <v>0</v>
      </c>
      <c r="AC273" s="90" t="s">
        <v>78</v>
      </c>
      <c r="AD273" s="90">
        <v>999</v>
      </c>
      <c r="AE273" s="90" t="s">
        <v>1597</v>
      </c>
      <c r="AF273" s="90">
        <v>2</v>
      </c>
      <c r="AG273" s="90" t="s">
        <v>75</v>
      </c>
      <c r="AH273" s="90" t="s">
        <v>1598</v>
      </c>
      <c r="AI273" s="90" t="s">
        <v>75</v>
      </c>
      <c r="AJ273" s="90" t="s">
        <v>1599</v>
      </c>
      <c r="AK273" s="90" t="s">
        <v>121</v>
      </c>
      <c r="AL273" s="90" t="s">
        <v>75</v>
      </c>
      <c r="AM273" s="90" t="s">
        <v>75</v>
      </c>
      <c r="AN273" s="90" t="s">
        <v>78</v>
      </c>
      <c r="AO273" s="79" t="s">
        <v>75</v>
      </c>
      <c r="AP273" s="94" t="s">
        <v>74</v>
      </c>
      <c r="AQ273" s="90" t="s">
        <v>228</v>
      </c>
    </row>
    <row r="274" spans="1:43" s="99" customFormat="1" ht="13.2" hidden="1" x14ac:dyDescent="0.25">
      <c r="A274" s="95" t="s">
        <v>1600</v>
      </c>
      <c r="B274" s="95" t="s">
        <v>1601</v>
      </c>
      <c r="C274" s="95">
        <v>2019</v>
      </c>
      <c r="D274" s="95" t="s">
        <v>497</v>
      </c>
      <c r="E274" s="95" t="s">
        <v>78</v>
      </c>
      <c r="F274" s="95" t="s">
        <v>538</v>
      </c>
      <c r="G274" s="95" t="s">
        <v>228</v>
      </c>
      <c r="H274" s="95" t="s">
        <v>228</v>
      </c>
      <c r="I274" s="95" t="s">
        <v>679</v>
      </c>
      <c r="J274" s="95" t="s">
        <v>81</v>
      </c>
      <c r="K274" s="95" t="s">
        <v>74</v>
      </c>
      <c r="L274" s="96">
        <v>25000000</v>
      </c>
      <c r="M274" s="96">
        <v>25000000</v>
      </c>
      <c r="N274" s="96">
        <v>34769750</v>
      </c>
      <c r="O274" s="96">
        <v>20000000</v>
      </c>
      <c r="P274" s="96">
        <v>20000000</v>
      </c>
      <c r="Q274" s="96">
        <v>27815800</v>
      </c>
      <c r="R274" s="96">
        <v>20000000</v>
      </c>
      <c r="S274" s="96">
        <v>20000000</v>
      </c>
      <c r="T274" s="96">
        <v>27815800</v>
      </c>
      <c r="U274" s="95" t="s">
        <v>75</v>
      </c>
      <c r="V274" s="95" t="s">
        <v>1602</v>
      </c>
      <c r="W274" s="95" t="s">
        <v>75</v>
      </c>
      <c r="X274" s="95" t="s">
        <v>1603</v>
      </c>
      <c r="Y274" s="95" t="s">
        <v>75</v>
      </c>
      <c r="Z274" s="95">
        <v>999</v>
      </c>
      <c r="AA274" s="95" t="s">
        <v>1604</v>
      </c>
      <c r="AB274" s="95">
        <v>999</v>
      </c>
      <c r="AC274" s="95" t="s">
        <v>1605</v>
      </c>
      <c r="AD274" s="95">
        <v>999</v>
      </c>
      <c r="AE274" s="95" t="s">
        <v>1606</v>
      </c>
      <c r="AF274" s="95">
        <v>3</v>
      </c>
      <c r="AG274" s="95" t="s">
        <v>81</v>
      </c>
      <c r="AH274" s="95" t="s">
        <v>78</v>
      </c>
      <c r="AI274" s="95" t="s">
        <v>75</v>
      </c>
      <c r="AJ274" s="95" t="s">
        <v>1607</v>
      </c>
      <c r="AK274" s="95" t="s">
        <v>121</v>
      </c>
      <c r="AL274" s="95" t="s">
        <v>75</v>
      </c>
      <c r="AM274" s="95" t="s">
        <v>75</v>
      </c>
      <c r="AN274" s="95" t="s">
        <v>78</v>
      </c>
      <c r="AO274" s="97" t="s">
        <v>75</v>
      </c>
      <c r="AP274" s="98" t="s">
        <v>74</v>
      </c>
      <c r="AQ274" s="95" t="s">
        <v>228</v>
      </c>
    </row>
    <row r="275" spans="1:43" ht="13.2" hidden="1" x14ac:dyDescent="0.25">
      <c r="A275" s="90" t="s">
        <v>1608</v>
      </c>
      <c r="B275" s="90" t="s">
        <v>1609</v>
      </c>
      <c r="C275" s="90">
        <v>2019</v>
      </c>
      <c r="D275" s="90" t="s">
        <v>501</v>
      </c>
      <c r="E275" s="90" t="s">
        <v>78</v>
      </c>
      <c r="F275" s="90" t="s">
        <v>551</v>
      </c>
      <c r="G275" s="90" t="s">
        <v>583</v>
      </c>
      <c r="H275" s="90" t="s">
        <v>228</v>
      </c>
      <c r="I275" s="90" t="s">
        <v>679</v>
      </c>
      <c r="J275" s="90" t="s">
        <v>81</v>
      </c>
      <c r="K275" s="90" t="s">
        <v>74</v>
      </c>
      <c r="L275" s="92">
        <v>10560000</v>
      </c>
      <c r="M275" s="92">
        <v>10560000</v>
      </c>
      <c r="N275" s="92">
        <v>14686742.4</v>
      </c>
      <c r="O275" s="92">
        <v>9560000</v>
      </c>
      <c r="P275" s="92">
        <v>9560000</v>
      </c>
      <c r="Q275" s="92">
        <v>13295952.4</v>
      </c>
      <c r="R275" s="92">
        <v>9560000</v>
      </c>
      <c r="S275" s="92">
        <v>9560000</v>
      </c>
      <c r="T275" s="92">
        <v>13295952.4</v>
      </c>
      <c r="U275" s="90" t="s">
        <v>75</v>
      </c>
      <c r="V275" s="90" t="s">
        <v>1610</v>
      </c>
      <c r="W275" s="90" t="s">
        <v>75</v>
      </c>
      <c r="X275" s="90" t="s">
        <v>1611</v>
      </c>
      <c r="Y275" s="90" t="s">
        <v>75</v>
      </c>
      <c r="Z275" s="90">
        <v>999</v>
      </c>
      <c r="AA275" s="90" t="s">
        <v>1612</v>
      </c>
      <c r="AB275" s="90">
        <v>999</v>
      </c>
      <c r="AC275" s="90" t="s">
        <v>1613</v>
      </c>
      <c r="AD275" s="90">
        <v>0</v>
      </c>
      <c r="AE275" s="90" t="s">
        <v>78</v>
      </c>
      <c r="AF275" s="90">
        <v>4</v>
      </c>
      <c r="AG275" s="90" t="s">
        <v>75</v>
      </c>
      <c r="AH275" s="90" t="s">
        <v>1614</v>
      </c>
      <c r="AI275" s="90" t="s">
        <v>75</v>
      </c>
      <c r="AJ275" s="90" t="s">
        <v>1615</v>
      </c>
      <c r="AK275" s="90" t="s">
        <v>121</v>
      </c>
      <c r="AL275" s="90" t="s">
        <v>75</v>
      </c>
      <c r="AM275" s="90" t="s">
        <v>75</v>
      </c>
      <c r="AN275" s="90" t="s">
        <v>78</v>
      </c>
      <c r="AO275" s="79" t="s">
        <v>75</v>
      </c>
      <c r="AP275" s="94" t="s">
        <v>74</v>
      </c>
      <c r="AQ275" s="90" t="s">
        <v>228</v>
      </c>
    </row>
    <row r="276" spans="1:43" ht="13.2" hidden="1" x14ac:dyDescent="0.25">
      <c r="A276" s="90" t="s">
        <v>1616</v>
      </c>
      <c r="B276" s="90" t="s">
        <v>1617</v>
      </c>
      <c r="C276" s="90">
        <v>2019</v>
      </c>
      <c r="D276" s="90" t="s">
        <v>314</v>
      </c>
      <c r="E276" s="90" t="s">
        <v>78</v>
      </c>
      <c r="F276" s="90" t="s">
        <v>557</v>
      </c>
      <c r="G276" s="90" t="s">
        <v>587</v>
      </c>
      <c r="H276" s="90" t="s">
        <v>256</v>
      </c>
      <c r="I276" s="90" t="s">
        <v>679</v>
      </c>
      <c r="J276" s="90" t="s">
        <v>81</v>
      </c>
      <c r="K276" s="90" t="s">
        <v>74</v>
      </c>
      <c r="L276" s="92">
        <v>25218000</v>
      </c>
      <c r="M276" s="92">
        <v>25218000</v>
      </c>
      <c r="N276" s="92">
        <v>35072942.219999999</v>
      </c>
      <c r="O276" s="92">
        <v>22134000</v>
      </c>
      <c r="P276" s="92">
        <v>22134000</v>
      </c>
      <c r="Q276" s="92">
        <v>30783745.859999999</v>
      </c>
      <c r="R276" s="92">
        <v>22134000</v>
      </c>
      <c r="S276" s="92">
        <v>22134000</v>
      </c>
      <c r="T276" s="92">
        <v>30783745.859999999</v>
      </c>
      <c r="U276" s="90" t="s">
        <v>75</v>
      </c>
      <c r="V276" s="90" t="s">
        <v>1618</v>
      </c>
      <c r="W276" s="90" t="s">
        <v>75</v>
      </c>
      <c r="X276" s="90" t="s">
        <v>1619</v>
      </c>
      <c r="Y276" s="90" t="s">
        <v>75</v>
      </c>
      <c r="Z276" s="90">
        <v>999</v>
      </c>
      <c r="AA276" s="90" t="s">
        <v>1620</v>
      </c>
      <c r="AB276" s="90">
        <v>999</v>
      </c>
      <c r="AC276" s="90" t="s">
        <v>1621</v>
      </c>
      <c r="AD276" s="90">
        <v>999</v>
      </c>
      <c r="AE276" s="90" t="s">
        <v>1622</v>
      </c>
      <c r="AF276" s="90">
        <v>4</v>
      </c>
      <c r="AG276" s="90" t="s">
        <v>81</v>
      </c>
      <c r="AH276" s="90" t="s">
        <v>78</v>
      </c>
      <c r="AI276" s="90" t="s">
        <v>75</v>
      </c>
      <c r="AJ276" s="90" t="s">
        <v>1623</v>
      </c>
      <c r="AK276" s="90" t="s">
        <v>121</v>
      </c>
      <c r="AL276" s="90" t="s">
        <v>75</v>
      </c>
      <c r="AM276" s="90" t="s">
        <v>75</v>
      </c>
      <c r="AN276" s="90" t="s">
        <v>78</v>
      </c>
      <c r="AO276" s="79" t="s">
        <v>75</v>
      </c>
      <c r="AP276" s="94" t="s">
        <v>74</v>
      </c>
      <c r="AQ276" s="90" t="s">
        <v>256</v>
      </c>
    </row>
    <row r="277" spans="1:43" ht="13.2" hidden="1" x14ac:dyDescent="0.25">
      <c r="A277" s="90" t="s">
        <v>1624</v>
      </c>
      <c r="B277" s="90" t="s">
        <v>1625</v>
      </c>
      <c r="C277" s="90">
        <v>2019</v>
      </c>
      <c r="D277" s="90" t="s">
        <v>514</v>
      </c>
      <c r="E277" s="90" t="s">
        <v>78</v>
      </c>
      <c r="F277" s="90" t="s">
        <v>567</v>
      </c>
      <c r="G277" s="90" t="s">
        <v>576</v>
      </c>
      <c r="H277" s="90" t="s">
        <v>72</v>
      </c>
      <c r="I277" s="90" t="s">
        <v>679</v>
      </c>
      <c r="J277" s="90" t="s">
        <v>81</v>
      </c>
      <c r="K277" s="90" t="s">
        <v>126</v>
      </c>
      <c r="L277" s="92">
        <v>1000000</v>
      </c>
      <c r="M277" s="92">
        <v>719015.81115768733</v>
      </c>
      <c r="N277" s="92">
        <v>1000000</v>
      </c>
      <c r="O277" s="92">
        <v>714408.18</v>
      </c>
      <c r="P277" s="92">
        <v>714408.18</v>
      </c>
      <c r="Q277" s="92">
        <v>993591.75266220002</v>
      </c>
      <c r="R277" s="92">
        <v>714408.18</v>
      </c>
      <c r="S277" s="92">
        <v>714408.18</v>
      </c>
      <c r="T277" s="92">
        <v>993591.75266220002</v>
      </c>
      <c r="U277" s="90" t="s">
        <v>75</v>
      </c>
      <c r="V277" s="90" t="s">
        <v>1626</v>
      </c>
      <c r="W277" s="90" t="s">
        <v>75</v>
      </c>
      <c r="X277" s="90" t="s">
        <v>1627</v>
      </c>
      <c r="Y277" s="90" t="s">
        <v>75</v>
      </c>
      <c r="Z277" s="90">
        <v>0</v>
      </c>
      <c r="AA277" s="90" t="s">
        <v>78</v>
      </c>
      <c r="AB277" s="90">
        <v>999</v>
      </c>
      <c r="AC277" s="90" t="s">
        <v>1628</v>
      </c>
      <c r="AD277" s="90">
        <v>0</v>
      </c>
      <c r="AE277" s="90" t="s">
        <v>78</v>
      </c>
      <c r="AF277" s="90">
        <v>1</v>
      </c>
      <c r="AG277" s="90" t="s">
        <v>75</v>
      </c>
      <c r="AH277" s="90" t="s">
        <v>1629</v>
      </c>
      <c r="AI277" s="90" t="s">
        <v>75</v>
      </c>
      <c r="AJ277" s="90" t="s">
        <v>1630</v>
      </c>
      <c r="AK277" s="90" t="s">
        <v>121</v>
      </c>
      <c r="AL277" s="90" t="s">
        <v>81</v>
      </c>
      <c r="AM277" s="90" t="s">
        <v>81</v>
      </c>
      <c r="AN277" s="90" t="s">
        <v>78</v>
      </c>
      <c r="AO277" s="79" t="s">
        <v>75</v>
      </c>
      <c r="AP277" s="94" t="s">
        <v>126</v>
      </c>
      <c r="AQ277" s="90" t="s">
        <v>72</v>
      </c>
    </row>
    <row r="278" spans="1:43" ht="13.2" hidden="1" x14ac:dyDescent="0.25">
      <c r="A278" s="90" t="s">
        <v>1631</v>
      </c>
      <c r="B278" s="90" t="s">
        <v>1632</v>
      </c>
      <c r="C278" s="90">
        <v>2019</v>
      </c>
      <c r="D278" s="90" t="s">
        <v>516</v>
      </c>
      <c r="E278" s="90" t="s">
        <v>78</v>
      </c>
      <c r="F278" s="90" t="s">
        <v>569</v>
      </c>
      <c r="G278" s="90" t="s">
        <v>582</v>
      </c>
      <c r="H278" s="90" t="s">
        <v>228</v>
      </c>
      <c r="I278" s="90" t="s">
        <v>679</v>
      </c>
      <c r="J278" s="90" t="s">
        <v>81</v>
      </c>
      <c r="K278" s="90" t="s">
        <v>74</v>
      </c>
      <c r="L278" s="92">
        <v>9017700</v>
      </c>
      <c r="M278" s="92">
        <v>9017700</v>
      </c>
      <c r="N278" s="92">
        <v>12541726.982999999</v>
      </c>
      <c r="O278" s="92">
        <v>7500000</v>
      </c>
      <c r="P278" s="92">
        <v>7500000</v>
      </c>
      <c r="Q278" s="92">
        <v>10430925</v>
      </c>
      <c r="R278" s="92">
        <v>7500000</v>
      </c>
      <c r="S278" s="92">
        <v>7500000</v>
      </c>
      <c r="T278" s="92">
        <v>10430925</v>
      </c>
      <c r="U278" s="90" t="s">
        <v>75</v>
      </c>
      <c r="V278" s="90" t="s">
        <v>1633</v>
      </c>
      <c r="W278" s="90" t="s">
        <v>75</v>
      </c>
      <c r="X278" s="90" t="s">
        <v>1634</v>
      </c>
      <c r="Y278" s="90" t="s">
        <v>75</v>
      </c>
      <c r="Z278" s="90">
        <v>0</v>
      </c>
      <c r="AA278" s="90" t="s">
        <v>78</v>
      </c>
      <c r="AB278" s="90">
        <v>2</v>
      </c>
      <c r="AC278" s="90" t="s">
        <v>1635</v>
      </c>
      <c r="AD278" s="90">
        <v>999</v>
      </c>
      <c r="AE278" s="90" t="s">
        <v>1636</v>
      </c>
      <c r="AF278" s="90">
        <v>2</v>
      </c>
      <c r="AG278" s="90" t="s">
        <v>75</v>
      </c>
      <c r="AH278" s="90" t="s">
        <v>1637</v>
      </c>
      <c r="AI278" s="90" t="s">
        <v>75</v>
      </c>
      <c r="AJ278" s="90" t="s">
        <v>1638</v>
      </c>
      <c r="AK278" s="90" t="s">
        <v>121</v>
      </c>
      <c r="AL278" s="90" t="s">
        <v>75</v>
      </c>
      <c r="AM278" s="90" t="s">
        <v>75</v>
      </c>
      <c r="AN278" s="90" t="s">
        <v>78</v>
      </c>
      <c r="AO278" s="79" t="s">
        <v>75</v>
      </c>
      <c r="AP278" s="94" t="s">
        <v>74</v>
      </c>
      <c r="AQ278" s="90" t="s">
        <v>228</v>
      </c>
    </row>
    <row r="279" spans="1:43" ht="16.2" hidden="1" x14ac:dyDescent="0.45">
      <c r="A279" s="55" t="s">
        <v>1639</v>
      </c>
      <c r="B279" s="55" t="s">
        <v>1640</v>
      </c>
      <c r="C279" s="55">
        <v>2019</v>
      </c>
      <c r="D279" s="55" t="s">
        <v>317</v>
      </c>
      <c r="E279" s="55" t="s">
        <v>78</v>
      </c>
      <c r="F279" s="57" t="s">
        <v>526</v>
      </c>
      <c r="G279" s="55" t="s">
        <v>577</v>
      </c>
      <c r="H279" s="55" t="s">
        <v>115</v>
      </c>
      <c r="I279" s="55" t="s">
        <v>676</v>
      </c>
      <c r="J279" s="57" t="s">
        <v>81</v>
      </c>
      <c r="K279" s="55" t="s">
        <v>74</v>
      </c>
      <c r="L279" s="63">
        <v>6791000</v>
      </c>
      <c r="M279" s="63">
        <v>6791000</v>
      </c>
      <c r="N279" s="63">
        <v>9444854.8900000006</v>
      </c>
      <c r="O279" s="63">
        <v>6000000</v>
      </c>
      <c r="P279" s="63">
        <v>6000000</v>
      </c>
      <c r="Q279" s="63">
        <v>8344740</v>
      </c>
      <c r="R279" s="63">
        <v>6000000</v>
      </c>
      <c r="S279" s="63">
        <v>6000000</v>
      </c>
      <c r="T279" s="63">
        <v>8344740</v>
      </c>
      <c r="U279" s="55" t="s">
        <v>75</v>
      </c>
      <c r="V279" s="55" t="s">
        <v>1641</v>
      </c>
      <c r="W279" s="55" t="s">
        <v>75</v>
      </c>
      <c r="X279" s="55" t="s">
        <v>1642</v>
      </c>
      <c r="Y279" s="55" t="s">
        <v>75</v>
      </c>
      <c r="Z279" s="55">
        <v>999</v>
      </c>
      <c r="AA279" s="55" t="s">
        <v>1643</v>
      </c>
      <c r="AB279" s="55">
        <v>999</v>
      </c>
      <c r="AC279" s="55" t="s">
        <v>1644</v>
      </c>
      <c r="AD279" s="55">
        <v>999</v>
      </c>
      <c r="AE279" s="55" t="s">
        <v>1645</v>
      </c>
      <c r="AF279" s="55">
        <v>6</v>
      </c>
      <c r="AG279" s="55" t="s">
        <v>75</v>
      </c>
      <c r="AH279" s="55" t="s">
        <v>1646</v>
      </c>
      <c r="AI279" s="55" t="s">
        <v>75</v>
      </c>
      <c r="AJ279" s="55" t="s">
        <v>1647</v>
      </c>
      <c r="AK279" s="55" t="s">
        <v>1648</v>
      </c>
      <c r="AL279" s="55" t="s">
        <v>75</v>
      </c>
      <c r="AM279" s="55" t="s">
        <v>75</v>
      </c>
      <c r="AN279" s="55" t="s">
        <v>78</v>
      </c>
      <c r="AO279" s="60" t="s">
        <v>75</v>
      </c>
      <c r="AP279" s="58" t="s">
        <v>74</v>
      </c>
      <c r="AQ279" s="55" t="s">
        <v>115</v>
      </c>
    </row>
    <row r="280" spans="1:43" ht="16.2" hidden="1" x14ac:dyDescent="0.45">
      <c r="A280" s="55" t="s">
        <v>1649</v>
      </c>
      <c r="B280" s="55" t="s">
        <v>1650</v>
      </c>
      <c r="C280" s="55">
        <v>2019</v>
      </c>
      <c r="D280" s="55" t="s">
        <v>273</v>
      </c>
      <c r="E280" s="55" t="s">
        <v>78</v>
      </c>
      <c r="F280" s="57" t="s">
        <v>549</v>
      </c>
      <c r="G280" s="55" t="s">
        <v>585</v>
      </c>
      <c r="H280" s="55" t="s">
        <v>228</v>
      </c>
      <c r="I280" s="55" t="s">
        <v>1398</v>
      </c>
      <c r="J280" s="57" t="s">
        <v>75</v>
      </c>
      <c r="K280" s="55" t="s">
        <v>126</v>
      </c>
      <c r="L280" s="63">
        <v>1000000</v>
      </c>
      <c r="M280" s="63">
        <v>719015.81115768733</v>
      </c>
      <c r="N280" s="63">
        <v>1000000</v>
      </c>
      <c r="O280" s="63">
        <v>670794</v>
      </c>
      <c r="P280" s="63">
        <v>670794</v>
      </c>
      <c r="Q280" s="63">
        <v>932933.58725999994</v>
      </c>
      <c r="R280" s="63">
        <v>0</v>
      </c>
      <c r="S280" s="63">
        <v>0</v>
      </c>
      <c r="T280" s="63">
        <v>0</v>
      </c>
      <c r="U280" s="55" t="s">
        <v>75</v>
      </c>
      <c r="V280" s="55" t="s">
        <v>1651</v>
      </c>
      <c r="W280" s="55" t="s">
        <v>75</v>
      </c>
      <c r="X280" s="55" t="s">
        <v>1652</v>
      </c>
      <c r="Y280" s="55" t="s">
        <v>75</v>
      </c>
      <c r="Z280" s="55">
        <v>0</v>
      </c>
      <c r="AA280" s="55" t="s">
        <v>78</v>
      </c>
      <c r="AB280" s="55">
        <v>999</v>
      </c>
      <c r="AC280" s="55" t="s">
        <v>1653</v>
      </c>
      <c r="AD280" s="55">
        <v>0</v>
      </c>
      <c r="AE280" s="55" t="s">
        <v>78</v>
      </c>
      <c r="AF280" s="55">
        <v>1</v>
      </c>
      <c r="AG280" s="55" t="s">
        <v>81</v>
      </c>
      <c r="AH280" s="55" t="s">
        <v>78</v>
      </c>
      <c r="AI280" s="55" t="s">
        <v>75</v>
      </c>
      <c r="AJ280" s="55" t="s">
        <v>1654</v>
      </c>
      <c r="AK280" s="55" t="s">
        <v>132</v>
      </c>
      <c r="AL280" s="55" t="s">
        <v>75</v>
      </c>
      <c r="AM280" s="55" t="s">
        <v>75</v>
      </c>
      <c r="AN280" s="55" t="s">
        <v>78</v>
      </c>
      <c r="AO280" s="60" t="s">
        <v>75</v>
      </c>
      <c r="AP280" s="58" t="s">
        <v>126</v>
      </c>
      <c r="AQ280" s="55" t="s">
        <v>228</v>
      </c>
    </row>
    <row r="281" spans="1:43" ht="16.2" hidden="1" x14ac:dyDescent="0.45">
      <c r="A281" s="55" t="s">
        <v>1655</v>
      </c>
      <c r="B281" s="55" t="s">
        <v>1656</v>
      </c>
      <c r="C281" s="55">
        <v>2019</v>
      </c>
      <c r="D281" s="55" t="s">
        <v>135</v>
      </c>
      <c r="E281" s="55" t="s">
        <v>78</v>
      </c>
      <c r="F281" s="57" t="s">
        <v>530</v>
      </c>
      <c r="G281" s="55" t="s">
        <v>228</v>
      </c>
      <c r="H281" s="55" t="s">
        <v>228</v>
      </c>
      <c r="I281" s="55" t="s">
        <v>676</v>
      </c>
      <c r="J281" s="57" t="s">
        <v>81</v>
      </c>
      <c r="K281" s="55" t="s">
        <v>74</v>
      </c>
      <c r="L281" s="63">
        <v>10400000</v>
      </c>
      <c r="M281" s="63">
        <v>10400000</v>
      </c>
      <c r="N281" s="63">
        <v>14464216</v>
      </c>
      <c r="O281" s="63">
        <v>9400000</v>
      </c>
      <c r="P281" s="63">
        <v>9400000</v>
      </c>
      <c r="Q281" s="63">
        <v>13073426</v>
      </c>
      <c r="R281" s="63">
        <v>9400000</v>
      </c>
      <c r="S281" s="63">
        <v>9400000</v>
      </c>
      <c r="T281" s="63">
        <v>13073426</v>
      </c>
      <c r="U281" s="55" t="s">
        <v>81</v>
      </c>
      <c r="V281" s="55" t="s">
        <v>78</v>
      </c>
      <c r="W281" s="55" t="s">
        <v>81</v>
      </c>
      <c r="X281" s="55" t="s">
        <v>1657</v>
      </c>
      <c r="Y281" s="55" t="s">
        <v>81</v>
      </c>
      <c r="Z281" s="55">
        <v>0</v>
      </c>
      <c r="AA281" s="55" t="s">
        <v>78</v>
      </c>
      <c r="AB281" s="55">
        <v>0</v>
      </c>
      <c r="AC281" s="55" t="s">
        <v>78</v>
      </c>
      <c r="AD281" s="55">
        <v>0</v>
      </c>
      <c r="AE281" s="55" t="s">
        <v>78</v>
      </c>
      <c r="AF281" s="55">
        <v>0</v>
      </c>
      <c r="AG281" s="55" t="s">
        <v>81</v>
      </c>
      <c r="AH281" s="55" t="s">
        <v>78</v>
      </c>
      <c r="AI281" s="55" t="s">
        <v>81</v>
      </c>
      <c r="AJ281" s="55" t="s">
        <v>1423</v>
      </c>
      <c r="AK281" s="55" t="s">
        <v>1648</v>
      </c>
      <c r="AL281" s="55" t="s">
        <v>81</v>
      </c>
      <c r="AM281" s="55" t="s">
        <v>81</v>
      </c>
      <c r="AN281" s="55" t="s">
        <v>78</v>
      </c>
      <c r="AO281" s="60" t="s">
        <v>81</v>
      </c>
      <c r="AP281" s="58" t="s">
        <v>74</v>
      </c>
      <c r="AQ281" s="55" t="s">
        <v>228</v>
      </c>
    </row>
    <row r="282" spans="1:43" ht="13.2" hidden="1" x14ac:dyDescent="0.25">
      <c r="A282" s="90" t="s">
        <v>1658</v>
      </c>
      <c r="B282" s="90" t="s">
        <v>1659</v>
      </c>
      <c r="C282" s="90">
        <v>2019</v>
      </c>
      <c r="D282" s="90" t="s">
        <v>529</v>
      </c>
      <c r="E282" s="90" t="s">
        <v>78</v>
      </c>
      <c r="F282" s="90" t="s">
        <v>505</v>
      </c>
      <c r="G282" s="90" t="s">
        <v>584</v>
      </c>
      <c r="H282" s="90" t="s">
        <v>228</v>
      </c>
      <c r="I282" s="90" t="s">
        <v>679</v>
      </c>
      <c r="J282" s="90" t="s">
        <v>81</v>
      </c>
      <c r="K282" s="90" t="s">
        <v>104</v>
      </c>
      <c r="L282" s="92">
        <v>85400000</v>
      </c>
      <c r="M282" s="92">
        <v>70332059.559889317</v>
      </c>
      <c r="N282" s="92">
        <v>97817125.115298465</v>
      </c>
      <c r="O282" s="92">
        <v>59190736</v>
      </c>
      <c r="P282" s="92">
        <v>59190736</v>
      </c>
      <c r="Q282" s="92">
        <v>82321883.721440002</v>
      </c>
      <c r="R282" s="92">
        <v>59190736</v>
      </c>
      <c r="S282" s="92">
        <v>59190736</v>
      </c>
      <c r="T282" s="92">
        <v>82321883.721440002</v>
      </c>
      <c r="U282" s="90" t="s">
        <v>75</v>
      </c>
      <c r="V282" s="90" t="s">
        <v>1660</v>
      </c>
      <c r="W282" s="90" t="s">
        <v>75</v>
      </c>
      <c r="X282" s="90" t="s">
        <v>1661</v>
      </c>
      <c r="Y282" s="90" t="s">
        <v>75</v>
      </c>
      <c r="Z282" s="90">
        <v>999</v>
      </c>
      <c r="AA282" s="90" t="s">
        <v>1662</v>
      </c>
      <c r="AB282" s="90">
        <v>999</v>
      </c>
      <c r="AC282" s="90" t="s">
        <v>1663</v>
      </c>
      <c r="AD282" s="90">
        <v>999</v>
      </c>
      <c r="AE282" s="90" t="s">
        <v>1664</v>
      </c>
      <c r="AF282" s="90">
        <v>4</v>
      </c>
      <c r="AG282" s="90" t="s">
        <v>75</v>
      </c>
      <c r="AH282" s="90" t="s">
        <v>1665</v>
      </c>
      <c r="AI282" s="90" t="s">
        <v>75</v>
      </c>
      <c r="AJ282" s="90" t="s">
        <v>1666</v>
      </c>
      <c r="AK282" s="90" t="s">
        <v>1523</v>
      </c>
      <c r="AL282" s="90" t="s">
        <v>75</v>
      </c>
      <c r="AM282" s="90" t="s">
        <v>75</v>
      </c>
      <c r="AN282" s="90" t="s">
        <v>78</v>
      </c>
      <c r="AO282" s="79" t="s">
        <v>75</v>
      </c>
      <c r="AP282" s="94" t="s">
        <v>104</v>
      </c>
      <c r="AQ282" s="90" t="s">
        <v>228</v>
      </c>
    </row>
    <row r="283" spans="1:43" ht="16.2" hidden="1" x14ac:dyDescent="0.45">
      <c r="A283" s="55" t="s">
        <v>1667</v>
      </c>
      <c r="B283" s="55" t="s">
        <v>1668</v>
      </c>
      <c r="C283" s="55">
        <v>2019</v>
      </c>
      <c r="D283" s="55" t="s">
        <v>289</v>
      </c>
      <c r="E283" s="55" t="s">
        <v>78</v>
      </c>
      <c r="F283" s="57" t="s">
        <v>492</v>
      </c>
      <c r="G283" s="55" t="s">
        <v>586</v>
      </c>
      <c r="H283" s="55" t="s">
        <v>228</v>
      </c>
      <c r="I283" s="55" t="s">
        <v>676</v>
      </c>
      <c r="J283" s="57" t="s">
        <v>81</v>
      </c>
      <c r="K283" s="55" t="s">
        <v>74</v>
      </c>
      <c r="L283" s="63">
        <v>49490000</v>
      </c>
      <c r="M283" s="63">
        <v>49490000</v>
      </c>
      <c r="N283" s="63">
        <v>68830197.099999994</v>
      </c>
      <c r="O283" s="63">
        <v>42097947</v>
      </c>
      <c r="P283" s="63">
        <v>42097947</v>
      </c>
      <c r="Q283" s="63">
        <v>58549403.708130002</v>
      </c>
      <c r="R283" s="63">
        <v>42097947</v>
      </c>
      <c r="S283" s="63">
        <v>42097947</v>
      </c>
      <c r="T283" s="63">
        <v>58549403.708130002</v>
      </c>
      <c r="U283" s="55" t="s">
        <v>81</v>
      </c>
      <c r="V283" s="55" t="s">
        <v>78</v>
      </c>
      <c r="W283" s="55" t="s">
        <v>81</v>
      </c>
      <c r="X283" s="55" t="s">
        <v>1669</v>
      </c>
      <c r="Y283" s="55" t="s">
        <v>75</v>
      </c>
      <c r="Z283" s="55">
        <v>999</v>
      </c>
      <c r="AA283" s="55" t="s">
        <v>1670</v>
      </c>
      <c r="AB283" s="55">
        <v>0</v>
      </c>
      <c r="AC283" s="55" t="s">
        <v>78</v>
      </c>
      <c r="AD283" s="55">
        <v>0</v>
      </c>
      <c r="AE283" s="55" t="s">
        <v>78</v>
      </c>
      <c r="AF283" s="55">
        <v>1</v>
      </c>
      <c r="AG283" s="55" t="s">
        <v>81</v>
      </c>
      <c r="AH283" s="55" t="s">
        <v>78</v>
      </c>
      <c r="AI283" s="55" t="s">
        <v>81</v>
      </c>
      <c r="AJ283" s="55" t="s">
        <v>1423</v>
      </c>
      <c r="AK283" s="55" t="s">
        <v>132</v>
      </c>
      <c r="AL283" s="55" t="s">
        <v>75</v>
      </c>
      <c r="AM283" s="55" t="s">
        <v>75</v>
      </c>
      <c r="AN283" s="55" t="s">
        <v>78</v>
      </c>
      <c r="AO283" s="60" t="s">
        <v>81</v>
      </c>
      <c r="AP283" s="58" t="s">
        <v>74</v>
      </c>
      <c r="AQ283" s="55" t="s">
        <v>228</v>
      </c>
    </row>
    <row r="284" spans="1:43" ht="13.2" hidden="1" x14ac:dyDescent="0.25">
      <c r="A284" s="90" t="s">
        <v>1671</v>
      </c>
      <c r="B284" s="90" t="s">
        <v>1672</v>
      </c>
      <c r="C284" s="90">
        <v>2019</v>
      </c>
      <c r="D284" s="90" t="s">
        <v>87</v>
      </c>
      <c r="E284" s="90" t="s">
        <v>1673</v>
      </c>
      <c r="F284" s="90" t="s">
        <v>1848</v>
      </c>
      <c r="G284" s="90" t="s">
        <v>115</v>
      </c>
      <c r="H284" s="90" t="s">
        <v>115</v>
      </c>
      <c r="I284" s="90" t="s">
        <v>679</v>
      </c>
      <c r="J284" s="90" t="s">
        <v>75</v>
      </c>
      <c r="K284" s="90" t="s">
        <v>126</v>
      </c>
      <c r="L284" s="92">
        <v>15042283</v>
      </c>
      <c r="M284" s="92">
        <v>10815639.312908491</v>
      </c>
      <c r="N284" s="92">
        <v>15042283</v>
      </c>
      <c r="O284" s="92">
        <v>0</v>
      </c>
      <c r="P284" s="92">
        <v>0</v>
      </c>
      <c r="Q284" s="92">
        <v>0</v>
      </c>
      <c r="R284" s="92">
        <v>0</v>
      </c>
      <c r="S284" s="92">
        <v>0</v>
      </c>
      <c r="T284" s="92">
        <v>0</v>
      </c>
      <c r="U284" s="90" t="s">
        <v>81</v>
      </c>
      <c r="V284" s="90" t="s">
        <v>78</v>
      </c>
      <c r="W284" s="90" t="s">
        <v>81</v>
      </c>
      <c r="X284" s="90" t="s">
        <v>1674</v>
      </c>
      <c r="Y284" s="90" t="s">
        <v>81</v>
      </c>
      <c r="Z284" s="90">
        <v>0</v>
      </c>
      <c r="AA284" s="90" t="s">
        <v>78</v>
      </c>
      <c r="AB284" s="90">
        <v>0</v>
      </c>
      <c r="AC284" s="90" t="s">
        <v>78</v>
      </c>
      <c r="AD284" s="90">
        <v>0</v>
      </c>
      <c r="AE284" s="90" t="s">
        <v>78</v>
      </c>
      <c r="AF284" s="90">
        <v>0</v>
      </c>
      <c r="AG284" s="90" t="s">
        <v>81</v>
      </c>
      <c r="AH284" s="90" t="s">
        <v>78</v>
      </c>
      <c r="AI284" s="90" t="s">
        <v>81</v>
      </c>
      <c r="AJ284" s="90" t="s">
        <v>1423</v>
      </c>
      <c r="AK284" s="90" t="s">
        <v>1523</v>
      </c>
      <c r="AL284" s="90" t="s">
        <v>81</v>
      </c>
      <c r="AM284" s="90" t="s">
        <v>81</v>
      </c>
      <c r="AN284" s="90" t="s">
        <v>78</v>
      </c>
      <c r="AO284" s="79" t="s">
        <v>81</v>
      </c>
      <c r="AP284" s="94" t="s">
        <v>126</v>
      </c>
      <c r="AQ284" s="90" t="s">
        <v>115</v>
      </c>
    </row>
    <row r="285" spans="1:43" ht="13.2" hidden="1" x14ac:dyDescent="0.25">
      <c r="A285" s="90" t="s">
        <v>1675</v>
      </c>
      <c r="B285" s="90" t="s">
        <v>1676</v>
      </c>
      <c r="C285" s="90">
        <v>2019</v>
      </c>
      <c r="D285" s="90" t="s">
        <v>496</v>
      </c>
      <c r="E285" s="90" t="s">
        <v>78</v>
      </c>
      <c r="F285" s="90" t="s">
        <v>535</v>
      </c>
      <c r="G285" s="90" t="s">
        <v>585</v>
      </c>
      <c r="H285" s="90" t="s">
        <v>228</v>
      </c>
      <c r="I285" s="90" t="s">
        <v>679</v>
      </c>
      <c r="J285" s="90" t="s">
        <v>81</v>
      </c>
      <c r="K285" s="90" t="s">
        <v>74</v>
      </c>
      <c r="L285" s="92">
        <v>19135000</v>
      </c>
      <c r="M285" s="92">
        <v>19135000</v>
      </c>
      <c r="N285" s="92">
        <v>26612766.649999999</v>
      </c>
      <c r="O285" s="92">
        <v>17488000</v>
      </c>
      <c r="P285" s="92">
        <v>17488000</v>
      </c>
      <c r="Q285" s="92">
        <v>24322135.52</v>
      </c>
      <c r="R285" s="92">
        <v>15000000</v>
      </c>
      <c r="S285" s="92">
        <v>15000000</v>
      </c>
      <c r="T285" s="92">
        <v>20861850</v>
      </c>
      <c r="U285" s="90" t="s">
        <v>75</v>
      </c>
      <c r="V285" s="90" t="s">
        <v>1677</v>
      </c>
      <c r="W285" s="90" t="s">
        <v>75</v>
      </c>
      <c r="X285" s="90" t="s">
        <v>1678</v>
      </c>
      <c r="Y285" s="90" t="s">
        <v>75</v>
      </c>
      <c r="Z285" s="90">
        <v>999</v>
      </c>
      <c r="AA285" s="90" t="s">
        <v>1679</v>
      </c>
      <c r="AB285" s="90">
        <v>999</v>
      </c>
      <c r="AC285" s="90" t="s">
        <v>1680</v>
      </c>
      <c r="AD285" s="90">
        <v>999</v>
      </c>
      <c r="AE285" s="90" t="s">
        <v>1681</v>
      </c>
      <c r="AF285" s="90">
        <v>3</v>
      </c>
      <c r="AG285" s="90" t="s">
        <v>81</v>
      </c>
      <c r="AH285" s="90" t="s">
        <v>78</v>
      </c>
      <c r="AI285" s="90" t="s">
        <v>75</v>
      </c>
      <c r="AJ285" s="90" t="s">
        <v>1682</v>
      </c>
      <c r="AK285" s="90" t="s">
        <v>121</v>
      </c>
      <c r="AL285" s="90" t="s">
        <v>75</v>
      </c>
      <c r="AM285" s="90" t="s">
        <v>75</v>
      </c>
      <c r="AN285" s="90" t="s">
        <v>78</v>
      </c>
      <c r="AO285" s="79" t="s">
        <v>75</v>
      </c>
      <c r="AP285" s="94" t="s">
        <v>74</v>
      </c>
      <c r="AQ285" s="90" t="s">
        <v>228</v>
      </c>
    </row>
    <row r="286" spans="1:43" ht="16.2" hidden="1" x14ac:dyDescent="0.45">
      <c r="A286" s="55" t="s">
        <v>1683</v>
      </c>
      <c r="B286" s="55" t="s">
        <v>1684</v>
      </c>
      <c r="C286" s="55">
        <v>2019</v>
      </c>
      <c r="D286" s="55" t="s">
        <v>496</v>
      </c>
      <c r="E286" s="55" t="s">
        <v>78</v>
      </c>
      <c r="F286" s="57" t="s">
        <v>535</v>
      </c>
      <c r="G286" s="55" t="s">
        <v>585</v>
      </c>
      <c r="H286" s="55" t="s">
        <v>228</v>
      </c>
      <c r="I286" s="55" t="s">
        <v>1685</v>
      </c>
      <c r="J286" s="57" t="s">
        <v>75</v>
      </c>
      <c r="K286" s="55" t="s">
        <v>74</v>
      </c>
      <c r="L286" s="63">
        <v>12000000</v>
      </c>
      <c r="M286" s="63">
        <v>12000000</v>
      </c>
      <c r="N286" s="63">
        <v>16689480</v>
      </c>
      <c r="O286" s="63">
        <v>13120000</v>
      </c>
      <c r="P286" s="63">
        <v>13120000</v>
      </c>
      <c r="Q286" s="63">
        <v>18247164.800000001</v>
      </c>
      <c r="R286" s="63">
        <v>0</v>
      </c>
      <c r="S286" s="63">
        <v>0</v>
      </c>
      <c r="T286" s="63">
        <v>0</v>
      </c>
      <c r="U286" s="55" t="s">
        <v>81</v>
      </c>
      <c r="V286" s="55" t="s">
        <v>78</v>
      </c>
      <c r="W286" s="55" t="s">
        <v>81</v>
      </c>
      <c r="X286" s="55" t="s">
        <v>1686</v>
      </c>
      <c r="Y286" s="55" t="s">
        <v>81</v>
      </c>
      <c r="Z286" s="55">
        <v>0</v>
      </c>
      <c r="AA286" s="55" t="s">
        <v>78</v>
      </c>
      <c r="AB286" s="55">
        <v>0</v>
      </c>
      <c r="AC286" s="55" t="s">
        <v>78</v>
      </c>
      <c r="AD286" s="55">
        <v>0</v>
      </c>
      <c r="AE286" s="55" t="s">
        <v>78</v>
      </c>
      <c r="AF286" s="55">
        <v>0</v>
      </c>
      <c r="AG286" s="55" t="s">
        <v>81</v>
      </c>
      <c r="AH286" s="55" t="s">
        <v>78</v>
      </c>
      <c r="AI286" s="55" t="s">
        <v>81</v>
      </c>
      <c r="AJ286" s="55" t="s">
        <v>1423</v>
      </c>
      <c r="AK286" s="55" t="s">
        <v>121</v>
      </c>
      <c r="AL286" s="55" t="s">
        <v>81</v>
      </c>
      <c r="AM286" s="55" t="s">
        <v>81</v>
      </c>
      <c r="AN286" s="55" t="s">
        <v>78</v>
      </c>
      <c r="AO286" s="60" t="s">
        <v>81</v>
      </c>
      <c r="AP286" s="58" t="s">
        <v>74</v>
      </c>
      <c r="AQ286" s="55" t="s">
        <v>228</v>
      </c>
    </row>
    <row r="287" spans="1:43" ht="13.2" hidden="1" x14ac:dyDescent="0.25">
      <c r="A287" s="90" t="s">
        <v>1687</v>
      </c>
      <c r="B287" s="90" t="s">
        <v>1688</v>
      </c>
      <c r="C287" s="90">
        <v>2019</v>
      </c>
      <c r="D287" s="90" t="s">
        <v>484</v>
      </c>
      <c r="E287" s="90" t="s">
        <v>78</v>
      </c>
      <c r="F287" s="90" t="s">
        <v>525</v>
      </c>
      <c r="G287" s="90" t="s">
        <v>587</v>
      </c>
      <c r="H287" s="90" t="s">
        <v>256</v>
      </c>
      <c r="I287" s="90" t="s">
        <v>679</v>
      </c>
      <c r="J287" s="90" t="s">
        <v>81</v>
      </c>
      <c r="K287" s="90" t="s">
        <v>74</v>
      </c>
      <c r="L287" s="92">
        <v>12470000</v>
      </c>
      <c r="M287" s="92">
        <v>12470000</v>
      </c>
      <c r="N287" s="92">
        <v>17343151.300000001</v>
      </c>
      <c r="O287" s="92">
        <v>6500000</v>
      </c>
      <c r="P287" s="92">
        <v>6500000</v>
      </c>
      <c r="Q287" s="92">
        <v>9040135</v>
      </c>
      <c r="R287" s="92">
        <v>6500000</v>
      </c>
      <c r="S287" s="92">
        <v>6500000</v>
      </c>
      <c r="T287" s="92">
        <v>9040135</v>
      </c>
      <c r="U287" s="90" t="s">
        <v>75</v>
      </c>
      <c r="V287" s="90" t="s">
        <v>1689</v>
      </c>
      <c r="W287" s="90" t="s">
        <v>75</v>
      </c>
      <c r="X287" s="90" t="s">
        <v>1690</v>
      </c>
      <c r="Y287" s="90" t="s">
        <v>75</v>
      </c>
      <c r="Z287" s="90">
        <v>999</v>
      </c>
      <c r="AA287" s="90" t="s">
        <v>1691</v>
      </c>
      <c r="AB287" s="90">
        <v>999</v>
      </c>
      <c r="AC287" s="90" t="s">
        <v>1692</v>
      </c>
      <c r="AD287" s="90">
        <v>999</v>
      </c>
      <c r="AE287" s="90" t="s">
        <v>1693</v>
      </c>
      <c r="AF287" s="90">
        <v>5</v>
      </c>
      <c r="AG287" s="90" t="s">
        <v>75</v>
      </c>
      <c r="AH287" s="90" t="s">
        <v>1694</v>
      </c>
      <c r="AI287" s="90" t="s">
        <v>75</v>
      </c>
      <c r="AJ287" s="90" t="s">
        <v>1695</v>
      </c>
      <c r="AK287" s="90" t="s">
        <v>121</v>
      </c>
      <c r="AL287" s="90" t="s">
        <v>75</v>
      </c>
      <c r="AM287" s="90" t="s">
        <v>75</v>
      </c>
      <c r="AN287" s="90" t="s">
        <v>78</v>
      </c>
      <c r="AO287" s="79" t="s">
        <v>75</v>
      </c>
      <c r="AP287" s="94" t="s">
        <v>74</v>
      </c>
      <c r="AQ287" s="90" t="s">
        <v>256</v>
      </c>
    </row>
    <row r="288" spans="1:43" ht="13.2" hidden="1" x14ac:dyDescent="0.25">
      <c r="A288" s="90" t="s">
        <v>1696</v>
      </c>
      <c r="B288" s="90" t="s">
        <v>1697</v>
      </c>
      <c r="C288" s="90">
        <v>2019</v>
      </c>
      <c r="D288" s="90" t="s">
        <v>155</v>
      </c>
      <c r="E288" s="90" t="s">
        <v>78</v>
      </c>
      <c r="F288" s="90" t="s">
        <v>559</v>
      </c>
      <c r="G288" s="90" t="s">
        <v>115</v>
      </c>
      <c r="H288" s="90" t="s">
        <v>115</v>
      </c>
      <c r="I288" s="90" t="s">
        <v>679</v>
      </c>
      <c r="J288" s="90" t="s">
        <v>81</v>
      </c>
      <c r="K288" s="90" t="s">
        <v>74</v>
      </c>
      <c r="L288" s="92">
        <v>90000000</v>
      </c>
      <c r="M288" s="92">
        <v>90000000</v>
      </c>
      <c r="N288" s="92">
        <v>125171100</v>
      </c>
      <c r="O288" s="92">
        <v>49962352.170000002</v>
      </c>
      <c r="P288" s="92">
        <v>49962352.170000002</v>
      </c>
      <c r="Q288" s="92">
        <v>69487139.774514303</v>
      </c>
      <c r="R288" s="92">
        <v>49962352.170000002</v>
      </c>
      <c r="S288" s="92">
        <v>49962352.170000002</v>
      </c>
      <c r="T288" s="92">
        <v>69487139.774514303</v>
      </c>
      <c r="U288" s="90" t="s">
        <v>81</v>
      </c>
      <c r="V288" s="90" t="s">
        <v>78</v>
      </c>
      <c r="W288" s="90" t="s">
        <v>81</v>
      </c>
      <c r="X288" s="90" t="s">
        <v>1698</v>
      </c>
      <c r="Y288" s="90" t="s">
        <v>81</v>
      </c>
      <c r="Z288" s="90">
        <v>0</v>
      </c>
      <c r="AA288" s="90" t="s">
        <v>78</v>
      </c>
      <c r="AB288" s="90">
        <v>0</v>
      </c>
      <c r="AC288" s="90" t="s">
        <v>78</v>
      </c>
      <c r="AD288" s="90">
        <v>0</v>
      </c>
      <c r="AE288" s="90" t="s">
        <v>78</v>
      </c>
      <c r="AF288" s="90">
        <v>0</v>
      </c>
      <c r="AG288" s="90" t="s">
        <v>81</v>
      </c>
      <c r="AH288" s="90" t="s">
        <v>78</v>
      </c>
      <c r="AI288" s="90" t="s">
        <v>81</v>
      </c>
      <c r="AJ288" s="90" t="s">
        <v>1423</v>
      </c>
      <c r="AK288" s="90" t="s">
        <v>1523</v>
      </c>
      <c r="AL288" s="90" t="s">
        <v>81</v>
      </c>
      <c r="AM288" s="90" t="s">
        <v>81</v>
      </c>
      <c r="AN288" s="90" t="s">
        <v>78</v>
      </c>
      <c r="AO288" s="79" t="s">
        <v>81</v>
      </c>
      <c r="AP288" s="94" t="s">
        <v>74</v>
      </c>
      <c r="AQ288" s="90" t="s">
        <v>115</v>
      </c>
    </row>
    <row r="289" spans="1:43" ht="13.2" hidden="1" x14ac:dyDescent="0.25">
      <c r="A289" s="90" t="s">
        <v>1699</v>
      </c>
      <c r="B289" s="90" t="s">
        <v>1700</v>
      </c>
      <c r="C289" s="90">
        <v>2019</v>
      </c>
      <c r="D289" s="90" t="s">
        <v>184</v>
      </c>
      <c r="E289" s="90" t="s">
        <v>78</v>
      </c>
      <c r="F289" s="90" t="s">
        <v>554</v>
      </c>
      <c r="G289" s="90" t="s">
        <v>587</v>
      </c>
      <c r="H289" s="90" t="s">
        <v>256</v>
      </c>
      <c r="I289" s="90" t="s">
        <v>679</v>
      </c>
      <c r="J289" s="90" t="s">
        <v>81</v>
      </c>
      <c r="K289" s="90" t="s">
        <v>126</v>
      </c>
      <c r="L289" s="92">
        <v>222900000</v>
      </c>
      <c r="M289" s="92">
        <v>160268624.30704853</v>
      </c>
      <c r="N289" s="92">
        <v>222900000.00000003</v>
      </c>
      <c r="O289" s="92">
        <v>76026762.590000004</v>
      </c>
      <c r="P289" s="92">
        <v>76026762.590000004</v>
      </c>
      <c r="Q289" s="92">
        <v>105737261.1425461</v>
      </c>
      <c r="R289" s="92">
        <v>76026762.590000004</v>
      </c>
      <c r="S289" s="92">
        <v>76026762.590000004</v>
      </c>
      <c r="T289" s="92">
        <v>105737261.1425461</v>
      </c>
      <c r="U289" s="90" t="s">
        <v>75</v>
      </c>
      <c r="V289" s="90" t="s">
        <v>1701</v>
      </c>
      <c r="W289" s="90" t="s">
        <v>75</v>
      </c>
      <c r="X289" s="90" t="s">
        <v>1702</v>
      </c>
      <c r="Y289" s="90" t="s">
        <v>75</v>
      </c>
      <c r="Z289" s="90">
        <v>999</v>
      </c>
      <c r="AA289" s="90" t="s">
        <v>1703</v>
      </c>
      <c r="AB289" s="90">
        <v>0</v>
      </c>
      <c r="AC289" s="90" t="s">
        <v>78</v>
      </c>
      <c r="AD289" s="90">
        <v>0</v>
      </c>
      <c r="AE289" s="90" t="s">
        <v>78</v>
      </c>
      <c r="AF289" s="90">
        <v>1</v>
      </c>
      <c r="AG289" s="90" t="s">
        <v>81</v>
      </c>
      <c r="AH289" s="90" t="s">
        <v>78</v>
      </c>
      <c r="AI289" s="90" t="s">
        <v>75</v>
      </c>
      <c r="AJ289" s="90" t="s">
        <v>1704</v>
      </c>
      <c r="AK289" s="90" t="s">
        <v>121</v>
      </c>
      <c r="AL289" s="90" t="s">
        <v>75</v>
      </c>
      <c r="AM289" s="90" t="s">
        <v>75</v>
      </c>
      <c r="AN289" s="90" t="s">
        <v>78</v>
      </c>
      <c r="AO289" s="79" t="s">
        <v>75</v>
      </c>
      <c r="AP289" s="94" t="s">
        <v>126</v>
      </c>
      <c r="AQ289" s="90" t="s">
        <v>256</v>
      </c>
    </row>
    <row r="290" spans="1:43" ht="16.2" hidden="1" x14ac:dyDescent="0.45">
      <c r="A290" s="55" t="s">
        <v>1705</v>
      </c>
      <c r="B290" s="55" t="s">
        <v>1706</v>
      </c>
      <c r="C290" s="55">
        <v>2019</v>
      </c>
      <c r="D290" s="55" t="s">
        <v>151</v>
      </c>
      <c r="E290" s="55" t="s">
        <v>78</v>
      </c>
      <c r="F290" s="57" t="s">
        <v>546</v>
      </c>
      <c r="G290" s="55" t="s">
        <v>115</v>
      </c>
      <c r="H290" s="55" t="s">
        <v>115</v>
      </c>
      <c r="I290" s="55" t="s">
        <v>689</v>
      </c>
      <c r="J290" s="57" t="s">
        <v>81</v>
      </c>
      <c r="K290" s="55" t="s">
        <v>126</v>
      </c>
      <c r="L290" s="63">
        <v>134650000</v>
      </c>
      <c r="M290" s="63">
        <v>96815478.972382605</v>
      </c>
      <c r="N290" s="63">
        <v>134650000</v>
      </c>
      <c r="O290" s="63">
        <v>145739269.59999999</v>
      </c>
      <c r="P290" s="63">
        <v>145739269.59999999</v>
      </c>
      <c r="Q290" s="63">
        <v>202692718.76698399</v>
      </c>
      <c r="R290" s="63">
        <v>145739269.59999999</v>
      </c>
      <c r="S290" s="63">
        <v>145739269.59999999</v>
      </c>
      <c r="T290" s="63">
        <v>202692718.76698399</v>
      </c>
      <c r="U290" s="55" t="s">
        <v>75</v>
      </c>
      <c r="V290" s="55" t="s">
        <v>1707</v>
      </c>
      <c r="W290" s="55" t="s">
        <v>75</v>
      </c>
      <c r="X290" s="55" t="s">
        <v>1708</v>
      </c>
      <c r="Y290" s="55" t="s">
        <v>75</v>
      </c>
      <c r="Z290" s="55">
        <v>0</v>
      </c>
      <c r="AA290" s="55" t="s">
        <v>78</v>
      </c>
      <c r="AB290" s="55">
        <v>999</v>
      </c>
      <c r="AC290" s="55" t="s">
        <v>1709</v>
      </c>
      <c r="AD290" s="55">
        <v>0</v>
      </c>
      <c r="AE290" s="55" t="s">
        <v>78</v>
      </c>
      <c r="AF290" s="55">
        <v>1</v>
      </c>
      <c r="AG290" s="55" t="s">
        <v>75</v>
      </c>
      <c r="AH290" s="55" t="s">
        <v>1710</v>
      </c>
      <c r="AI290" s="55" t="s">
        <v>75</v>
      </c>
      <c r="AJ290" s="55" t="s">
        <v>1711</v>
      </c>
      <c r="AK290" s="55" t="s">
        <v>121</v>
      </c>
      <c r="AL290" s="55" t="s">
        <v>81</v>
      </c>
      <c r="AM290" s="55" t="s">
        <v>81</v>
      </c>
      <c r="AN290" s="55" t="s">
        <v>78</v>
      </c>
      <c r="AO290" s="60" t="s">
        <v>75</v>
      </c>
      <c r="AP290" s="58" t="s">
        <v>126</v>
      </c>
      <c r="AQ290" s="55" t="s">
        <v>115</v>
      </c>
    </row>
    <row r="291" spans="1:43" ht="13.2" hidden="1" x14ac:dyDescent="0.25">
      <c r="A291" s="90" t="s">
        <v>1712</v>
      </c>
      <c r="B291" s="90" t="s">
        <v>1713</v>
      </c>
      <c r="C291" s="90">
        <v>2019</v>
      </c>
      <c r="D291" s="90" t="s">
        <v>226</v>
      </c>
      <c r="E291" s="90" t="s">
        <v>78</v>
      </c>
      <c r="F291" s="90" t="s">
        <v>534</v>
      </c>
      <c r="G291" s="90" t="s">
        <v>587</v>
      </c>
      <c r="H291" s="90" t="s">
        <v>256</v>
      </c>
      <c r="I291" s="90" t="s">
        <v>679</v>
      </c>
      <c r="J291" s="90" t="s">
        <v>81</v>
      </c>
      <c r="K291" s="90" t="s">
        <v>104</v>
      </c>
      <c r="L291" s="92">
        <v>282440000</v>
      </c>
      <c r="M291" s="92">
        <v>232606404.00579786</v>
      </c>
      <c r="N291" s="92">
        <v>323506660.62722361</v>
      </c>
      <c r="O291" s="92">
        <v>86947420.959999993</v>
      </c>
      <c r="P291" s="92">
        <v>86947420.959999993</v>
      </c>
      <c r="Q291" s="92">
        <v>120925603.59695838</v>
      </c>
      <c r="R291" s="92">
        <v>86947420.959999993</v>
      </c>
      <c r="S291" s="92">
        <v>86947420.959999993</v>
      </c>
      <c r="T291" s="92">
        <v>120925603.59695838</v>
      </c>
      <c r="U291" s="90" t="s">
        <v>75</v>
      </c>
      <c r="V291" s="90" t="s">
        <v>1689</v>
      </c>
      <c r="W291" s="90" t="s">
        <v>75</v>
      </c>
      <c r="X291" s="90" t="s">
        <v>1714</v>
      </c>
      <c r="Y291" s="90" t="s">
        <v>75</v>
      </c>
      <c r="Z291" s="90">
        <v>999</v>
      </c>
      <c r="AA291" s="90" t="s">
        <v>1715</v>
      </c>
      <c r="AB291" s="90">
        <v>999</v>
      </c>
      <c r="AC291" s="90" t="s">
        <v>1716</v>
      </c>
      <c r="AD291" s="90">
        <v>0</v>
      </c>
      <c r="AE291" s="90" t="s">
        <v>78</v>
      </c>
      <c r="AF291" s="90">
        <v>3</v>
      </c>
      <c r="AG291" s="90" t="s">
        <v>81</v>
      </c>
      <c r="AH291" s="90" t="s">
        <v>78</v>
      </c>
      <c r="AI291" s="90" t="s">
        <v>75</v>
      </c>
      <c r="AJ291" s="90" t="s">
        <v>1695</v>
      </c>
      <c r="AK291" s="90" t="s">
        <v>121</v>
      </c>
      <c r="AL291" s="90" t="s">
        <v>75</v>
      </c>
      <c r="AM291" s="90" t="s">
        <v>75</v>
      </c>
      <c r="AN291" s="90" t="s">
        <v>78</v>
      </c>
      <c r="AO291" s="79" t="s">
        <v>75</v>
      </c>
      <c r="AP291" s="94" t="s">
        <v>104</v>
      </c>
      <c r="AQ291" s="90" t="s">
        <v>256</v>
      </c>
    </row>
    <row r="292" spans="1:43" ht="16.2" hidden="1" x14ac:dyDescent="0.45">
      <c r="A292" s="55" t="s">
        <v>1717</v>
      </c>
      <c r="B292" s="55" t="s">
        <v>1718</v>
      </c>
      <c r="C292" s="55">
        <v>2019</v>
      </c>
      <c r="D292" s="55" t="s">
        <v>135</v>
      </c>
      <c r="E292" s="55" t="s">
        <v>78</v>
      </c>
      <c r="F292" s="57" t="s">
        <v>530</v>
      </c>
      <c r="G292" s="55" t="s">
        <v>228</v>
      </c>
      <c r="H292" s="55" t="s">
        <v>228</v>
      </c>
      <c r="I292" s="55" t="s">
        <v>676</v>
      </c>
      <c r="J292" s="57" t="s">
        <v>81</v>
      </c>
      <c r="K292" s="55" t="s">
        <v>104</v>
      </c>
      <c r="L292" s="63">
        <v>140690000</v>
      </c>
      <c r="M292" s="63">
        <v>115866714.9822111</v>
      </c>
      <c r="N292" s="63">
        <v>161146268.53010938</v>
      </c>
      <c r="O292" s="63">
        <v>89882685</v>
      </c>
      <c r="P292" s="63">
        <v>89882685</v>
      </c>
      <c r="Q292" s="63">
        <v>125007939.47115</v>
      </c>
      <c r="R292" s="63">
        <v>89882685</v>
      </c>
      <c r="S292" s="63">
        <v>89882685</v>
      </c>
      <c r="T292" s="63">
        <v>125007939.47115</v>
      </c>
      <c r="U292" s="55" t="s">
        <v>75</v>
      </c>
      <c r="V292" s="55" t="s">
        <v>1719</v>
      </c>
      <c r="W292" s="55" t="s">
        <v>75</v>
      </c>
      <c r="X292" s="55" t="s">
        <v>1720</v>
      </c>
      <c r="Y292" s="55" t="s">
        <v>75</v>
      </c>
      <c r="Z292" s="55">
        <v>0</v>
      </c>
      <c r="AA292" s="55" t="s">
        <v>78</v>
      </c>
      <c r="AB292" s="55">
        <v>999</v>
      </c>
      <c r="AC292" s="55" t="s">
        <v>1721</v>
      </c>
      <c r="AD292" s="55">
        <v>0</v>
      </c>
      <c r="AE292" s="55" t="s">
        <v>78</v>
      </c>
      <c r="AF292" s="55">
        <v>3</v>
      </c>
      <c r="AG292" s="55" t="s">
        <v>81</v>
      </c>
      <c r="AH292" s="55" t="s">
        <v>78</v>
      </c>
      <c r="AI292" s="55" t="s">
        <v>81</v>
      </c>
      <c r="AJ292" s="55" t="s">
        <v>1423</v>
      </c>
      <c r="AK292" s="55" t="s">
        <v>121</v>
      </c>
      <c r="AL292" s="55" t="s">
        <v>75</v>
      </c>
      <c r="AM292" s="55" t="s">
        <v>75</v>
      </c>
      <c r="AN292" s="55" t="s">
        <v>78</v>
      </c>
      <c r="AO292" s="60" t="s">
        <v>75</v>
      </c>
      <c r="AP292" s="58" t="s">
        <v>104</v>
      </c>
      <c r="AQ292" s="55" t="s">
        <v>228</v>
      </c>
    </row>
    <row r="293" spans="1:43" ht="16.2" hidden="1" x14ac:dyDescent="0.45">
      <c r="A293" s="55" t="s">
        <v>1722</v>
      </c>
      <c r="B293" s="55" t="s">
        <v>1723</v>
      </c>
      <c r="C293" s="55">
        <v>2019</v>
      </c>
      <c r="D293" s="55" t="s">
        <v>314</v>
      </c>
      <c r="E293" s="55" t="s">
        <v>78</v>
      </c>
      <c r="F293" s="57" t="s">
        <v>557</v>
      </c>
      <c r="G293" s="55" t="s">
        <v>585</v>
      </c>
      <c r="H293" s="55" t="s">
        <v>228</v>
      </c>
      <c r="I293" s="55" t="s">
        <v>1722</v>
      </c>
      <c r="J293" s="57" t="s">
        <v>81</v>
      </c>
      <c r="K293" s="55" t="s">
        <v>126</v>
      </c>
      <c r="L293" s="63">
        <v>60000000</v>
      </c>
      <c r="M293" s="63">
        <v>43140948.669461243</v>
      </c>
      <c r="N293" s="63">
        <v>60000000</v>
      </c>
      <c r="O293" s="63">
        <v>43703110</v>
      </c>
      <c r="P293" s="63">
        <v>43703110</v>
      </c>
      <c r="Q293" s="63">
        <v>60781848.356899999</v>
      </c>
      <c r="R293" s="63">
        <v>43703110</v>
      </c>
      <c r="S293" s="63">
        <v>43703110</v>
      </c>
      <c r="T293" s="63">
        <v>60781848.356899999</v>
      </c>
      <c r="U293" s="55" t="s">
        <v>81</v>
      </c>
      <c r="V293" s="55" t="s">
        <v>78</v>
      </c>
      <c r="W293" s="55" t="s">
        <v>75</v>
      </c>
      <c r="X293" s="55" t="s">
        <v>1724</v>
      </c>
      <c r="Y293" s="55" t="s">
        <v>75</v>
      </c>
      <c r="Z293" s="55">
        <v>0</v>
      </c>
      <c r="AA293" s="55" t="s">
        <v>78</v>
      </c>
      <c r="AB293" s="55">
        <v>999</v>
      </c>
      <c r="AC293" s="55" t="s">
        <v>1725</v>
      </c>
      <c r="AD293" s="55">
        <v>0</v>
      </c>
      <c r="AE293" s="55" t="s">
        <v>78</v>
      </c>
      <c r="AF293" s="55">
        <v>1</v>
      </c>
      <c r="AG293" s="55" t="s">
        <v>81</v>
      </c>
      <c r="AH293" s="55" t="s">
        <v>78</v>
      </c>
      <c r="AI293" s="55" t="s">
        <v>81</v>
      </c>
      <c r="AJ293" s="55" t="s">
        <v>1423</v>
      </c>
      <c r="AK293" s="55" t="s">
        <v>397</v>
      </c>
      <c r="AL293" s="55" t="s">
        <v>75</v>
      </c>
      <c r="AM293" s="55" t="s">
        <v>81</v>
      </c>
      <c r="AN293" s="55" t="s">
        <v>78</v>
      </c>
      <c r="AO293" s="60" t="s">
        <v>81</v>
      </c>
      <c r="AP293" s="58" t="s">
        <v>126</v>
      </c>
      <c r="AQ293" s="55" t="s">
        <v>228</v>
      </c>
    </row>
    <row r="294" spans="1:43" ht="16.2" x14ac:dyDescent="0.45">
      <c r="A294" s="55" t="s">
        <v>1726</v>
      </c>
      <c r="B294" s="55" t="s">
        <v>1727</v>
      </c>
      <c r="C294" s="55">
        <v>2019</v>
      </c>
      <c r="D294" s="55" t="s">
        <v>145</v>
      </c>
      <c r="E294" s="55" t="s">
        <v>78</v>
      </c>
      <c r="F294" s="57" t="s">
        <v>543</v>
      </c>
      <c r="G294" s="55" t="s">
        <v>572</v>
      </c>
      <c r="H294" s="55" t="s">
        <v>466</v>
      </c>
      <c r="I294" s="55" t="s">
        <v>676</v>
      </c>
      <c r="J294" s="57" t="s">
        <v>81</v>
      </c>
      <c r="K294" s="55" t="s">
        <v>74</v>
      </c>
      <c r="L294" s="63">
        <v>31080000</v>
      </c>
      <c r="M294" s="63">
        <v>31080000</v>
      </c>
      <c r="N294" s="63">
        <v>43225753.199999996</v>
      </c>
      <c r="O294" s="63">
        <v>26900000</v>
      </c>
      <c r="P294" s="63">
        <v>26900000</v>
      </c>
      <c r="Q294" s="63">
        <v>37412251</v>
      </c>
      <c r="R294" s="63">
        <v>26900000</v>
      </c>
      <c r="S294" s="63">
        <v>26900000</v>
      </c>
      <c r="T294" s="63">
        <v>37412251</v>
      </c>
      <c r="U294" s="55" t="s">
        <v>81</v>
      </c>
      <c r="V294" s="55" t="s">
        <v>78</v>
      </c>
      <c r="W294" s="55" t="s">
        <v>81</v>
      </c>
      <c r="X294" s="55" t="s">
        <v>1728</v>
      </c>
      <c r="Y294" s="55" t="s">
        <v>81</v>
      </c>
      <c r="Z294" s="55">
        <v>0</v>
      </c>
      <c r="AA294" s="55" t="s">
        <v>78</v>
      </c>
      <c r="AB294" s="55">
        <v>0</v>
      </c>
      <c r="AC294" s="55" t="s">
        <v>78</v>
      </c>
      <c r="AD294" s="55">
        <v>0</v>
      </c>
      <c r="AE294" s="55" t="s">
        <v>78</v>
      </c>
      <c r="AF294" s="55">
        <v>0</v>
      </c>
      <c r="AG294" s="55" t="s">
        <v>81</v>
      </c>
      <c r="AH294" s="55" t="s">
        <v>78</v>
      </c>
      <c r="AI294" s="55" t="s">
        <v>81</v>
      </c>
      <c r="AJ294" s="55" t="s">
        <v>1423</v>
      </c>
      <c r="AK294" s="55" t="s">
        <v>1523</v>
      </c>
      <c r="AL294" s="55" t="s">
        <v>81</v>
      </c>
      <c r="AM294" s="55" t="s">
        <v>81</v>
      </c>
      <c r="AN294" s="55" t="s">
        <v>78</v>
      </c>
      <c r="AO294" s="60" t="s">
        <v>81</v>
      </c>
      <c r="AP294" s="58" t="s">
        <v>74</v>
      </c>
      <c r="AQ294" s="55" t="s">
        <v>466</v>
      </c>
    </row>
    <row r="295" spans="1:43" ht="13.2" hidden="1" x14ac:dyDescent="0.25">
      <c r="A295" s="90" t="s">
        <v>1729</v>
      </c>
      <c r="B295" s="90" t="s">
        <v>1730</v>
      </c>
      <c r="C295" s="90">
        <v>2019</v>
      </c>
      <c r="D295" s="90" t="s">
        <v>155</v>
      </c>
      <c r="E295" s="90" t="s">
        <v>78</v>
      </c>
      <c r="F295" s="90" t="s">
        <v>559</v>
      </c>
      <c r="G295" s="90" t="s">
        <v>584</v>
      </c>
      <c r="H295" s="90" t="s">
        <v>228</v>
      </c>
      <c r="I295" s="90" t="s">
        <v>679</v>
      </c>
      <c r="J295" s="90" t="s">
        <v>81</v>
      </c>
      <c r="K295" s="90" t="s">
        <v>104</v>
      </c>
      <c r="L295" s="92">
        <v>121980000</v>
      </c>
      <c r="M295" s="92">
        <v>100457899.59151404</v>
      </c>
      <c r="N295" s="92">
        <v>139715842.17288181</v>
      </c>
      <c r="O295" s="92">
        <v>34560000</v>
      </c>
      <c r="P295" s="92">
        <v>34560000</v>
      </c>
      <c r="Q295" s="92">
        <v>48065702.399999999</v>
      </c>
      <c r="R295" s="92">
        <v>34560000</v>
      </c>
      <c r="S295" s="92">
        <v>34560000</v>
      </c>
      <c r="T295" s="92">
        <v>48065702.399999999</v>
      </c>
      <c r="U295" s="90" t="s">
        <v>75</v>
      </c>
      <c r="V295" s="90" t="s">
        <v>1731</v>
      </c>
      <c r="W295" s="90" t="s">
        <v>75</v>
      </c>
      <c r="X295" s="90" t="s">
        <v>1732</v>
      </c>
      <c r="Y295" s="90" t="s">
        <v>81</v>
      </c>
      <c r="Z295" s="90">
        <v>0</v>
      </c>
      <c r="AA295" s="90" t="s">
        <v>78</v>
      </c>
      <c r="AB295" s="90">
        <v>999</v>
      </c>
      <c r="AC295" s="90" t="s">
        <v>1733</v>
      </c>
      <c r="AD295" s="90">
        <v>999</v>
      </c>
      <c r="AE295" s="90" t="s">
        <v>1734</v>
      </c>
      <c r="AF295" s="90">
        <v>2</v>
      </c>
      <c r="AG295" s="90" t="s">
        <v>81</v>
      </c>
      <c r="AH295" s="90" t="s">
        <v>78</v>
      </c>
      <c r="AI295" s="90" t="s">
        <v>75</v>
      </c>
      <c r="AJ295" s="90" t="s">
        <v>1735</v>
      </c>
      <c r="AK295" s="90" t="s">
        <v>121</v>
      </c>
      <c r="AL295" s="90" t="s">
        <v>75</v>
      </c>
      <c r="AM295" s="90" t="s">
        <v>81</v>
      </c>
      <c r="AN295" s="90" t="s">
        <v>78</v>
      </c>
      <c r="AO295" s="79" t="s">
        <v>75</v>
      </c>
      <c r="AP295" s="94" t="s">
        <v>104</v>
      </c>
      <c r="AQ295" s="90" t="s">
        <v>228</v>
      </c>
    </row>
    <row r="296" spans="1:43" ht="13.2" hidden="1" x14ac:dyDescent="0.25">
      <c r="A296" s="90" t="s">
        <v>1736</v>
      </c>
      <c r="B296" s="90" t="s">
        <v>1737</v>
      </c>
      <c r="C296" s="90">
        <v>2019</v>
      </c>
      <c r="D296" s="90" t="s">
        <v>502</v>
      </c>
      <c r="E296" s="90" t="s">
        <v>78</v>
      </c>
      <c r="F296" s="90" t="s">
        <v>548</v>
      </c>
      <c r="G296" s="90" t="s">
        <v>584</v>
      </c>
      <c r="H296" s="90" t="s">
        <v>228</v>
      </c>
      <c r="I296" s="90" t="s">
        <v>679</v>
      </c>
      <c r="J296" s="90" t="s">
        <v>75</v>
      </c>
      <c r="K296" s="90" t="s">
        <v>74</v>
      </c>
      <c r="L296" s="92">
        <v>37400000</v>
      </c>
      <c r="M296" s="92">
        <v>37400000</v>
      </c>
      <c r="N296" s="92">
        <v>52015546</v>
      </c>
      <c r="O296" s="92">
        <v>10500000</v>
      </c>
      <c r="P296" s="92">
        <v>10500000</v>
      </c>
      <c r="Q296" s="92">
        <v>14603295</v>
      </c>
      <c r="R296" s="92">
        <v>0</v>
      </c>
      <c r="S296" s="92">
        <v>0</v>
      </c>
      <c r="T296" s="92">
        <v>0</v>
      </c>
      <c r="U296" s="90" t="s">
        <v>75</v>
      </c>
      <c r="V296" s="90" t="s">
        <v>1738</v>
      </c>
      <c r="W296" s="90" t="s">
        <v>75</v>
      </c>
      <c r="X296" s="90" t="s">
        <v>1739</v>
      </c>
      <c r="Y296" s="90" t="s">
        <v>75</v>
      </c>
      <c r="Z296" s="90">
        <v>0</v>
      </c>
      <c r="AA296" s="90" t="s">
        <v>78</v>
      </c>
      <c r="AB296" s="90">
        <v>999</v>
      </c>
      <c r="AC296" s="90" t="s">
        <v>1740</v>
      </c>
      <c r="AD296" s="90">
        <v>0</v>
      </c>
      <c r="AE296" s="90" t="s">
        <v>78</v>
      </c>
      <c r="AF296" s="90">
        <v>1</v>
      </c>
      <c r="AG296" s="90" t="s">
        <v>81</v>
      </c>
      <c r="AH296" s="90" t="s">
        <v>78</v>
      </c>
      <c r="AI296" s="90" t="s">
        <v>75</v>
      </c>
      <c r="AJ296" s="90" t="s">
        <v>1735</v>
      </c>
      <c r="AK296" s="90" t="s">
        <v>121</v>
      </c>
      <c r="AL296" s="90" t="s">
        <v>75</v>
      </c>
      <c r="AM296" s="90" t="s">
        <v>75</v>
      </c>
      <c r="AN296" s="90" t="s">
        <v>78</v>
      </c>
      <c r="AO296" s="79" t="s">
        <v>75</v>
      </c>
      <c r="AP296" s="94" t="s">
        <v>74</v>
      </c>
      <c r="AQ296" s="90" t="s">
        <v>228</v>
      </c>
    </row>
    <row r="297" spans="1:43" ht="13.2" hidden="1" x14ac:dyDescent="0.25">
      <c r="A297" s="90" t="s">
        <v>1741</v>
      </c>
      <c r="B297" s="90" t="s">
        <v>1742</v>
      </c>
      <c r="C297" s="90">
        <v>2019</v>
      </c>
      <c r="D297" s="90" t="s">
        <v>135</v>
      </c>
      <c r="E297" s="90" t="s">
        <v>78</v>
      </c>
      <c r="F297" s="90" t="s">
        <v>530</v>
      </c>
      <c r="G297" s="90" t="s">
        <v>597</v>
      </c>
      <c r="H297" s="90" t="s">
        <v>101</v>
      </c>
      <c r="I297" s="90" t="s">
        <v>679</v>
      </c>
      <c r="J297" s="90" t="s">
        <v>81</v>
      </c>
      <c r="K297" s="90" t="s">
        <v>104</v>
      </c>
      <c r="L297" s="92">
        <v>175846576</v>
      </c>
      <c r="M297" s="92">
        <v>144820279.35169324</v>
      </c>
      <c r="N297" s="92">
        <v>201414596.31954145</v>
      </c>
      <c r="O297" s="92">
        <v>61767031.229999997</v>
      </c>
      <c r="P297" s="92">
        <v>61767031.229999997</v>
      </c>
      <c r="Q297" s="92">
        <v>85904969.364371687</v>
      </c>
      <c r="R297" s="92">
        <v>61767031.229999997</v>
      </c>
      <c r="S297" s="92">
        <v>61767031.229999997</v>
      </c>
      <c r="T297" s="92">
        <v>85904969.364371687</v>
      </c>
      <c r="U297" s="90" t="s">
        <v>75</v>
      </c>
      <c r="V297" s="90" t="s">
        <v>1743</v>
      </c>
      <c r="W297" s="90" t="s">
        <v>75</v>
      </c>
      <c r="X297" s="90" t="s">
        <v>1744</v>
      </c>
      <c r="Y297" s="90" t="s">
        <v>75</v>
      </c>
      <c r="Z297" s="90">
        <v>0</v>
      </c>
      <c r="AA297" s="90" t="s">
        <v>78</v>
      </c>
      <c r="AB297" s="90">
        <v>999</v>
      </c>
      <c r="AC297" s="90" t="s">
        <v>1745</v>
      </c>
      <c r="AD297" s="90">
        <v>999</v>
      </c>
      <c r="AE297" s="90" t="s">
        <v>1746</v>
      </c>
      <c r="AF297" s="90">
        <v>3</v>
      </c>
      <c r="AG297" s="90" t="s">
        <v>75</v>
      </c>
      <c r="AH297" s="90" t="s">
        <v>1747</v>
      </c>
      <c r="AI297" s="90" t="s">
        <v>75</v>
      </c>
      <c r="AJ297" s="90" t="s">
        <v>1748</v>
      </c>
      <c r="AK297" s="90" t="s">
        <v>286</v>
      </c>
      <c r="AL297" s="90" t="s">
        <v>75</v>
      </c>
      <c r="AM297" s="90" t="s">
        <v>75</v>
      </c>
      <c r="AN297" s="90" t="s">
        <v>78</v>
      </c>
      <c r="AO297" s="79" t="s">
        <v>75</v>
      </c>
      <c r="AP297" s="94" t="s">
        <v>104</v>
      </c>
      <c r="AQ297" s="90" t="s">
        <v>101</v>
      </c>
    </row>
    <row r="298" spans="1:43" ht="16.2" hidden="1" x14ac:dyDescent="0.45">
      <c r="A298" s="55" t="s">
        <v>68</v>
      </c>
      <c r="B298" s="55" t="s">
        <v>69</v>
      </c>
      <c r="C298" s="55">
        <v>2020</v>
      </c>
      <c r="D298" s="55" t="s">
        <v>70</v>
      </c>
      <c r="E298" s="55">
        <v>0</v>
      </c>
      <c r="F298" s="55" t="s">
        <v>570</v>
      </c>
      <c r="G298" s="55" t="s">
        <v>72</v>
      </c>
      <c r="H298" s="55" t="s">
        <v>72</v>
      </c>
      <c r="I298" s="55" t="s">
        <v>73</v>
      </c>
      <c r="J298" s="55" t="s">
        <v>81</v>
      </c>
      <c r="K298" s="55" t="s">
        <v>74</v>
      </c>
      <c r="L298" s="63">
        <v>11110000</v>
      </c>
      <c r="M298" s="63">
        <v>11110000</v>
      </c>
      <c r="N298" s="63">
        <v>15363241.300000001</v>
      </c>
      <c r="O298" s="63" t="s">
        <v>659</v>
      </c>
      <c r="P298" s="63" t="s">
        <v>659</v>
      </c>
      <c r="Q298" s="63" t="s">
        <v>659</v>
      </c>
      <c r="R298" s="63">
        <v>10000000</v>
      </c>
      <c r="S298" s="63">
        <v>10000000</v>
      </c>
      <c r="T298" s="63">
        <v>13828300</v>
      </c>
      <c r="U298" s="55" t="s">
        <v>75</v>
      </c>
      <c r="V298" s="55" t="s">
        <v>76</v>
      </c>
      <c r="W298" s="55" t="s">
        <v>75</v>
      </c>
      <c r="X298" s="55" t="s">
        <v>77</v>
      </c>
      <c r="Y298" s="55" t="s">
        <v>75</v>
      </c>
      <c r="Z298" s="55">
        <v>0</v>
      </c>
      <c r="AA298" s="55" t="s">
        <v>78</v>
      </c>
      <c r="AB298" s="55">
        <v>1</v>
      </c>
      <c r="AC298" s="55" t="s">
        <v>79</v>
      </c>
      <c r="AD298" s="55">
        <v>1</v>
      </c>
      <c r="AE298" s="55" t="s">
        <v>80</v>
      </c>
      <c r="AF298" s="55">
        <v>2</v>
      </c>
      <c r="AG298" s="55" t="s">
        <v>81</v>
      </c>
      <c r="AH298" s="55">
        <v>0</v>
      </c>
      <c r="AI298" s="55" t="s">
        <v>75</v>
      </c>
      <c r="AJ298" s="55" t="s">
        <v>82</v>
      </c>
      <c r="AK298" s="55" t="s">
        <v>83</v>
      </c>
      <c r="AL298" s="55" t="s">
        <v>75</v>
      </c>
      <c r="AM298" s="55" t="s">
        <v>81</v>
      </c>
      <c r="AN298" s="55" t="s">
        <v>84</v>
      </c>
      <c r="AO298" s="60" t="s">
        <v>75</v>
      </c>
      <c r="AP298" s="58" t="s">
        <v>74</v>
      </c>
      <c r="AQ298" s="55" t="s">
        <v>72</v>
      </c>
    </row>
    <row r="299" spans="1:43" ht="16.2" hidden="1" x14ac:dyDescent="0.45">
      <c r="A299" s="55" t="s">
        <v>85</v>
      </c>
      <c r="B299" s="55" t="s">
        <v>86</v>
      </c>
      <c r="C299" s="55">
        <v>2020</v>
      </c>
      <c r="D299" s="55" t="s">
        <v>87</v>
      </c>
      <c r="E299" s="55" t="s">
        <v>88</v>
      </c>
      <c r="F299" s="57" t="s">
        <v>1848</v>
      </c>
      <c r="G299" s="55" t="s">
        <v>576</v>
      </c>
      <c r="H299" s="55" t="s">
        <v>72</v>
      </c>
      <c r="I299" s="55" t="s">
        <v>90</v>
      </c>
      <c r="J299" s="55" t="s">
        <v>81</v>
      </c>
      <c r="K299" s="55" t="s">
        <v>74</v>
      </c>
      <c r="L299" s="63">
        <v>16000000</v>
      </c>
      <c r="M299" s="63">
        <v>16000000</v>
      </c>
      <c r="N299" s="63">
        <v>22125280</v>
      </c>
      <c r="O299" s="63" t="s">
        <v>659</v>
      </c>
      <c r="P299" s="63" t="s">
        <v>659</v>
      </c>
      <c r="Q299" s="63" t="s">
        <v>659</v>
      </c>
      <c r="R299" s="63">
        <v>15000000</v>
      </c>
      <c r="S299" s="63">
        <v>15000000</v>
      </c>
      <c r="T299" s="63">
        <v>20742450</v>
      </c>
      <c r="U299" s="55" t="s">
        <v>75</v>
      </c>
      <c r="V299" s="55" t="s">
        <v>91</v>
      </c>
      <c r="W299" s="55" t="s">
        <v>75</v>
      </c>
      <c r="X299" s="55" t="s">
        <v>92</v>
      </c>
      <c r="Y299" s="55" t="s">
        <v>75</v>
      </c>
      <c r="Z299" s="55">
        <v>0</v>
      </c>
      <c r="AA299" s="55" t="s">
        <v>78</v>
      </c>
      <c r="AB299" s="55">
        <v>1</v>
      </c>
      <c r="AC299" s="55" t="s">
        <v>93</v>
      </c>
      <c r="AD299" s="55">
        <v>4</v>
      </c>
      <c r="AE299" s="55" t="s">
        <v>94</v>
      </c>
      <c r="AF299" s="55">
        <v>5</v>
      </c>
      <c r="AG299" s="55" t="s">
        <v>75</v>
      </c>
      <c r="AH299" s="55" t="s">
        <v>95</v>
      </c>
      <c r="AI299" s="55" t="s">
        <v>75</v>
      </c>
      <c r="AJ299" s="55" t="s">
        <v>96</v>
      </c>
      <c r="AK299" s="55" t="s">
        <v>83</v>
      </c>
      <c r="AL299" s="55" t="s">
        <v>75</v>
      </c>
      <c r="AM299" s="55" t="s">
        <v>81</v>
      </c>
      <c r="AN299" s="55" t="s">
        <v>84</v>
      </c>
      <c r="AO299" s="60" t="s">
        <v>75</v>
      </c>
      <c r="AP299" s="58" t="s">
        <v>74</v>
      </c>
      <c r="AQ299" s="55" t="s">
        <v>72</v>
      </c>
    </row>
    <row r="300" spans="1:43" ht="16.2" hidden="1" x14ac:dyDescent="0.45">
      <c r="A300" s="55" t="s">
        <v>97</v>
      </c>
      <c r="B300" s="55" t="s">
        <v>98</v>
      </c>
      <c r="C300" s="55">
        <v>2020</v>
      </c>
      <c r="D300" s="55" t="s">
        <v>99</v>
      </c>
      <c r="E300" s="55">
        <v>0</v>
      </c>
      <c r="F300" s="55" t="s">
        <v>532</v>
      </c>
      <c r="G300" s="55" t="s">
        <v>594</v>
      </c>
      <c r="H300" s="55" t="s">
        <v>101</v>
      </c>
      <c r="I300" s="55" t="s">
        <v>103</v>
      </c>
      <c r="J300" s="55" t="s">
        <v>81</v>
      </c>
      <c r="K300" s="55" t="s">
        <v>104</v>
      </c>
      <c r="L300" s="63">
        <v>35740000</v>
      </c>
      <c r="M300" s="63">
        <v>28918665.242580183</v>
      </c>
      <c r="N300" s="63">
        <v>39989597.857397154</v>
      </c>
      <c r="O300" s="63" t="s">
        <v>659</v>
      </c>
      <c r="P300" s="63" t="s">
        <v>659</v>
      </c>
      <c r="Q300" s="63" t="s">
        <v>659</v>
      </c>
      <c r="R300" s="63">
        <v>17870000</v>
      </c>
      <c r="S300" s="63">
        <v>14459332.621290091</v>
      </c>
      <c r="T300" s="63">
        <v>19994798.928698577</v>
      </c>
      <c r="U300" s="55" t="s">
        <v>75</v>
      </c>
      <c r="V300" s="55" t="s">
        <v>105</v>
      </c>
      <c r="W300" s="55" t="s">
        <v>75</v>
      </c>
      <c r="X300" s="55" t="s">
        <v>106</v>
      </c>
      <c r="Y300" s="55" t="s">
        <v>75</v>
      </c>
      <c r="Z300" s="55">
        <v>0</v>
      </c>
      <c r="AA300" s="55" t="s">
        <v>78</v>
      </c>
      <c r="AB300" s="55">
        <v>1</v>
      </c>
      <c r="AC300" s="55" t="s">
        <v>107</v>
      </c>
      <c r="AD300" s="55">
        <v>2</v>
      </c>
      <c r="AE300" s="55" t="s">
        <v>108</v>
      </c>
      <c r="AF300" s="55">
        <v>3</v>
      </c>
      <c r="AG300" s="55" t="s">
        <v>81</v>
      </c>
      <c r="AH300" s="55">
        <v>0</v>
      </c>
      <c r="AI300" s="55" t="s">
        <v>75</v>
      </c>
      <c r="AJ300" s="55" t="s">
        <v>109</v>
      </c>
      <c r="AK300" s="55" t="s">
        <v>83</v>
      </c>
      <c r="AL300" s="55" t="s">
        <v>75</v>
      </c>
      <c r="AM300" s="55" t="s">
        <v>81</v>
      </c>
      <c r="AN300" s="55" t="s">
        <v>110</v>
      </c>
      <c r="AO300" s="60" t="s">
        <v>75</v>
      </c>
      <c r="AP300" s="58" t="s">
        <v>104</v>
      </c>
      <c r="AQ300" s="55" t="s">
        <v>101</v>
      </c>
    </row>
    <row r="301" spans="1:43" ht="16.2" hidden="1" x14ac:dyDescent="0.45">
      <c r="A301" s="55" t="s">
        <v>111</v>
      </c>
      <c r="B301" s="55" t="s">
        <v>112</v>
      </c>
      <c r="C301" s="55">
        <v>2020</v>
      </c>
      <c r="D301" s="55" t="s">
        <v>113</v>
      </c>
      <c r="E301" s="55">
        <v>0</v>
      </c>
      <c r="F301" s="55" t="s">
        <v>565</v>
      </c>
      <c r="G301" s="55" t="s">
        <v>115</v>
      </c>
      <c r="H301" s="55" t="s">
        <v>115</v>
      </c>
      <c r="I301" s="55" t="s">
        <v>116</v>
      </c>
      <c r="J301" s="55" t="s">
        <v>81</v>
      </c>
      <c r="K301" s="55" t="s">
        <v>104</v>
      </c>
      <c r="L301" s="63">
        <v>180000000</v>
      </c>
      <c r="M301" s="63">
        <v>145645208.27264783</v>
      </c>
      <c r="N301" s="63">
        <v>201402563.35566559</v>
      </c>
      <c r="O301" s="63" t="s">
        <v>659</v>
      </c>
      <c r="P301" s="63" t="s">
        <v>659</v>
      </c>
      <c r="Q301" s="63" t="s">
        <v>659</v>
      </c>
      <c r="R301" s="63">
        <v>180000000</v>
      </c>
      <c r="S301" s="63">
        <v>145645208.27264783</v>
      </c>
      <c r="T301" s="63">
        <v>201402563.35566559</v>
      </c>
      <c r="U301" s="55" t="s">
        <v>75</v>
      </c>
      <c r="V301" s="55" t="s">
        <v>117</v>
      </c>
      <c r="W301" s="55" t="s">
        <v>75</v>
      </c>
      <c r="X301" s="55" t="s">
        <v>118</v>
      </c>
      <c r="Y301" s="55" t="s">
        <v>75</v>
      </c>
      <c r="Z301" s="55">
        <v>0</v>
      </c>
      <c r="AA301" s="55" t="s">
        <v>78</v>
      </c>
      <c r="AB301" s="55">
        <v>0</v>
      </c>
      <c r="AC301" s="55" t="s">
        <v>78</v>
      </c>
      <c r="AD301" s="55">
        <v>1</v>
      </c>
      <c r="AE301" s="55" t="s">
        <v>119</v>
      </c>
      <c r="AF301" s="55">
        <v>1</v>
      </c>
      <c r="AG301" s="55" t="s">
        <v>81</v>
      </c>
      <c r="AH301" s="55">
        <v>0</v>
      </c>
      <c r="AI301" s="55" t="s">
        <v>75</v>
      </c>
      <c r="AJ301" s="55" t="s">
        <v>120</v>
      </c>
      <c r="AK301" s="55" t="s">
        <v>121</v>
      </c>
      <c r="AL301" s="55" t="s">
        <v>75</v>
      </c>
      <c r="AM301" s="55" t="s">
        <v>75</v>
      </c>
      <c r="AN301" s="55" t="s">
        <v>84</v>
      </c>
      <c r="AO301" s="60" t="s">
        <v>81</v>
      </c>
      <c r="AP301" s="58" t="s">
        <v>104</v>
      </c>
      <c r="AQ301" s="55" t="s">
        <v>115</v>
      </c>
    </row>
    <row r="302" spans="1:43" ht="16.2" hidden="1" x14ac:dyDescent="0.45">
      <c r="A302" s="55" t="s">
        <v>122</v>
      </c>
      <c r="B302" s="55" t="s">
        <v>123</v>
      </c>
      <c r="C302" s="55">
        <v>2020</v>
      </c>
      <c r="D302" s="55" t="s">
        <v>124</v>
      </c>
      <c r="E302" s="55">
        <v>0</v>
      </c>
      <c r="F302" s="55" t="s">
        <v>550</v>
      </c>
      <c r="G302" s="55" t="s">
        <v>596</v>
      </c>
      <c r="H302" s="55" t="s">
        <v>72</v>
      </c>
      <c r="I302" s="55" t="s">
        <v>116</v>
      </c>
      <c r="J302" s="55" t="s">
        <v>81</v>
      </c>
      <c r="K302" s="55" t="s">
        <v>126</v>
      </c>
      <c r="L302" s="63">
        <v>205000000</v>
      </c>
      <c r="M302" s="63">
        <v>148246711.45404714</v>
      </c>
      <c r="N302" s="63">
        <v>205000000</v>
      </c>
      <c r="O302" s="63" t="s">
        <v>659</v>
      </c>
      <c r="P302" s="63" t="s">
        <v>659</v>
      </c>
      <c r="Q302" s="63" t="s">
        <v>659</v>
      </c>
      <c r="R302" s="63">
        <v>205000000</v>
      </c>
      <c r="S302" s="63">
        <v>148246711.45404714</v>
      </c>
      <c r="T302" s="63">
        <v>205000000</v>
      </c>
      <c r="U302" s="55" t="s">
        <v>75</v>
      </c>
      <c r="V302" s="55" t="s">
        <v>127</v>
      </c>
      <c r="W302" s="55" t="s">
        <v>75</v>
      </c>
      <c r="X302" s="55" t="s">
        <v>128</v>
      </c>
      <c r="Y302" s="55" t="s">
        <v>75</v>
      </c>
      <c r="Z302" s="55">
        <v>0</v>
      </c>
      <c r="AA302" s="55" t="s">
        <v>78</v>
      </c>
      <c r="AB302" s="55">
        <v>1</v>
      </c>
      <c r="AC302" s="55" t="s">
        <v>129</v>
      </c>
      <c r="AD302" s="55">
        <v>2</v>
      </c>
      <c r="AE302" s="55" t="s">
        <v>130</v>
      </c>
      <c r="AF302" s="55">
        <v>3</v>
      </c>
      <c r="AG302" s="55" t="s">
        <v>81</v>
      </c>
      <c r="AH302" s="55">
        <v>0</v>
      </c>
      <c r="AI302" s="55" t="s">
        <v>75</v>
      </c>
      <c r="AJ302" s="55" t="s">
        <v>131</v>
      </c>
      <c r="AK302" s="55" t="s">
        <v>132</v>
      </c>
      <c r="AL302" s="55" t="s">
        <v>75</v>
      </c>
      <c r="AM302" s="55" t="s">
        <v>81</v>
      </c>
      <c r="AN302" s="55" t="s">
        <v>84</v>
      </c>
      <c r="AO302" s="60" t="s">
        <v>75</v>
      </c>
      <c r="AP302" s="58" t="s">
        <v>126</v>
      </c>
      <c r="AQ302" s="55" t="s">
        <v>101</v>
      </c>
    </row>
    <row r="303" spans="1:43" ht="16.2" hidden="1" x14ac:dyDescent="0.45">
      <c r="A303" s="55" t="s">
        <v>133</v>
      </c>
      <c r="B303" s="55" t="s">
        <v>134</v>
      </c>
      <c r="C303" s="55">
        <v>2020</v>
      </c>
      <c r="D303" s="55" t="s">
        <v>135</v>
      </c>
      <c r="E303" s="55">
        <v>0</v>
      </c>
      <c r="F303" s="55" t="s">
        <v>530</v>
      </c>
      <c r="G303" s="78" t="s">
        <v>597</v>
      </c>
      <c r="H303" s="55" t="s">
        <v>72</v>
      </c>
      <c r="I303" s="55" t="s">
        <v>137</v>
      </c>
      <c r="J303" s="55" t="s">
        <v>81</v>
      </c>
      <c r="K303" s="55" t="s">
        <v>104</v>
      </c>
      <c r="L303" s="63">
        <v>315405494</v>
      </c>
      <c r="M303" s="63">
        <v>255207215.91092986</v>
      </c>
      <c r="N303" s="63">
        <v>352908194.37811112</v>
      </c>
      <c r="O303" s="63" t="s">
        <v>659</v>
      </c>
      <c r="P303" s="63" t="s">
        <v>659</v>
      </c>
      <c r="Q303" s="63" t="s">
        <v>659</v>
      </c>
      <c r="R303" s="63">
        <v>103147300</v>
      </c>
      <c r="S303" s="63">
        <v>83460611.062562704</v>
      </c>
      <c r="T303" s="63">
        <v>115411836.79564358</v>
      </c>
      <c r="U303" s="55" t="s">
        <v>75</v>
      </c>
      <c r="V303" s="55" t="s">
        <v>138</v>
      </c>
      <c r="W303" s="55" t="s">
        <v>75</v>
      </c>
      <c r="X303" s="55" t="s">
        <v>139</v>
      </c>
      <c r="Y303" s="55" t="s">
        <v>75</v>
      </c>
      <c r="Z303" s="55">
        <v>0</v>
      </c>
      <c r="AA303" s="55" t="s">
        <v>78</v>
      </c>
      <c r="AB303" s="55">
        <v>1</v>
      </c>
      <c r="AC303" s="55" t="s">
        <v>140</v>
      </c>
      <c r="AD303" s="55">
        <v>2</v>
      </c>
      <c r="AE303" s="55" t="s">
        <v>141</v>
      </c>
      <c r="AF303" s="55">
        <v>3</v>
      </c>
      <c r="AG303" s="55" t="s">
        <v>81</v>
      </c>
      <c r="AH303" s="55">
        <v>0</v>
      </c>
      <c r="AI303" s="55" t="s">
        <v>75</v>
      </c>
      <c r="AJ303" s="55" t="s">
        <v>142</v>
      </c>
      <c r="AK303" s="55" t="s">
        <v>121</v>
      </c>
      <c r="AL303" s="55" t="s">
        <v>75</v>
      </c>
      <c r="AM303" s="55" t="s">
        <v>75</v>
      </c>
      <c r="AN303" s="55" t="s">
        <v>84</v>
      </c>
      <c r="AO303" s="60" t="s">
        <v>75</v>
      </c>
      <c r="AP303" s="58" t="s">
        <v>104</v>
      </c>
      <c r="AQ303" s="55" t="s">
        <v>101</v>
      </c>
    </row>
    <row r="304" spans="1:43" ht="16.2" hidden="1" x14ac:dyDescent="0.45">
      <c r="A304" s="55" t="s">
        <v>143</v>
      </c>
      <c r="B304" s="55" t="s">
        <v>144</v>
      </c>
      <c r="C304" s="55">
        <v>2020</v>
      </c>
      <c r="D304" s="55" t="s">
        <v>145</v>
      </c>
      <c r="E304" s="55">
        <v>0</v>
      </c>
      <c r="F304" s="55" t="s">
        <v>543</v>
      </c>
      <c r="G304" s="55" t="s">
        <v>596</v>
      </c>
      <c r="H304" s="55" t="s">
        <v>72</v>
      </c>
      <c r="I304" s="55" t="s">
        <v>103</v>
      </c>
      <c r="J304" s="55" t="s">
        <v>81</v>
      </c>
      <c r="K304" s="55" t="s">
        <v>74</v>
      </c>
      <c r="L304" s="63">
        <v>693782353</v>
      </c>
      <c r="M304" s="63">
        <v>693782353</v>
      </c>
      <c r="N304" s="63">
        <v>959383051.19898999</v>
      </c>
      <c r="O304" s="63" t="s">
        <v>659</v>
      </c>
      <c r="P304" s="63" t="s">
        <v>659</v>
      </c>
      <c r="Q304" s="63" t="s">
        <v>659</v>
      </c>
      <c r="R304" s="63">
        <v>188000000</v>
      </c>
      <c r="S304" s="63">
        <v>152118328.64032105</v>
      </c>
      <c r="T304" s="63">
        <v>210353788.39369515</v>
      </c>
      <c r="U304" s="55" t="s">
        <v>81</v>
      </c>
      <c r="V304" s="55">
        <v>0</v>
      </c>
      <c r="W304" s="55" t="s">
        <v>75</v>
      </c>
      <c r="X304" s="55" t="s">
        <v>146</v>
      </c>
      <c r="Y304" s="55" t="s">
        <v>75</v>
      </c>
      <c r="Z304" s="55">
        <v>0</v>
      </c>
      <c r="AA304" s="55" t="s">
        <v>78</v>
      </c>
      <c r="AB304" s="55">
        <v>1</v>
      </c>
      <c r="AC304" s="55" t="s">
        <v>147</v>
      </c>
      <c r="AD304" s="55">
        <v>1</v>
      </c>
      <c r="AE304" s="55" t="s">
        <v>148</v>
      </c>
      <c r="AF304" s="55">
        <v>2</v>
      </c>
      <c r="AG304" s="55" t="s">
        <v>81</v>
      </c>
      <c r="AH304" s="55">
        <v>0</v>
      </c>
      <c r="AI304" s="55" t="s">
        <v>81</v>
      </c>
      <c r="AJ304" s="55">
        <v>0</v>
      </c>
      <c r="AK304" s="55" t="s">
        <v>121</v>
      </c>
      <c r="AL304" s="55" t="s">
        <v>75</v>
      </c>
      <c r="AM304" s="55" t="s">
        <v>81</v>
      </c>
      <c r="AN304" s="55" t="s">
        <v>84</v>
      </c>
      <c r="AO304" s="60" t="s">
        <v>81</v>
      </c>
      <c r="AP304" s="58" t="s">
        <v>104</v>
      </c>
      <c r="AQ304" s="55" t="s">
        <v>101</v>
      </c>
    </row>
    <row r="305" spans="1:43" ht="16.2" hidden="1" x14ac:dyDescent="0.45">
      <c r="A305" s="55" t="s">
        <v>149</v>
      </c>
      <c r="B305" s="55" t="s">
        <v>150</v>
      </c>
      <c r="C305" s="55">
        <v>2020</v>
      </c>
      <c r="D305" s="55" t="s">
        <v>151</v>
      </c>
      <c r="E305" s="55">
        <v>0</v>
      </c>
      <c r="F305" s="55" t="s">
        <v>546</v>
      </c>
      <c r="G305" s="55" t="s">
        <v>596</v>
      </c>
      <c r="H305" s="55" t="s">
        <v>72</v>
      </c>
      <c r="I305" s="55" t="s">
        <v>116</v>
      </c>
      <c r="J305" s="55" t="s">
        <v>81</v>
      </c>
      <c r="K305" s="55" t="s">
        <v>104</v>
      </c>
      <c r="L305" s="63">
        <v>264000000</v>
      </c>
      <c r="M305" s="63">
        <v>213612972.1332168</v>
      </c>
      <c r="N305" s="63">
        <v>295390426.25497621</v>
      </c>
      <c r="O305" s="63" t="s">
        <v>659</v>
      </c>
      <c r="P305" s="63" t="s">
        <v>659</v>
      </c>
      <c r="Q305" s="63" t="s">
        <v>659</v>
      </c>
      <c r="R305" s="63">
        <v>264000000</v>
      </c>
      <c r="S305" s="63">
        <v>213612972.1332168</v>
      </c>
      <c r="T305" s="63">
        <v>295390426.25497621</v>
      </c>
      <c r="U305" s="55" t="s">
        <v>81</v>
      </c>
      <c r="V305" s="55">
        <v>0</v>
      </c>
      <c r="W305" s="55" t="s">
        <v>81</v>
      </c>
      <c r="X305" s="55">
        <v>0</v>
      </c>
      <c r="Y305" s="55" t="s">
        <v>81</v>
      </c>
      <c r="Z305" s="55">
        <v>0</v>
      </c>
      <c r="AA305" s="55">
        <v>0</v>
      </c>
      <c r="AB305" s="55">
        <v>0</v>
      </c>
      <c r="AC305" s="55">
        <v>0</v>
      </c>
      <c r="AD305" s="55" t="s">
        <v>152</v>
      </c>
      <c r="AE305" s="55">
        <v>0</v>
      </c>
      <c r="AF305" s="55">
        <v>0</v>
      </c>
      <c r="AG305" s="55" t="s">
        <v>81</v>
      </c>
      <c r="AH305" s="55">
        <v>0</v>
      </c>
      <c r="AI305" s="55" t="s">
        <v>81</v>
      </c>
      <c r="AJ305" s="55">
        <v>0</v>
      </c>
      <c r="AK305" s="55" t="s">
        <v>121</v>
      </c>
      <c r="AL305" s="55" t="s">
        <v>75</v>
      </c>
      <c r="AM305" s="55" t="s">
        <v>81</v>
      </c>
      <c r="AN305" s="55" t="s">
        <v>84</v>
      </c>
      <c r="AO305" s="60" t="s">
        <v>81</v>
      </c>
      <c r="AP305" s="58" t="s">
        <v>104</v>
      </c>
      <c r="AQ305" s="55" t="s">
        <v>101</v>
      </c>
    </row>
    <row r="306" spans="1:43" ht="16.2" hidden="1" x14ac:dyDescent="0.45">
      <c r="A306" s="55" t="s">
        <v>153</v>
      </c>
      <c r="B306" s="55" t="s">
        <v>154</v>
      </c>
      <c r="C306" s="55">
        <v>2020</v>
      </c>
      <c r="D306" s="55" t="s">
        <v>155</v>
      </c>
      <c r="E306" s="55">
        <v>0</v>
      </c>
      <c r="F306" s="55" t="s">
        <v>559</v>
      </c>
      <c r="G306" s="55" t="s">
        <v>596</v>
      </c>
      <c r="H306" s="55" t="s">
        <v>72</v>
      </c>
      <c r="I306" s="55" t="s">
        <v>103</v>
      </c>
      <c r="J306" s="55" t="s">
        <v>81</v>
      </c>
      <c r="K306" s="55" t="s">
        <v>74</v>
      </c>
      <c r="L306" s="63">
        <v>70000000</v>
      </c>
      <c r="M306" s="63">
        <v>70000000</v>
      </c>
      <c r="N306" s="63">
        <v>96798100</v>
      </c>
      <c r="O306" s="63" t="s">
        <v>659</v>
      </c>
      <c r="P306" s="63" t="s">
        <v>659</v>
      </c>
      <c r="Q306" s="63" t="s">
        <v>659</v>
      </c>
      <c r="R306" s="63">
        <v>88000000</v>
      </c>
      <c r="S306" s="63">
        <v>71204324.044405594</v>
      </c>
      <c r="T306" s="63">
        <v>98463475.418325394</v>
      </c>
      <c r="U306" s="55" t="s">
        <v>75</v>
      </c>
      <c r="V306" s="55" t="s">
        <v>156</v>
      </c>
      <c r="W306" s="55" t="s">
        <v>75</v>
      </c>
      <c r="X306" s="55" t="s">
        <v>157</v>
      </c>
      <c r="Y306" s="55" t="s">
        <v>75</v>
      </c>
      <c r="Z306" s="55">
        <v>0</v>
      </c>
      <c r="AA306" s="55" t="s">
        <v>78</v>
      </c>
      <c r="AB306" s="55">
        <v>0</v>
      </c>
      <c r="AC306" s="55" t="s">
        <v>78</v>
      </c>
      <c r="AD306" s="55">
        <v>2</v>
      </c>
      <c r="AE306" s="55" t="s">
        <v>158</v>
      </c>
      <c r="AF306" s="55">
        <v>2</v>
      </c>
      <c r="AG306" s="55" t="s">
        <v>81</v>
      </c>
      <c r="AH306" s="55">
        <v>0</v>
      </c>
      <c r="AI306" s="55" t="s">
        <v>75</v>
      </c>
      <c r="AJ306" s="55" t="s">
        <v>159</v>
      </c>
      <c r="AK306" s="55" t="s">
        <v>160</v>
      </c>
      <c r="AL306" s="55" t="s">
        <v>75</v>
      </c>
      <c r="AM306" s="55" t="s">
        <v>81</v>
      </c>
      <c r="AN306" s="55" t="s">
        <v>84</v>
      </c>
      <c r="AO306" s="60" t="s">
        <v>81</v>
      </c>
      <c r="AP306" s="58" t="s">
        <v>104</v>
      </c>
      <c r="AQ306" s="55" t="s">
        <v>101</v>
      </c>
    </row>
    <row r="307" spans="1:43" ht="16.2" hidden="1" x14ac:dyDescent="0.45">
      <c r="A307" s="55" t="s">
        <v>161</v>
      </c>
      <c r="B307" s="55" t="s">
        <v>162</v>
      </c>
      <c r="C307" s="55">
        <v>2020</v>
      </c>
      <c r="D307" s="55" t="s">
        <v>163</v>
      </c>
      <c r="E307" s="55">
        <v>0</v>
      </c>
      <c r="F307" s="55" t="s">
        <v>556</v>
      </c>
      <c r="G307" s="55" t="s">
        <v>596</v>
      </c>
      <c r="H307" s="55" t="s">
        <v>72</v>
      </c>
      <c r="I307" s="55" t="s">
        <v>103</v>
      </c>
      <c r="J307" s="55" t="s">
        <v>81</v>
      </c>
      <c r="K307" s="55" t="s">
        <v>126</v>
      </c>
      <c r="L307" s="63">
        <v>71200000</v>
      </c>
      <c r="M307" s="63">
        <v>51488613.929405637</v>
      </c>
      <c r="N307" s="63">
        <v>71200000</v>
      </c>
      <c r="O307" s="63" t="s">
        <v>659</v>
      </c>
      <c r="P307" s="63" t="s">
        <v>659</v>
      </c>
      <c r="Q307" s="63" t="s">
        <v>659</v>
      </c>
      <c r="R307" s="63">
        <v>10000000</v>
      </c>
      <c r="S307" s="63">
        <v>7231546.9001974212</v>
      </c>
      <c r="T307" s="63">
        <v>10000000</v>
      </c>
      <c r="U307" s="55" t="s">
        <v>75</v>
      </c>
      <c r="V307" s="55" t="s">
        <v>164</v>
      </c>
      <c r="W307" s="55" t="s">
        <v>75</v>
      </c>
      <c r="X307" s="55" t="s">
        <v>165</v>
      </c>
      <c r="Y307" s="55" t="s">
        <v>75</v>
      </c>
      <c r="Z307" s="55">
        <v>0</v>
      </c>
      <c r="AA307" s="55" t="s">
        <v>78</v>
      </c>
      <c r="AB307" s="55">
        <v>1</v>
      </c>
      <c r="AC307" s="55" t="s">
        <v>166</v>
      </c>
      <c r="AD307" s="55">
        <v>2</v>
      </c>
      <c r="AE307" s="55" t="s">
        <v>167</v>
      </c>
      <c r="AF307" s="55">
        <v>3</v>
      </c>
      <c r="AG307" s="55" t="s">
        <v>81</v>
      </c>
      <c r="AH307" s="55">
        <v>0</v>
      </c>
      <c r="AI307" s="55" t="s">
        <v>75</v>
      </c>
      <c r="AJ307" s="55" t="s">
        <v>168</v>
      </c>
      <c r="AK307" s="55" t="s">
        <v>121</v>
      </c>
      <c r="AL307" s="55" t="s">
        <v>75</v>
      </c>
      <c r="AM307" s="55" t="s">
        <v>81</v>
      </c>
      <c r="AN307" s="55" t="s">
        <v>84</v>
      </c>
      <c r="AO307" s="60" t="s">
        <v>75</v>
      </c>
      <c r="AP307" s="58" t="s">
        <v>126</v>
      </c>
      <c r="AQ307" s="55" t="s">
        <v>101</v>
      </c>
    </row>
    <row r="308" spans="1:43" ht="16.2" hidden="1" x14ac:dyDescent="0.45">
      <c r="A308" s="55" t="s">
        <v>170</v>
      </c>
      <c r="B308" s="55" t="s">
        <v>171</v>
      </c>
      <c r="C308" s="55">
        <v>2020</v>
      </c>
      <c r="D308" s="55" t="s">
        <v>172</v>
      </c>
      <c r="E308" s="55">
        <v>0</v>
      </c>
      <c r="F308" s="55" t="s">
        <v>537</v>
      </c>
      <c r="G308" s="55" t="s">
        <v>596</v>
      </c>
      <c r="H308" s="55" t="s">
        <v>72</v>
      </c>
      <c r="I308" s="55" t="s">
        <v>103</v>
      </c>
      <c r="J308" s="55" t="s">
        <v>81</v>
      </c>
      <c r="K308" s="55" t="s">
        <v>104</v>
      </c>
      <c r="L308" s="63">
        <v>499200000</v>
      </c>
      <c r="M308" s="63">
        <v>403922710.94280994</v>
      </c>
      <c r="N308" s="63">
        <v>558556442.37304592</v>
      </c>
      <c r="O308" s="63" t="s">
        <v>659</v>
      </c>
      <c r="P308" s="63" t="s">
        <v>659</v>
      </c>
      <c r="Q308" s="63" t="s">
        <v>659</v>
      </c>
      <c r="R308" s="63">
        <v>100500000</v>
      </c>
      <c r="S308" s="63">
        <v>81318574.618895039</v>
      </c>
      <c r="T308" s="63">
        <v>112449764.54024662</v>
      </c>
      <c r="U308" s="55" t="s">
        <v>75</v>
      </c>
      <c r="V308" s="55" t="s">
        <v>173</v>
      </c>
      <c r="W308" s="55" t="s">
        <v>75</v>
      </c>
      <c r="X308" s="55" t="s">
        <v>174</v>
      </c>
      <c r="Y308" s="55" t="s">
        <v>75</v>
      </c>
      <c r="Z308" s="55">
        <v>0</v>
      </c>
      <c r="AA308" s="55" t="s">
        <v>78</v>
      </c>
      <c r="AB308" s="55">
        <v>0</v>
      </c>
      <c r="AC308" s="55" t="s">
        <v>78</v>
      </c>
      <c r="AD308" s="55">
        <v>4</v>
      </c>
      <c r="AE308" s="55" t="s">
        <v>175</v>
      </c>
      <c r="AF308" s="55">
        <v>4</v>
      </c>
      <c r="AG308" s="55" t="s">
        <v>81</v>
      </c>
      <c r="AH308" s="55">
        <v>0</v>
      </c>
      <c r="AI308" s="55" t="s">
        <v>75</v>
      </c>
      <c r="AJ308" s="55" t="s">
        <v>176</v>
      </c>
      <c r="AK308" s="55" t="s">
        <v>121</v>
      </c>
      <c r="AL308" s="55" t="s">
        <v>75</v>
      </c>
      <c r="AM308" s="55" t="s">
        <v>81</v>
      </c>
      <c r="AN308" s="55" t="s">
        <v>84</v>
      </c>
      <c r="AO308" s="60" t="s">
        <v>81</v>
      </c>
      <c r="AP308" s="58" t="s">
        <v>104</v>
      </c>
      <c r="AQ308" s="55" t="s">
        <v>101</v>
      </c>
    </row>
    <row r="309" spans="1:43" ht="16.2" hidden="1" x14ac:dyDescent="0.45">
      <c r="A309" s="55" t="s">
        <v>177</v>
      </c>
      <c r="B309" s="55" t="s">
        <v>178</v>
      </c>
      <c r="C309" s="55">
        <v>2020</v>
      </c>
      <c r="D309" s="55" t="s">
        <v>179</v>
      </c>
      <c r="E309" s="55">
        <v>0</v>
      </c>
      <c r="F309" s="55" t="s">
        <v>561</v>
      </c>
      <c r="G309" s="55" t="s">
        <v>115</v>
      </c>
      <c r="H309" s="55" t="s">
        <v>115</v>
      </c>
      <c r="I309" s="55" t="s">
        <v>180</v>
      </c>
      <c r="J309" s="55" t="s">
        <v>81</v>
      </c>
      <c r="K309" s="55" t="s">
        <v>74</v>
      </c>
      <c r="L309" s="63">
        <v>3000000</v>
      </c>
      <c r="M309" s="63">
        <v>3000000</v>
      </c>
      <c r="N309" s="63">
        <v>4148490</v>
      </c>
      <c r="O309" s="63" t="s">
        <v>659</v>
      </c>
      <c r="P309" s="63" t="s">
        <v>659</v>
      </c>
      <c r="Q309" s="63" t="s">
        <v>659</v>
      </c>
      <c r="R309" s="63">
        <v>3000000</v>
      </c>
      <c r="S309" s="63">
        <v>3000000</v>
      </c>
      <c r="T309" s="63">
        <v>4148490</v>
      </c>
      <c r="U309" s="55" t="s">
        <v>81</v>
      </c>
      <c r="V309" s="55">
        <v>0</v>
      </c>
      <c r="W309" s="55" t="s">
        <v>81</v>
      </c>
      <c r="X309" s="55">
        <v>0</v>
      </c>
      <c r="Y309" s="55" t="s">
        <v>75</v>
      </c>
      <c r="Z309" s="55">
        <v>0</v>
      </c>
      <c r="AA309" s="55" t="s">
        <v>78</v>
      </c>
      <c r="AB309" s="55">
        <v>0</v>
      </c>
      <c r="AC309" s="55" t="s">
        <v>78</v>
      </c>
      <c r="AD309" s="55">
        <v>1</v>
      </c>
      <c r="AE309" s="55" t="s">
        <v>181</v>
      </c>
      <c r="AF309" s="55">
        <v>1</v>
      </c>
      <c r="AG309" s="55" t="s">
        <v>81</v>
      </c>
      <c r="AH309" s="55">
        <v>0</v>
      </c>
      <c r="AI309" s="55" t="s">
        <v>81</v>
      </c>
      <c r="AJ309" s="55">
        <v>0</v>
      </c>
      <c r="AK309" s="55" t="s">
        <v>121</v>
      </c>
      <c r="AL309" s="55" t="s">
        <v>75</v>
      </c>
      <c r="AM309" s="55" t="s">
        <v>81</v>
      </c>
      <c r="AN309" s="55" t="s">
        <v>84</v>
      </c>
      <c r="AO309" s="60" t="s">
        <v>81</v>
      </c>
      <c r="AP309" s="58" t="s">
        <v>74</v>
      </c>
      <c r="AQ309" s="55" t="s">
        <v>115</v>
      </c>
    </row>
    <row r="310" spans="1:43" ht="16.2" hidden="1" x14ac:dyDescent="0.45">
      <c r="A310" s="55" t="s">
        <v>182</v>
      </c>
      <c r="B310" s="55" t="s">
        <v>183</v>
      </c>
      <c r="C310" s="55">
        <v>2020</v>
      </c>
      <c r="D310" s="55" t="s">
        <v>184</v>
      </c>
      <c r="E310" s="55">
        <v>0</v>
      </c>
      <c r="F310" s="55" t="s">
        <v>554</v>
      </c>
      <c r="G310" s="78" t="s">
        <v>597</v>
      </c>
      <c r="H310" s="55" t="s">
        <v>72</v>
      </c>
      <c r="I310" s="55" t="s">
        <v>103</v>
      </c>
      <c r="J310" s="55" t="s">
        <v>81</v>
      </c>
      <c r="K310" s="55" t="s">
        <v>126</v>
      </c>
      <c r="L310" s="63">
        <v>5188500000</v>
      </c>
      <c r="M310" s="63">
        <v>3752088109.1674318</v>
      </c>
      <c r="N310" s="63">
        <v>5188500000</v>
      </c>
      <c r="O310" s="63" t="s">
        <v>659</v>
      </c>
      <c r="P310" s="63" t="s">
        <v>659</v>
      </c>
      <c r="Q310" s="63" t="s">
        <v>659</v>
      </c>
      <c r="R310" s="63">
        <v>288500000</v>
      </c>
      <c r="S310" s="63">
        <v>208630128.07069561</v>
      </c>
      <c r="T310" s="63">
        <v>288500000</v>
      </c>
      <c r="U310" s="55" t="s">
        <v>75</v>
      </c>
      <c r="V310" s="55" t="s">
        <v>185</v>
      </c>
      <c r="W310" s="55" t="s">
        <v>75</v>
      </c>
      <c r="X310" s="55" t="s">
        <v>186</v>
      </c>
      <c r="Y310" s="55" t="s">
        <v>75</v>
      </c>
      <c r="Z310" s="55">
        <v>0</v>
      </c>
      <c r="AA310" s="55" t="s">
        <v>78</v>
      </c>
      <c r="AB310" s="55">
        <v>0</v>
      </c>
      <c r="AC310" s="55" t="s">
        <v>78</v>
      </c>
      <c r="AD310" s="55">
        <v>1</v>
      </c>
      <c r="AE310" s="55" t="s">
        <v>187</v>
      </c>
      <c r="AF310" s="55">
        <v>1</v>
      </c>
      <c r="AG310" s="55" t="s">
        <v>81</v>
      </c>
      <c r="AH310" s="55">
        <v>0</v>
      </c>
      <c r="AI310" s="55" t="s">
        <v>75</v>
      </c>
      <c r="AJ310" s="55" t="s">
        <v>188</v>
      </c>
      <c r="AK310" s="55" t="s">
        <v>121</v>
      </c>
      <c r="AL310" s="55" t="s">
        <v>75</v>
      </c>
      <c r="AM310" s="55" t="s">
        <v>81</v>
      </c>
      <c r="AN310" s="55" t="s">
        <v>84</v>
      </c>
      <c r="AO310" s="60" t="s">
        <v>81</v>
      </c>
      <c r="AP310" s="58" t="s">
        <v>126</v>
      </c>
      <c r="AQ310" s="55" t="s">
        <v>101</v>
      </c>
    </row>
    <row r="311" spans="1:43" ht="16.2" hidden="1" x14ac:dyDescent="0.45">
      <c r="A311" s="55" t="s">
        <v>189</v>
      </c>
      <c r="B311" s="55" t="s">
        <v>144</v>
      </c>
      <c r="C311" s="55">
        <v>2020</v>
      </c>
      <c r="D311" s="55" t="s">
        <v>87</v>
      </c>
      <c r="E311" s="55" t="s">
        <v>190</v>
      </c>
      <c r="F311" s="57" t="s">
        <v>1848</v>
      </c>
      <c r="G311" s="55" t="s">
        <v>596</v>
      </c>
      <c r="H311" s="55" t="s">
        <v>72</v>
      </c>
      <c r="I311" s="55" t="s">
        <v>180</v>
      </c>
      <c r="J311" s="55" t="s">
        <v>81</v>
      </c>
      <c r="K311" s="55" t="s">
        <v>74</v>
      </c>
      <c r="L311" s="63">
        <v>7000000</v>
      </c>
      <c r="M311" s="63">
        <v>7000000</v>
      </c>
      <c r="N311" s="63">
        <v>9679810</v>
      </c>
      <c r="O311" s="63" t="s">
        <v>659</v>
      </c>
      <c r="P311" s="63" t="s">
        <v>659</v>
      </c>
      <c r="Q311" s="63" t="s">
        <v>659</v>
      </c>
      <c r="R311" s="63">
        <v>7000000</v>
      </c>
      <c r="S311" s="63">
        <v>7000000</v>
      </c>
      <c r="T311" s="63">
        <v>9679810</v>
      </c>
      <c r="U311" s="55" t="s">
        <v>81</v>
      </c>
      <c r="V311" s="55">
        <v>0</v>
      </c>
      <c r="W311" s="55" t="s">
        <v>75</v>
      </c>
      <c r="X311" s="55" t="s">
        <v>191</v>
      </c>
      <c r="Y311" s="55" t="s">
        <v>81</v>
      </c>
      <c r="Z311" s="55">
        <v>0</v>
      </c>
      <c r="AA311" s="55">
        <v>0</v>
      </c>
      <c r="AB311" s="55">
        <v>0</v>
      </c>
      <c r="AC311" s="55">
        <v>0</v>
      </c>
      <c r="AD311" s="55">
        <v>0</v>
      </c>
      <c r="AE311" s="55">
        <v>0</v>
      </c>
      <c r="AF311" s="55">
        <v>0</v>
      </c>
      <c r="AG311" s="55" t="s">
        <v>75</v>
      </c>
      <c r="AH311" s="55" t="s">
        <v>192</v>
      </c>
      <c r="AI311" s="55" t="s">
        <v>81</v>
      </c>
      <c r="AJ311" s="55">
        <v>0</v>
      </c>
      <c r="AK311" s="55" t="s">
        <v>121</v>
      </c>
      <c r="AL311" s="55" t="s">
        <v>75</v>
      </c>
      <c r="AM311" s="55" t="s">
        <v>81</v>
      </c>
      <c r="AN311" s="55" t="s">
        <v>84</v>
      </c>
      <c r="AO311" s="60" t="s">
        <v>81</v>
      </c>
      <c r="AP311" s="58" t="s">
        <v>74</v>
      </c>
      <c r="AQ311" s="55" t="s">
        <v>101</v>
      </c>
    </row>
    <row r="312" spans="1:43" ht="16.2" hidden="1" x14ac:dyDescent="0.45">
      <c r="A312" s="55" t="s">
        <v>193</v>
      </c>
      <c r="B312" s="55" t="s">
        <v>194</v>
      </c>
      <c r="C312" s="55">
        <v>2020</v>
      </c>
      <c r="D312" s="55" t="s">
        <v>195</v>
      </c>
      <c r="E312" s="55">
        <v>0</v>
      </c>
      <c r="F312" s="55" t="s">
        <v>536</v>
      </c>
      <c r="G312" s="55" t="s">
        <v>596</v>
      </c>
      <c r="H312" s="55" t="s">
        <v>72</v>
      </c>
      <c r="I312" s="55" t="s">
        <v>73</v>
      </c>
      <c r="J312" s="55" t="s">
        <v>81</v>
      </c>
      <c r="K312" s="55" t="s">
        <v>74</v>
      </c>
      <c r="L312" s="63">
        <v>1056940000</v>
      </c>
      <c r="M312" s="63">
        <v>1056940000</v>
      </c>
      <c r="N312" s="63">
        <v>1461568340.2</v>
      </c>
      <c r="O312" s="63" t="s">
        <v>659</v>
      </c>
      <c r="P312" s="63" t="s">
        <v>659</v>
      </c>
      <c r="Q312" s="63" t="s">
        <v>659</v>
      </c>
      <c r="R312" s="63">
        <v>120000000</v>
      </c>
      <c r="S312" s="63">
        <v>120000000</v>
      </c>
      <c r="T312" s="63">
        <v>165939600</v>
      </c>
      <c r="U312" s="55" t="s">
        <v>75</v>
      </c>
      <c r="V312" s="55" t="s">
        <v>196</v>
      </c>
      <c r="W312" s="55" t="s">
        <v>75</v>
      </c>
      <c r="X312" s="55" t="s">
        <v>197</v>
      </c>
      <c r="Y312" s="55" t="s">
        <v>75</v>
      </c>
      <c r="Z312" s="55">
        <v>0</v>
      </c>
      <c r="AA312" s="55" t="s">
        <v>78</v>
      </c>
      <c r="AB312" s="55">
        <v>1</v>
      </c>
      <c r="AC312" s="55" t="s">
        <v>1749</v>
      </c>
      <c r="AD312" s="55">
        <v>1</v>
      </c>
      <c r="AE312" s="55" t="s">
        <v>198</v>
      </c>
      <c r="AF312" s="55">
        <v>2</v>
      </c>
      <c r="AG312" s="55" t="s">
        <v>81</v>
      </c>
      <c r="AH312" s="55">
        <v>0</v>
      </c>
      <c r="AI312" s="55" t="s">
        <v>75</v>
      </c>
      <c r="AJ312" s="55" t="s">
        <v>199</v>
      </c>
      <c r="AK312" s="55" t="s">
        <v>121</v>
      </c>
      <c r="AL312" s="55" t="s">
        <v>75</v>
      </c>
      <c r="AM312" s="55" t="s">
        <v>75</v>
      </c>
      <c r="AN312" s="55" t="s">
        <v>84</v>
      </c>
      <c r="AO312" s="60" t="s">
        <v>75</v>
      </c>
      <c r="AP312" s="58" t="s">
        <v>74</v>
      </c>
      <c r="AQ312" s="55" t="s">
        <v>101</v>
      </c>
    </row>
    <row r="313" spans="1:43" ht="16.2" hidden="1" x14ac:dyDescent="0.45">
      <c r="A313" s="55" t="s">
        <v>200</v>
      </c>
      <c r="B313" s="55" t="s">
        <v>201</v>
      </c>
      <c r="C313" s="55">
        <v>2020</v>
      </c>
      <c r="D313" s="55" t="s">
        <v>99</v>
      </c>
      <c r="E313" s="55">
        <v>0</v>
      </c>
      <c r="F313" s="55" t="s">
        <v>532</v>
      </c>
      <c r="G313" s="55" t="s">
        <v>596</v>
      </c>
      <c r="H313" s="55" t="s">
        <v>72</v>
      </c>
      <c r="I313" s="55" t="s">
        <v>103</v>
      </c>
      <c r="J313" s="55" t="s">
        <v>81</v>
      </c>
      <c r="K313" s="55" t="s">
        <v>74</v>
      </c>
      <c r="L313" s="63">
        <v>24000000</v>
      </c>
      <c r="M313" s="63">
        <v>24000000</v>
      </c>
      <c r="N313" s="63">
        <v>33187920</v>
      </c>
      <c r="O313" s="63" t="s">
        <v>659</v>
      </c>
      <c r="P313" s="63" t="s">
        <v>659</v>
      </c>
      <c r="Q313" s="63" t="s">
        <v>659</v>
      </c>
      <c r="R313" s="63">
        <v>30000000</v>
      </c>
      <c r="S313" s="63">
        <v>24274201.378774635</v>
      </c>
      <c r="T313" s="63">
        <v>33567093.89261093</v>
      </c>
      <c r="U313" s="55" t="s">
        <v>75</v>
      </c>
      <c r="V313" s="55" t="s">
        <v>202</v>
      </c>
      <c r="W313" s="55" t="s">
        <v>75</v>
      </c>
      <c r="X313" s="55" t="s">
        <v>203</v>
      </c>
      <c r="Y313" s="55" t="s">
        <v>75</v>
      </c>
      <c r="Z313" s="55">
        <v>0</v>
      </c>
      <c r="AA313" s="55" t="s">
        <v>78</v>
      </c>
      <c r="AB313" s="55">
        <v>0</v>
      </c>
      <c r="AC313" s="55" t="s">
        <v>78</v>
      </c>
      <c r="AD313" s="55">
        <v>1</v>
      </c>
      <c r="AE313" s="55" t="s">
        <v>204</v>
      </c>
      <c r="AF313" s="55">
        <v>1</v>
      </c>
      <c r="AG313" s="55" t="s">
        <v>81</v>
      </c>
      <c r="AH313" s="55">
        <v>0</v>
      </c>
      <c r="AI313" s="55" t="s">
        <v>75</v>
      </c>
      <c r="AJ313" s="55" t="s">
        <v>205</v>
      </c>
      <c r="AK313" s="55" t="s">
        <v>121</v>
      </c>
      <c r="AL313" s="55" t="s">
        <v>75</v>
      </c>
      <c r="AM313" s="55" t="s">
        <v>81</v>
      </c>
      <c r="AN313" s="55" t="s">
        <v>84</v>
      </c>
      <c r="AO313" s="60" t="s">
        <v>81</v>
      </c>
      <c r="AP313" s="58" t="s">
        <v>104</v>
      </c>
      <c r="AQ313" s="55" t="s">
        <v>101</v>
      </c>
    </row>
    <row r="314" spans="1:43" ht="16.2" hidden="1" x14ac:dyDescent="0.45">
      <c r="A314" s="55" t="s">
        <v>206</v>
      </c>
      <c r="B314" s="55" t="s">
        <v>207</v>
      </c>
      <c r="C314" s="55">
        <v>2020</v>
      </c>
      <c r="D314" s="55" t="s">
        <v>208</v>
      </c>
      <c r="E314" s="55">
        <v>0</v>
      </c>
      <c r="F314" s="55" t="s">
        <v>531</v>
      </c>
      <c r="G314" s="55" t="s">
        <v>596</v>
      </c>
      <c r="H314" s="55" t="s">
        <v>72</v>
      </c>
      <c r="I314" s="55" t="s">
        <v>103</v>
      </c>
      <c r="J314" s="55" t="s">
        <v>81</v>
      </c>
      <c r="K314" s="55" t="s">
        <v>104</v>
      </c>
      <c r="L314" s="63">
        <v>448800000</v>
      </c>
      <c r="M314" s="63">
        <v>363142052.62646854</v>
      </c>
      <c r="N314" s="63">
        <v>502163724.63345951</v>
      </c>
      <c r="O314" s="63" t="s">
        <v>659</v>
      </c>
      <c r="P314" s="63" t="s">
        <v>659</v>
      </c>
      <c r="Q314" s="63" t="s">
        <v>659</v>
      </c>
      <c r="R314" s="63">
        <v>124000000</v>
      </c>
      <c r="S314" s="63">
        <v>100333365.69893517</v>
      </c>
      <c r="T314" s="63">
        <v>138743988.08945853</v>
      </c>
      <c r="U314" s="55" t="s">
        <v>75</v>
      </c>
      <c r="V314" s="55" t="s">
        <v>209</v>
      </c>
      <c r="W314" s="55" t="s">
        <v>75</v>
      </c>
      <c r="X314" s="55" t="s">
        <v>210</v>
      </c>
      <c r="Y314" s="55" t="s">
        <v>75</v>
      </c>
      <c r="Z314" s="55">
        <v>0</v>
      </c>
      <c r="AA314" s="55" t="s">
        <v>78</v>
      </c>
      <c r="AB314" s="55">
        <v>0</v>
      </c>
      <c r="AC314" s="55" t="s">
        <v>78</v>
      </c>
      <c r="AD314" s="55">
        <v>3</v>
      </c>
      <c r="AE314" s="55" t="s">
        <v>211</v>
      </c>
      <c r="AF314" s="55">
        <v>3</v>
      </c>
      <c r="AG314" s="55" t="s">
        <v>81</v>
      </c>
      <c r="AH314" s="55">
        <v>0</v>
      </c>
      <c r="AI314" s="55" t="s">
        <v>75</v>
      </c>
      <c r="AJ314" s="55" t="s">
        <v>212</v>
      </c>
      <c r="AK314" s="55" t="s">
        <v>121</v>
      </c>
      <c r="AL314" s="55" t="s">
        <v>75</v>
      </c>
      <c r="AM314" s="55" t="s">
        <v>81</v>
      </c>
      <c r="AN314" s="55" t="s">
        <v>84</v>
      </c>
      <c r="AO314" s="60" t="s">
        <v>81</v>
      </c>
      <c r="AP314" s="58" t="s">
        <v>104</v>
      </c>
      <c r="AQ314" s="55" t="s">
        <v>101</v>
      </c>
    </row>
    <row r="315" spans="1:43" ht="16.2" hidden="1" x14ac:dyDescent="0.45">
      <c r="A315" s="55" t="s">
        <v>213</v>
      </c>
      <c r="B315" s="55" t="s">
        <v>214</v>
      </c>
      <c r="C315" s="55">
        <v>2020</v>
      </c>
      <c r="D315" s="55" t="s">
        <v>87</v>
      </c>
      <c r="E315" s="55" t="s">
        <v>215</v>
      </c>
      <c r="F315" s="57" t="s">
        <v>1848</v>
      </c>
      <c r="G315" s="55" t="s">
        <v>596</v>
      </c>
      <c r="H315" s="55" t="s">
        <v>101</v>
      </c>
      <c r="I315" s="55" t="s">
        <v>180</v>
      </c>
      <c r="J315" s="55" t="s">
        <v>81</v>
      </c>
      <c r="K315" s="55" t="s">
        <v>74</v>
      </c>
      <c r="L315" s="63">
        <v>850000</v>
      </c>
      <c r="M315" s="63">
        <v>850000</v>
      </c>
      <c r="N315" s="63">
        <v>1175405.5</v>
      </c>
      <c r="O315" s="63" t="s">
        <v>659</v>
      </c>
      <c r="P315" s="63" t="s">
        <v>659</v>
      </c>
      <c r="Q315" s="63" t="s">
        <v>659</v>
      </c>
      <c r="R315" s="63">
        <v>850000</v>
      </c>
      <c r="S315" s="63">
        <v>850000</v>
      </c>
      <c r="T315" s="63">
        <v>1175405.5</v>
      </c>
      <c r="U315" s="55" t="s">
        <v>81</v>
      </c>
      <c r="V315" s="55">
        <v>0</v>
      </c>
      <c r="W315" s="55" t="s">
        <v>81</v>
      </c>
      <c r="X315" s="55">
        <v>0</v>
      </c>
      <c r="Y315" s="55" t="s">
        <v>81</v>
      </c>
      <c r="Z315" s="55">
        <v>0</v>
      </c>
      <c r="AA315" s="55">
        <v>0</v>
      </c>
      <c r="AB315" s="55">
        <v>0</v>
      </c>
      <c r="AC315" s="55">
        <v>0</v>
      </c>
      <c r="AD315" s="55">
        <v>0</v>
      </c>
      <c r="AE315" s="55">
        <v>0</v>
      </c>
      <c r="AF315" s="55">
        <v>0</v>
      </c>
      <c r="AG315" s="55" t="s">
        <v>81</v>
      </c>
      <c r="AH315" s="55">
        <v>0</v>
      </c>
      <c r="AI315" s="55" t="s">
        <v>81</v>
      </c>
      <c r="AJ315" s="55">
        <v>0</v>
      </c>
      <c r="AK315" s="55" t="s">
        <v>217</v>
      </c>
      <c r="AL315" s="55" t="s">
        <v>75</v>
      </c>
      <c r="AM315" s="55" t="s">
        <v>81</v>
      </c>
      <c r="AN315" s="55" t="s">
        <v>110</v>
      </c>
      <c r="AO315" s="60" t="s">
        <v>81</v>
      </c>
      <c r="AP315" s="58" t="s">
        <v>74</v>
      </c>
      <c r="AQ315" s="55" t="s">
        <v>101</v>
      </c>
    </row>
    <row r="316" spans="1:43" ht="16.2" hidden="1" x14ac:dyDescent="0.45">
      <c r="A316" s="55" t="s">
        <v>218</v>
      </c>
      <c r="B316" s="55" t="s">
        <v>219</v>
      </c>
      <c r="C316" s="55">
        <v>2020</v>
      </c>
      <c r="D316" s="55" t="s">
        <v>87</v>
      </c>
      <c r="E316" s="55" t="s">
        <v>220</v>
      </c>
      <c r="F316" s="57" t="s">
        <v>1848</v>
      </c>
      <c r="G316" s="55" t="s">
        <v>576</v>
      </c>
      <c r="H316" s="55" t="s">
        <v>72</v>
      </c>
      <c r="I316" s="55" t="s">
        <v>221</v>
      </c>
      <c r="J316" s="55" t="s">
        <v>75</v>
      </c>
      <c r="K316" s="55" t="s">
        <v>126</v>
      </c>
      <c r="L316" s="63">
        <v>2000000</v>
      </c>
      <c r="M316" s="63">
        <v>1446309.3800394842</v>
      </c>
      <c r="N316" s="63">
        <v>2000000</v>
      </c>
      <c r="O316" s="63" t="s">
        <v>659</v>
      </c>
      <c r="P316" s="63" t="s">
        <v>659</v>
      </c>
      <c r="Q316" s="63" t="s">
        <v>659</v>
      </c>
      <c r="R316" s="63">
        <v>2000000</v>
      </c>
      <c r="S316" s="63">
        <v>1446309.3800394842</v>
      </c>
      <c r="T316" s="63">
        <v>2000000</v>
      </c>
      <c r="U316" s="55" t="s">
        <v>81</v>
      </c>
      <c r="V316" s="55">
        <v>0</v>
      </c>
      <c r="W316" s="55" t="s">
        <v>81</v>
      </c>
      <c r="X316" s="55">
        <v>0</v>
      </c>
      <c r="Y316" s="55" t="s">
        <v>81</v>
      </c>
      <c r="Z316" s="55">
        <v>0</v>
      </c>
      <c r="AA316" s="55">
        <v>0</v>
      </c>
      <c r="AB316" s="55">
        <v>0</v>
      </c>
      <c r="AC316" s="55">
        <v>0</v>
      </c>
      <c r="AD316" s="55">
        <v>0</v>
      </c>
      <c r="AE316" s="55">
        <v>0</v>
      </c>
      <c r="AF316" s="55">
        <v>0</v>
      </c>
      <c r="AG316" s="55" t="s">
        <v>81</v>
      </c>
      <c r="AH316" s="55">
        <v>0</v>
      </c>
      <c r="AI316" s="55" t="s">
        <v>81</v>
      </c>
      <c r="AJ316" s="55">
        <v>0</v>
      </c>
      <c r="AK316" s="55" t="s">
        <v>217</v>
      </c>
      <c r="AL316" s="55" t="s">
        <v>81</v>
      </c>
      <c r="AM316" s="55" t="s">
        <v>81</v>
      </c>
      <c r="AN316" s="55" t="s">
        <v>222</v>
      </c>
      <c r="AO316" s="60" t="s">
        <v>81</v>
      </c>
      <c r="AP316" s="58" t="s">
        <v>126</v>
      </c>
      <c r="AQ316" s="55" t="s">
        <v>72</v>
      </c>
    </row>
    <row r="317" spans="1:43" ht="16.2" hidden="1" x14ac:dyDescent="0.45">
      <c r="A317" s="55" t="s">
        <v>224</v>
      </c>
      <c r="B317" s="55" t="s">
        <v>225</v>
      </c>
      <c r="C317" s="55">
        <v>2020</v>
      </c>
      <c r="D317" s="55" t="s">
        <v>226</v>
      </c>
      <c r="E317" s="55">
        <v>0</v>
      </c>
      <c r="F317" s="55" t="s">
        <v>534</v>
      </c>
      <c r="G317" s="55" t="s">
        <v>228</v>
      </c>
      <c r="H317" s="55" t="s">
        <v>228</v>
      </c>
      <c r="I317" s="55" t="s">
        <v>221</v>
      </c>
      <c r="J317" s="55" t="s">
        <v>75</v>
      </c>
      <c r="K317" s="55" t="s">
        <v>126</v>
      </c>
      <c r="L317" s="63">
        <v>1000000</v>
      </c>
      <c r="M317" s="63">
        <v>723154.69001974212</v>
      </c>
      <c r="N317" s="63">
        <v>1000000</v>
      </c>
      <c r="O317" s="63" t="s">
        <v>659</v>
      </c>
      <c r="P317" s="63" t="s">
        <v>659</v>
      </c>
      <c r="Q317" s="63" t="s">
        <v>659</v>
      </c>
      <c r="R317" s="63">
        <v>1000000</v>
      </c>
      <c r="S317" s="63">
        <v>723154.69001974212</v>
      </c>
      <c r="T317" s="63">
        <v>1000000</v>
      </c>
      <c r="U317" s="55" t="s">
        <v>75</v>
      </c>
      <c r="V317" s="55" t="s">
        <v>229</v>
      </c>
      <c r="W317" s="55" t="s">
        <v>75</v>
      </c>
      <c r="X317" s="55" t="s">
        <v>230</v>
      </c>
      <c r="Y317" s="55" t="s">
        <v>75</v>
      </c>
      <c r="Z317" s="55">
        <v>0</v>
      </c>
      <c r="AA317" s="55">
        <v>0</v>
      </c>
      <c r="AB317" s="55">
        <v>1</v>
      </c>
      <c r="AC317" s="55" t="s">
        <v>231</v>
      </c>
      <c r="AD317" s="55">
        <v>1</v>
      </c>
      <c r="AE317" s="55" t="s">
        <v>232</v>
      </c>
      <c r="AF317" s="55">
        <v>2</v>
      </c>
      <c r="AG317" s="55" t="s">
        <v>81</v>
      </c>
      <c r="AH317" s="55">
        <v>0</v>
      </c>
      <c r="AI317" s="55" t="s">
        <v>75</v>
      </c>
      <c r="AJ317" s="55" t="s">
        <v>233</v>
      </c>
      <c r="AK317" s="55" t="s">
        <v>160</v>
      </c>
      <c r="AL317" s="55" t="s">
        <v>75</v>
      </c>
      <c r="AM317" s="55" t="s">
        <v>81</v>
      </c>
      <c r="AN317" s="55" t="s">
        <v>222</v>
      </c>
      <c r="AO317" s="60" t="s">
        <v>75</v>
      </c>
      <c r="AP317" s="58" t="s">
        <v>126</v>
      </c>
      <c r="AQ317" s="55" t="s">
        <v>228</v>
      </c>
    </row>
    <row r="318" spans="1:43" ht="16.2" hidden="1" x14ac:dyDescent="0.45">
      <c r="A318" s="55" t="s">
        <v>234</v>
      </c>
      <c r="B318" s="55" t="s">
        <v>235</v>
      </c>
      <c r="C318" s="55">
        <v>2020</v>
      </c>
      <c r="D318" s="55" t="s">
        <v>87</v>
      </c>
      <c r="E318" s="55" t="s">
        <v>236</v>
      </c>
      <c r="F318" s="57" t="s">
        <v>1848</v>
      </c>
      <c r="G318" s="55" t="s">
        <v>594</v>
      </c>
      <c r="H318" s="55" t="s">
        <v>101</v>
      </c>
      <c r="I318" s="55" t="s">
        <v>73</v>
      </c>
      <c r="J318" s="55" t="s">
        <v>81</v>
      </c>
      <c r="K318" s="55" t="s">
        <v>126</v>
      </c>
      <c r="L318" s="63">
        <v>3400000</v>
      </c>
      <c r="M318" s="63">
        <v>2458725.9460671232</v>
      </c>
      <c r="N318" s="63">
        <v>3400000</v>
      </c>
      <c r="O318" s="63" t="s">
        <v>659</v>
      </c>
      <c r="P318" s="63" t="s">
        <v>659</v>
      </c>
      <c r="Q318" s="63" t="s">
        <v>659</v>
      </c>
      <c r="R318" s="63">
        <v>863000</v>
      </c>
      <c r="S318" s="63">
        <v>863000</v>
      </c>
      <c r="T318" s="63">
        <v>1193382.29</v>
      </c>
      <c r="U318" s="55" t="s">
        <v>81</v>
      </c>
      <c r="V318" s="55">
        <v>0</v>
      </c>
      <c r="W318" s="55" t="s">
        <v>81</v>
      </c>
      <c r="X318" s="55">
        <v>0</v>
      </c>
      <c r="Y318" s="55" t="s">
        <v>81</v>
      </c>
      <c r="Z318" s="55">
        <v>0</v>
      </c>
      <c r="AA318" s="55">
        <v>0</v>
      </c>
      <c r="AB318" s="55">
        <v>0</v>
      </c>
      <c r="AC318" s="55">
        <v>0</v>
      </c>
      <c r="AD318" s="55">
        <v>0</v>
      </c>
      <c r="AE318" s="55">
        <v>0</v>
      </c>
      <c r="AF318" s="55">
        <v>0</v>
      </c>
      <c r="AG318" s="55" t="s">
        <v>81</v>
      </c>
      <c r="AH318" s="55">
        <v>0</v>
      </c>
      <c r="AI318" s="55" t="s">
        <v>81</v>
      </c>
      <c r="AJ318" s="55">
        <v>0</v>
      </c>
      <c r="AK318" s="55" t="s">
        <v>217</v>
      </c>
      <c r="AL318" s="55" t="s">
        <v>81</v>
      </c>
      <c r="AM318" s="55" t="s">
        <v>81</v>
      </c>
      <c r="AN318" s="55" t="s">
        <v>110</v>
      </c>
      <c r="AO318" s="60" t="s">
        <v>81</v>
      </c>
      <c r="AP318" s="58" t="s">
        <v>74</v>
      </c>
      <c r="AQ318" s="55" t="s">
        <v>101</v>
      </c>
    </row>
    <row r="319" spans="1:43" ht="16.2" hidden="1" x14ac:dyDescent="0.45">
      <c r="A319" s="55" t="s">
        <v>237</v>
      </c>
      <c r="B319" s="55" t="s">
        <v>238</v>
      </c>
      <c r="C319" s="55">
        <v>2020</v>
      </c>
      <c r="D319" s="55" t="s">
        <v>87</v>
      </c>
      <c r="E319" s="55" t="s">
        <v>239</v>
      </c>
      <c r="F319" s="57" t="s">
        <v>1848</v>
      </c>
      <c r="G319" s="55" t="s">
        <v>576</v>
      </c>
      <c r="H319" s="55" t="s">
        <v>72</v>
      </c>
      <c r="I319" s="55" t="s">
        <v>180</v>
      </c>
      <c r="J319" s="55" t="s">
        <v>81</v>
      </c>
      <c r="K319" s="55" t="s">
        <v>74</v>
      </c>
      <c r="L319" s="63">
        <v>7000000</v>
      </c>
      <c r="M319" s="63">
        <v>7000000</v>
      </c>
      <c r="N319" s="63">
        <v>9679810</v>
      </c>
      <c r="O319" s="63" t="s">
        <v>659</v>
      </c>
      <c r="P319" s="63" t="s">
        <v>659</v>
      </c>
      <c r="Q319" s="63" t="s">
        <v>659</v>
      </c>
      <c r="R319" s="63">
        <v>7000000</v>
      </c>
      <c r="S319" s="63">
        <v>7000000</v>
      </c>
      <c r="T319" s="63">
        <v>9679810</v>
      </c>
      <c r="U319" s="55" t="s">
        <v>81</v>
      </c>
      <c r="V319" s="55">
        <v>0</v>
      </c>
      <c r="W319" s="55" t="s">
        <v>75</v>
      </c>
      <c r="X319" s="55" t="s">
        <v>240</v>
      </c>
      <c r="Y319" s="55" t="s">
        <v>81</v>
      </c>
      <c r="Z319" s="55">
        <v>0</v>
      </c>
      <c r="AA319" s="55">
        <v>0</v>
      </c>
      <c r="AB319" s="55">
        <v>0</v>
      </c>
      <c r="AC319" s="55">
        <v>0</v>
      </c>
      <c r="AD319" s="55">
        <v>0</v>
      </c>
      <c r="AE319" s="55">
        <v>0</v>
      </c>
      <c r="AF319" s="55">
        <v>0</v>
      </c>
      <c r="AG319" s="55" t="s">
        <v>81</v>
      </c>
      <c r="AH319" s="55">
        <v>0</v>
      </c>
      <c r="AI319" s="55" t="s">
        <v>81</v>
      </c>
      <c r="AJ319" s="55">
        <v>0</v>
      </c>
      <c r="AK319" s="55" t="s">
        <v>217</v>
      </c>
      <c r="AL319" s="55" t="s">
        <v>81</v>
      </c>
      <c r="AM319" s="55" t="s">
        <v>81</v>
      </c>
      <c r="AN319" s="55" t="s">
        <v>84</v>
      </c>
      <c r="AO319" s="60" t="s">
        <v>81</v>
      </c>
      <c r="AP319" s="58" t="s">
        <v>74</v>
      </c>
      <c r="AQ319" s="55" t="s">
        <v>72</v>
      </c>
    </row>
    <row r="320" spans="1:43" ht="16.2" hidden="1" x14ac:dyDescent="0.45">
      <c r="A320" s="55" t="s">
        <v>241</v>
      </c>
      <c r="B320" s="55" t="s">
        <v>242</v>
      </c>
      <c r="C320" s="55">
        <v>2020</v>
      </c>
      <c r="D320" s="55" t="s">
        <v>87</v>
      </c>
      <c r="E320" s="55" t="s">
        <v>243</v>
      </c>
      <c r="F320" s="57" t="s">
        <v>1848</v>
      </c>
      <c r="G320" s="55" t="s">
        <v>576</v>
      </c>
      <c r="H320" s="55" t="s">
        <v>72</v>
      </c>
      <c r="I320" s="55" t="s">
        <v>180</v>
      </c>
      <c r="J320" s="55" t="s">
        <v>81</v>
      </c>
      <c r="K320" s="55" t="s">
        <v>74</v>
      </c>
      <c r="L320" s="63">
        <v>16400000</v>
      </c>
      <c r="M320" s="63">
        <v>16400000</v>
      </c>
      <c r="N320" s="63">
        <v>22678412</v>
      </c>
      <c r="O320" s="63" t="s">
        <v>659</v>
      </c>
      <c r="P320" s="63" t="s">
        <v>659</v>
      </c>
      <c r="Q320" s="63" t="s">
        <v>659</v>
      </c>
      <c r="R320" s="63">
        <v>16400000</v>
      </c>
      <c r="S320" s="63">
        <v>16400000</v>
      </c>
      <c r="T320" s="63">
        <v>22678412</v>
      </c>
      <c r="U320" s="55" t="s">
        <v>81</v>
      </c>
      <c r="V320" s="55">
        <v>0</v>
      </c>
      <c r="W320" s="55" t="s">
        <v>81</v>
      </c>
      <c r="X320" s="55">
        <v>0</v>
      </c>
      <c r="Y320" s="55" t="s">
        <v>81</v>
      </c>
      <c r="Z320" s="55">
        <v>0</v>
      </c>
      <c r="AA320" s="55">
        <v>0</v>
      </c>
      <c r="AB320" s="55">
        <v>0</v>
      </c>
      <c r="AC320" s="55">
        <v>0</v>
      </c>
      <c r="AD320" s="55">
        <v>0</v>
      </c>
      <c r="AE320" s="55">
        <v>0</v>
      </c>
      <c r="AF320" s="55">
        <v>0</v>
      </c>
      <c r="AG320" s="55" t="s">
        <v>81</v>
      </c>
      <c r="AH320" s="55">
        <v>0</v>
      </c>
      <c r="AI320" s="55" t="s">
        <v>81</v>
      </c>
      <c r="AJ320" s="55">
        <v>0</v>
      </c>
      <c r="AK320" s="55" t="s">
        <v>121</v>
      </c>
      <c r="AL320" s="55" t="s">
        <v>75</v>
      </c>
      <c r="AM320" s="55" t="s">
        <v>81</v>
      </c>
      <c r="AN320" s="55" t="s">
        <v>84</v>
      </c>
      <c r="AO320" s="60" t="s">
        <v>81</v>
      </c>
      <c r="AP320" s="58" t="s">
        <v>74</v>
      </c>
      <c r="AQ320" s="55" t="s">
        <v>72</v>
      </c>
    </row>
    <row r="321" spans="1:43" ht="16.2" hidden="1" x14ac:dyDescent="0.45">
      <c r="A321" s="55" t="s">
        <v>244</v>
      </c>
      <c r="B321" s="55" t="s">
        <v>245</v>
      </c>
      <c r="C321" s="55">
        <v>2020</v>
      </c>
      <c r="D321" s="55" t="s">
        <v>87</v>
      </c>
      <c r="E321" s="55" t="s">
        <v>246</v>
      </c>
      <c r="F321" s="57" t="s">
        <v>1848</v>
      </c>
      <c r="G321" s="55" t="s">
        <v>72</v>
      </c>
      <c r="H321" s="55" t="s">
        <v>72</v>
      </c>
      <c r="I321" s="55" t="s">
        <v>180</v>
      </c>
      <c r="J321" s="55" t="s">
        <v>81</v>
      </c>
      <c r="K321" s="55" t="s">
        <v>74</v>
      </c>
      <c r="L321" s="63">
        <v>9970000</v>
      </c>
      <c r="M321" s="63">
        <v>9970000</v>
      </c>
      <c r="N321" s="63">
        <v>13786815.1</v>
      </c>
      <c r="O321" s="63" t="s">
        <v>659</v>
      </c>
      <c r="P321" s="63" t="s">
        <v>659</v>
      </c>
      <c r="Q321" s="63" t="s">
        <v>659</v>
      </c>
      <c r="R321" s="63">
        <v>9970000</v>
      </c>
      <c r="S321" s="63">
        <v>9970000</v>
      </c>
      <c r="T321" s="63">
        <v>13786815.1</v>
      </c>
      <c r="U321" s="55" t="s">
        <v>75</v>
      </c>
      <c r="V321" s="55" t="s">
        <v>247</v>
      </c>
      <c r="W321" s="55" t="s">
        <v>75</v>
      </c>
      <c r="X321" s="55" t="s">
        <v>248</v>
      </c>
      <c r="Y321" s="55" t="s">
        <v>75</v>
      </c>
      <c r="Z321" s="55">
        <v>0</v>
      </c>
      <c r="AA321" s="55" t="s">
        <v>78</v>
      </c>
      <c r="AB321" s="55">
        <v>0</v>
      </c>
      <c r="AC321" s="55" t="s">
        <v>78</v>
      </c>
      <c r="AD321" s="55">
        <v>2</v>
      </c>
      <c r="AE321" s="55" t="s">
        <v>249</v>
      </c>
      <c r="AF321" s="55">
        <v>2</v>
      </c>
      <c r="AG321" s="55" t="s">
        <v>75</v>
      </c>
      <c r="AH321" s="55" t="s">
        <v>250</v>
      </c>
      <c r="AI321" s="55" t="s">
        <v>75</v>
      </c>
      <c r="AJ321" s="55" t="s">
        <v>251</v>
      </c>
      <c r="AK321" s="55" t="s">
        <v>121</v>
      </c>
      <c r="AL321" s="55" t="s">
        <v>75</v>
      </c>
      <c r="AM321" s="55" t="s">
        <v>81</v>
      </c>
      <c r="AN321" s="55" t="s">
        <v>84</v>
      </c>
      <c r="AO321" s="60" t="s">
        <v>81</v>
      </c>
      <c r="AP321" s="58" t="s">
        <v>74</v>
      </c>
      <c r="AQ321" s="55" t="s">
        <v>72</v>
      </c>
    </row>
  </sheetData>
  <autoFilter ref="A1:AQ321" xr:uid="{C088B535-0F9E-4985-8809-DAA997235AC6}">
    <filterColumn colId="7">
      <filters>
        <filter val="Education"/>
      </filters>
    </filterColumn>
  </autoFilter>
  <conditionalFormatting sqref="A1:N321 Q1:Q321 T1:AM321 O2:P321 AQ1:AQ321 AN2:AN282 R2:S321 AO2:AP321">
    <cfRule type="expression" dxfId="15" priority="4">
      <formula>A$1="Counter"</formula>
    </cfRule>
  </conditionalFormatting>
  <conditionalFormatting sqref="A2:AQ321">
    <cfRule type="expression" dxfId="14" priority="5">
      <formula>#REF!=TRUE</formula>
    </cfRule>
    <cfRule type="expression" dxfId="13" priority="6">
      <formula>#REF!=TRUE</formula>
    </cfRule>
  </conditionalFormatting>
  <conditionalFormatting sqref="K2:K3 M2:N17 L2:L321 O2:S321">
    <cfRule type="expression" dxfId="12" priority="2">
      <formula>L$1="Counter"</formula>
    </cfRule>
  </conditionalFormatting>
  <conditionalFormatting sqref="Q1:Q5 N1:N17 O2:P5 M1 T1:T321">
    <cfRule type="expression" dxfId="11" priority="3">
      <formula>LEFT(M1,5)="ERROR"</formula>
    </cfRule>
  </conditionalFormatting>
  <conditionalFormatting sqref="AP2:AP321">
    <cfRule type="expression" dxfId="10" priority="1">
      <formula>R$1="Counter"</formula>
    </cfRule>
  </conditionalFormatting>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23DFA-6800-46B6-9266-C4DF5BF479C3}">
  <dimension ref="A1:AE595"/>
  <sheetViews>
    <sheetView tabSelected="1" workbookViewId="0">
      <pane xSplit="1" ySplit="2" topLeftCell="B342" activePane="bottomRight" state="frozen"/>
      <selection pane="topRight" activeCell="B1" sqref="B1"/>
      <selection pane="bottomLeft" activeCell="A2" sqref="A2"/>
      <selection pane="bottomRight" activeCell="F457" sqref="F457"/>
    </sheetView>
  </sheetViews>
  <sheetFormatPr defaultColWidth="8.88671875" defaultRowHeight="13.8" x14ac:dyDescent="0.25"/>
  <cols>
    <col min="1" max="1" width="52.88671875" style="146" customWidth="1"/>
    <col min="2" max="2" width="19.44140625" style="147" customWidth="1"/>
    <col min="3" max="3" width="18.5546875" style="147" customWidth="1"/>
    <col min="4" max="4" width="16" style="147" customWidth="1"/>
    <col min="5" max="5" width="16.5546875" style="147" customWidth="1"/>
    <col min="6" max="6" width="23.21875" style="147" customWidth="1"/>
    <col min="7" max="7" width="20.33203125" style="147" customWidth="1"/>
    <col min="8" max="8" width="20.5546875" style="147" customWidth="1"/>
    <col min="9" max="9" width="19.6640625" style="147" customWidth="1"/>
    <col min="10" max="10" width="24.5546875" style="147" customWidth="1"/>
    <col min="11" max="11" width="26.5546875" style="147" customWidth="1"/>
    <col min="12" max="17" width="17.21875" style="147" customWidth="1"/>
    <col min="18" max="18" width="25" style="147" customWidth="1"/>
    <col min="19" max="20" width="17.21875" style="147" customWidth="1"/>
    <col min="21" max="21" width="23.77734375" style="147" customWidth="1"/>
    <col min="22" max="22" width="17.21875" style="147" customWidth="1"/>
    <col min="23" max="23" width="22.88671875" style="147" customWidth="1"/>
    <col min="24" max="24" width="17.21875" style="147" customWidth="1"/>
    <col min="25" max="25" width="21.6640625" style="147" customWidth="1"/>
    <col min="26" max="30" width="17.21875" style="147" customWidth="1"/>
    <col min="31" max="31" width="19" style="147" bestFit="1" customWidth="1"/>
    <col min="32" max="16384" width="8.88671875" style="147"/>
  </cols>
  <sheetData>
    <row r="1" spans="1:31" ht="24.6" customHeight="1" x14ac:dyDescent="0.25">
      <c r="B1" s="170" t="s">
        <v>1861</v>
      </c>
      <c r="C1" s="171"/>
      <c r="D1" s="168" t="s">
        <v>1862</v>
      </c>
      <c r="E1" s="169"/>
    </row>
    <row r="2" spans="1:31" s="148" customFormat="1" ht="39.6" customHeight="1" x14ac:dyDescent="0.3">
      <c r="A2" s="150" t="s">
        <v>5</v>
      </c>
      <c r="B2" s="151" t="s">
        <v>6</v>
      </c>
      <c r="C2" s="151" t="s">
        <v>9</v>
      </c>
      <c r="D2" s="150" t="s">
        <v>661</v>
      </c>
      <c r="E2" s="150" t="s">
        <v>11</v>
      </c>
      <c r="F2" s="150" t="s">
        <v>13</v>
      </c>
      <c r="G2" s="151" t="s">
        <v>662</v>
      </c>
      <c r="H2" s="152" t="s">
        <v>668</v>
      </c>
      <c r="I2" s="152" t="s">
        <v>669</v>
      </c>
      <c r="J2" s="151" t="s">
        <v>18</v>
      </c>
      <c r="K2" s="151" t="s">
        <v>19</v>
      </c>
      <c r="L2" s="151" t="s">
        <v>20</v>
      </c>
      <c r="M2" s="151" t="s">
        <v>21</v>
      </c>
      <c r="N2" s="151" t="s">
        <v>22</v>
      </c>
      <c r="O2" s="151" t="s">
        <v>23</v>
      </c>
      <c r="P2" s="151" t="s">
        <v>24</v>
      </c>
      <c r="Q2" s="151" t="s">
        <v>25</v>
      </c>
      <c r="R2" s="151" t="s">
        <v>26</v>
      </c>
      <c r="S2" s="151" t="s">
        <v>27</v>
      </c>
      <c r="T2" s="151" t="s">
        <v>28</v>
      </c>
      <c r="U2" s="151" t="s">
        <v>29</v>
      </c>
      <c r="V2" s="151" t="s">
        <v>30</v>
      </c>
      <c r="W2" s="151" t="s">
        <v>31</v>
      </c>
      <c r="X2" s="151" t="s">
        <v>32</v>
      </c>
      <c r="Y2" s="151" t="s">
        <v>33</v>
      </c>
      <c r="Z2" s="151" t="s">
        <v>34</v>
      </c>
      <c r="AA2" s="151" t="s">
        <v>35</v>
      </c>
      <c r="AB2" s="151" t="s">
        <v>36</v>
      </c>
      <c r="AC2" s="151" t="s">
        <v>37</v>
      </c>
      <c r="AD2" s="152" t="s">
        <v>671</v>
      </c>
      <c r="AE2" s="152" t="s">
        <v>672</v>
      </c>
    </row>
    <row r="3" spans="1:31" s="149" customFormat="1" ht="25.05" customHeight="1" x14ac:dyDescent="0.3">
      <c r="A3" s="153" t="s">
        <v>674</v>
      </c>
      <c r="B3" s="154" t="s">
        <v>675</v>
      </c>
      <c r="C3" s="155" t="s">
        <v>78</v>
      </c>
      <c r="D3" s="155" t="s">
        <v>551</v>
      </c>
      <c r="E3" s="153" t="s">
        <v>101</v>
      </c>
      <c r="F3" s="153" t="s">
        <v>676</v>
      </c>
      <c r="G3" s="153" t="s">
        <v>81</v>
      </c>
      <c r="H3" s="153">
        <v>7000000</v>
      </c>
      <c r="I3" s="156">
        <v>9968910</v>
      </c>
      <c r="J3" s="157" t="s">
        <v>81</v>
      </c>
      <c r="K3" s="153" t="s">
        <v>78</v>
      </c>
      <c r="L3" s="153" t="s">
        <v>81</v>
      </c>
      <c r="M3" s="153" t="s">
        <v>78</v>
      </c>
      <c r="N3" s="153" t="s">
        <v>81</v>
      </c>
      <c r="O3" s="153">
        <v>0</v>
      </c>
      <c r="P3" s="158" t="s">
        <v>78</v>
      </c>
      <c r="Q3" s="153">
        <v>0</v>
      </c>
      <c r="R3" s="155" t="s">
        <v>78</v>
      </c>
      <c r="S3" s="153">
        <v>0</v>
      </c>
      <c r="T3" s="153" t="s">
        <v>78</v>
      </c>
      <c r="U3" s="153">
        <v>0</v>
      </c>
      <c r="V3" s="159" t="s">
        <v>81</v>
      </c>
      <c r="W3" s="159" t="s">
        <v>78</v>
      </c>
      <c r="X3" s="159" t="s">
        <v>75</v>
      </c>
      <c r="Y3" s="159" t="s">
        <v>78</v>
      </c>
      <c r="Z3" s="159" t="s">
        <v>78</v>
      </c>
      <c r="AA3" s="159" t="s">
        <v>81</v>
      </c>
      <c r="AB3" s="159" t="s">
        <v>81</v>
      </c>
      <c r="AC3" s="159" t="s">
        <v>78</v>
      </c>
      <c r="AD3" s="159" t="s">
        <v>81</v>
      </c>
      <c r="AE3" s="159">
        <v>1</v>
      </c>
    </row>
    <row r="4" spans="1:31" s="149" customFormat="1" ht="25.05" customHeight="1" x14ac:dyDescent="0.3">
      <c r="A4" s="153" t="s">
        <v>677</v>
      </c>
      <c r="B4" s="154" t="s">
        <v>678</v>
      </c>
      <c r="C4" s="155" t="s">
        <v>78</v>
      </c>
      <c r="D4" s="155" t="s">
        <v>78</v>
      </c>
      <c r="E4" s="153" t="s">
        <v>256</v>
      </c>
      <c r="F4" s="153" t="s">
        <v>679</v>
      </c>
      <c r="G4" s="153" t="s">
        <v>75</v>
      </c>
      <c r="H4" s="153">
        <v>0</v>
      </c>
      <c r="I4" s="156">
        <v>0</v>
      </c>
      <c r="J4" s="157" t="s">
        <v>81</v>
      </c>
      <c r="K4" s="153" t="s">
        <v>78</v>
      </c>
      <c r="L4" s="153" t="s">
        <v>81</v>
      </c>
      <c r="M4" s="153" t="s">
        <v>78</v>
      </c>
      <c r="N4" s="153" t="s">
        <v>81</v>
      </c>
      <c r="O4" s="153">
        <v>0</v>
      </c>
      <c r="P4" s="158" t="s">
        <v>78</v>
      </c>
      <c r="Q4" s="153">
        <v>0</v>
      </c>
      <c r="R4" s="155" t="s">
        <v>78</v>
      </c>
      <c r="S4" s="153">
        <v>0</v>
      </c>
      <c r="T4" s="153" t="s">
        <v>78</v>
      </c>
      <c r="U4" s="153">
        <v>0</v>
      </c>
      <c r="V4" s="159" t="s">
        <v>81</v>
      </c>
      <c r="W4" s="159" t="s">
        <v>78</v>
      </c>
      <c r="X4" s="159" t="s">
        <v>81</v>
      </c>
      <c r="Y4" s="159" t="s">
        <v>78</v>
      </c>
      <c r="Z4" s="159" t="s">
        <v>78</v>
      </c>
      <c r="AA4" s="159" t="s">
        <v>81</v>
      </c>
      <c r="AB4" s="159" t="s">
        <v>81</v>
      </c>
      <c r="AC4" s="159" t="s">
        <v>78</v>
      </c>
      <c r="AD4" s="159" t="s">
        <v>81</v>
      </c>
      <c r="AE4" s="159">
        <v>1</v>
      </c>
    </row>
    <row r="5" spans="1:31" s="149" customFormat="1" ht="25.05" customHeight="1" x14ac:dyDescent="0.3">
      <c r="A5" s="153" t="s">
        <v>680</v>
      </c>
      <c r="B5" s="154" t="s">
        <v>681</v>
      </c>
      <c r="C5" s="155" t="s">
        <v>78</v>
      </c>
      <c r="D5" s="155" t="s">
        <v>557</v>
      </c>
      <c r="E5" s="153" t="s">
        <v>115</v>
      </c>
      <c r="F5" s="153" t="s">
        <v>676</v>
      </c>
      <c r="G5" s="153" t="s">
        <v>81</v>
      </c>
      <c r="H5" s="153">
        <v>20050000</v>
      </c>
      <c r="I5" s="156">
        <v>28553806.499999996</v>
      </c>
      <c r="J5" s="157" t="s">
        <v>75</v>
      </c>
      <c r="K5" s="153" t="s">
        <v>682</v>
      </c>
      <c r="L5" s="153" t="s">
        <v>75</v>
      </c>
      <c r="M5" s="153" t="s">
        <v>683</v>
      </c>
      <c r="N5" s="153" t="s">
        <v>75</v>
      </c>
      <c r="O5" s="153">
        <v>999</v>
      </c>
      <c r="P5" s="158" t="s">
        <v>684</v>
      </c>
      <c r="Q5" s="153">
        <v>0</v>
      </c>
      <c r="R5" s="155" t="s">
        <v>78</v>
      </c>
      <c r="S5" s="153">
        <v>0</v>
      </c>
      <c r="T5" s="153" t="s">
        <v>78</v>
      </c>
      <c r="U5" s="153">
        <v>1</v>
      </c>
      <c r="V5" s="159" t="s">
        <v>75</v>
      </c>
      <c r="W5" s="159" t="s">
        <v>685</v>
      </c>
      <c r="X5" s="159" t="s">
        <v>75</v>
      </c>
      <c r="Y5" s="159" t="s">
        <v>228</v>
      </c>
      <c r="Z5" s="159" t="s">
        <v>686</v>
      </c>
      <c r="AA5" s="159" t="s">
        <v>75</v>
      </c>
      <c r="AB5" s="159" t="s">
        <v>81</v>
      </c>
      <c r="AC5" s="159" t="s">
        <v>78</v>
      </c>
      <c r="AD5" s="159" t="s">
        <v>75</v>
      </c>
      <c r="AE5" s="159">
        <v>1</v>
      </c>
    </row>
    <row r="6" spans="1:31" s="149" customFormat="1" ht="25.05" customHeight="1" x14ac:dyDescent="0.3">
      <c r="A6" s="153" t="s">
        <v>687</v>
      </c>
      <c r="B6" s="154" t="s">
        <v>688</v>
      </c>
      <c r="C6" s="155" t="s">
        <v>78</v>
      </c>
      <c r="D6" s="155" t="s">
        <v>537</v>
      </c>
      <c r="E6" s="153" t="s">
        <v>101</v>
      </c>
      <c r="F6" s="153" t="s">
        <v>689</v>
      </c>
      <c r="G6" s="153" t="s">
        <v>81</v>
      </c>
      <c r="H6" s="153">
        <v>967360.92</v>
      </c>
      <c r="I6" s="156">
        <v>1377647.7069995999</v>
      </c>
      <c r="J6" s="157" t="s">
        <v>81</v>
      </c>
      <c r="K6" s="153" t="s">
        <v>78</v>
      </c>
      <c r="L6" s="153" t="s">
        <v>81</v>
      </c>
      <c r="M6" s="153" t="s">
        <v>78</v>
      </c>
      <c r="N6" s="153" t="s">
        <v>81</v>
      </c>
      <c r="O6" s="153">
        <v>0</v>
      </c>
      <c r="P6" s="158" t="s">
        <v>78</v>
      </c>
      <c r="Q6" s="153">
        <v>0</v>
      </c>
      <c r="R6" s="155" t="s">
        <v>78</v>
      </c>
      <c r="S6" s="153">
        <v>0</v>
      </c>
      <c r="T6" s="153" t="s">
        <v>78</v>
      </c>
      <c r="U6" s="153">
        <v>0</v>
      </c>
      <c r="V6" s="159" t="s">
        <v>81</v>
      </c>
      <c r="W6" s="159" t="s">
        <v>78</v>
      </c>
      <c r="X6" s="159" t="s">
        <v>81</v>
      </c>
      <c r="Y6" s="159" t="s">
        <v>78</v>
      </c>
      <c r="Z6" s="159" t="s">
        <v>78</v>
      </c>
      <c r="AA6" s="159" t="s">
        <v>81</v>
      </c>
      <c r="AB6" s="159" t="s">
        <v>81</v>
      </c>
      <c r="AC6" s="159" t="s">
        <v>78</v>
      </c>
      <c r="AD6" s="159" t="s">
        <v>81</v>
      </c>
      <c r="AE6" s="159">
        <v>1</v>
      </c>
    </row>
    <row r="7" spans="1:31" s="149" customFormat="1" ht="25.05" customHeight="1" x14ac:dyDescent="0.3">
      <c r="A7" s="153" t="s">
        <v>690</v>
      </c>
      <c r="B7" s="154" t="s">
        <v>691</v>
      </c>
      <c r="C7" s="155" t="s">
        <v>78</v>
      </c>
      <c r="D7" s="155" t="s">
        <v>537</v>
      </c>
      <c r="E7" s="153" t="s">
        <v>466</v>
      </c>
      <c r="F7" s="153" t="s">
        <v>689</v>
      </c>
      <c r="G7" s="153" t="s">
        <v>81</v>
      </c>
      <c r="H7" s="153">
        <v>1199000</v>
      </c>
      <c r="I7" s="156">
        <v>1707531.8699999999</v>
      </c>
      <c r="J7" s="157" t="s">
        <v>81</v>
      </c>
      <c r="K7" s="153" t="s">
        <v>78</v>
      </c>
      <c r="L7" s="153" t="s">
        <v>81</v>
      </c>
      <c r="M7" s="153" t="s">
        <v>78</v>
      </c>
      <c r="N7" s="153" t="s">
        <v>81</v>
      </c>
      <c r="O7" s="153">
        <v>0</v>
      </c>
      <c r="P7" s="158" t="s">
        <v>78</v>
      </c>
      <c r="Q7" s="153">
        <v>0</v>
      </c>
      <c r="R7" s="155" t="s">
        <v>78</v>
      </c>
      <c r="S7" s="153">
        <v>0</v>
      </c>
      <c r="T7" s="153" t="s">
        <v>78</v>
      </c>
      <c r="U7" s="153">
        <v>0</v>
      </c>
      <c r="V7" s="159" t="s">
        <v>81</v>
      </c>
      <c r="W7" s="159" t="s">
        <v>78</v>
      </c>
      <c r="X7" s="159" t="s">
        <v>81</v>
      </c>
      <c r="Y7" s="159" t="s">
        <v>78</v>
      </c>
      <c r="Z7" s="159" t="s">
        <v>78</v>
      </c>
      <c r="AA7" s="159" t="s">
        <v>81</v>
      </c>
      <c r="AB7" s="159" t="s">
        <v>81</v>
      </c>
      <c r="AC7" s="159" t="s">
        <v>78</v>
      </c>
      <c r="AD7" s="159" t="s">
        <v>81</v>
      </c>
      <c r="AE7" s="159">
        <v>1</v>
      </c>
    </row>
    <row r="8" spans="1:31" s="149" customFormat="1" ht="25.05" customHeight="1" x14ac:dyDescent="0.3">
      <c r="A8" s="153" t="s">
        <v>692</v>
      </c>
      <c r="B8" s="154" t="s">
        <v>693</v>
      </c>
      <c r="C8" s="155" t="s">
        <v>78</v>
      </c>
      <c r="D8" s="155" t="s">
        <v>537</v>
      </c>
      <c r="E8" s="153" t="s">
        <v>101</v>
      </c>
      <c r="F8" s="153" t="s">
        <v>689</v>
      </c>
      <c r="G8" s="153" t="s">
        <v>81</v>
      </c>
      <c r="H8" s="153">
        <v>51460711.939999998</v>
      </c>
      <c r="I8" s="156">
        <v>73286743.695112199</v>
      </c>
      <c r="J8" s="157" t="s">
        <v>81</v>
      </c>
      <c r="K8" s="153" t="s">
        <v>78</v>
      </c>
      <c r="L8" s="153" t="s">
        <v>81</v>
      </c>
      <c r="M8" s="153" t="s">
        <v>78</v>
      </c>
      <c r="N8" s="153" t="s">
        <v>81</v>
      </c>
      <c r="O8" s="153">
        <v>0</v>
      </c>
      <c r="P8" s="158" t="s">
        <v>78</v>
      </c>
      <c r="Q8" s="153">
        <v>0</v>
      </c>
      <c r="R8" s="155" t="s">
        <v>78</v>
      </c>
      <c r="S8" s="153">
        <v>0</v>
      </c>
      <c r="T8" s="153" t="s">
        <v>78</v>
      </c>
      <c r="U8" s="153">
        <v>0</v>
      </c>
      <c r="V8" s="159" t="s">
        <v>81</v>
      </c>
      <c r="W8" s="159" t="s">
        <v>78</v>
      </c>
      <c r="X8" s="159" t="s">
        <v>81</v>
      </c>
      <c r="Y8" s="159" t="s">
        <v>78</v>
      </c>
      <c r="Z8" s="159" t="s">
        <v>78</v>
      </c>
      <c r="AA8" s="159" t="s">
        <v>81</v>
      </c>
      <c r="AB8" s="159" t="s">
        <v>81</v>
      </c>
      <c r="AC8" s="159" t="s">
        <v>78</v>
      </c>
      <c r="AD8" s="159" t="s">
        <v>81</v>
      </c>
      <c r="AE8" s="159">
        <v>1</v>
      </c>
    </row>
    <row r="9" spans="1:31" s="149" customFormat="1" ht="25.05" customHeight="1" x14ac:dyDescent="0.3">
      <c r="A9" s="153" t="s">
        <v>694</v>
      </c>
      <c r="B9" s="154" t="s">
        <v>695</v>
      </c>
      <c r="C9" s="155" t="s">
        <v>78</v>
      </c>
      <c r="D9" s="155" t="s">
        <v>537</v>
      </c>
      <c r="E9" s="153" t="s">
        <v>101</v>
      </c>
      <c r="F9" s="153" t="s">
        <v>689</v>
      </c>
      <c r="G9" s="153" t="s">
        <v>81</v>
      </c>
      <c r="H9" s="153">
        <v>82020997.379999995</v>
      </c>
      <c r="I9" s="156">
        <v>116808562.99877939</v>
      </c>
      <c r="J9" s="157" t="s">
        <v>81</v>
      </c>
      <c r="K9" s="153" t="s">
        <v>78</v>
      </c>
      <c r="L9" s="153" t="s">
        <v>81</v>
      </c>
      <c r="M9" s="153" t="s">
        <v>78</v>
      </c>
      <c r="N9" s="153" t="s">
        <v>81</v>
      </c>
      <c r="O9" s="153">
        <v>0</v>
      </c>
      <c r="P9" s="158" t="s">
        <v>78</v>
      </c>
      <c r="Q9" s="153">
        <v>0</v>
      </c>
      <c r="R9" s="155" t="s">
        <v>78</v>
      </c>
      <c r="S9" s="153">
        <v>0</v>
      </c>
      <c r="T9" s="153" t="s">
        <v>78</v>
      </c>
      <c r="U9" s="153">
        <v>0</v>
      </c>
      <c r="V9" s="159" t="s">
        <v>81</v>
      </c>
      <c r="W9" s="159" t="s">
        <v>78</v>
      </c>
      <c r="X9" s="159" t="s">
        <v>81</v>
      </c>
      <c r="Y9" s="159" t="s">
        <v>78</v>
      </c>
      <c r="Z9" s="159" t="s">
        <v>78</v>
      </c>
      <c r="AA9" s="159" t="s">
        <v>81</v>
      </c>
      <c r="AB9" s="159" t="s">
        <v>81</v>
      </c>
      <c r="AC9" s="159" t="s">
        <v>78</v>
      </c>
      <c r="AD9" s="159" t="s">
        <v>81</v>
      </c>
      <c r="AE9" s="159">
        <v>1</v>
      </c>
    </row>
    <row r="10" spans="1:31" s="149" customFormat="1" ht="25.05" customHeight="1" x14ac:dyDescent="0.3">
      <c r="A10" s="153" t="s">
        <v>696</v>
      </c>
      <c r="B10" s="154" t="s">
        <v>697</v>
      </c>
      <c r="C10" s="155" t="s">
        <v>78</v>
      </c>
      <c r="D10" s="155" t="s">
        <v>525</v>
      </c>
      <c r="E10" s="153" t="s">
        <v>115</v>
      </c>
      <c r="F10" s="153" t="s">
        <v>689</v>
      </c>
      <c r="G10" s="153" t="s">
        <v>81</v>
      </c>
      <c r="H10" s="153">
        <v>10300000</v>
      </c>
      <c r="I10" s="156">
        <v>14668538.999999998</v>
      </c>
      <c r="J10" s="157" t="s">
        <v>81</v>
      </c>
      <c r="K10" s="153" t="s">
        <v>78</v>
      </c>
      <c r="L10" s="153" t="s">
        <v>81</v>
      </c>
      <c r="M10" s="153" t="s">
        <v>78</v>
      </c>
      <c r="N10" s="153" t="s">
        <v>81</v>
      </c>
      <c r="O10" s="153">
        <v>0</v>
      </c>
      <c r="P10" s="158" t="s">
        <v>78</v>
      </c>
      <c r="Q10" s="153">
        <v>0</v>
      </c>
      <c r="R10" s="155" t="s">
        <v>78</v>
      </c>
      <c r="S10" s="153">
        <v>0</v>
      </c>
      <c r="T10" s="153" t="s">
        <v>78</v>
      </c>
      <c r="U10" s="153">
        <v>0</v>
      </c>
      <c r="V10" s="159" t="s">
        <v>81</v>
      </c>
      <c r="W10" s="159" t="s">
        <v>78</v>
      </c>
      <c r="X10" s="159" t="s">
        <v>81</v>
      </c>
      <c r="Y10" s="159" t="s">
        <v>78</v>
      </c>
      <c r="Z10" s="159" t="s">
        <v>78</v>
      </c>
      <c r="AA10" s="159" t="s">
        <v>81</v>
      </c>
      <c r="AB10" s="159" t="s">
        <v>81</v>
      </c>
      <c r="AC10" s="159" t="s">
        <v>78</v>
      </c>
      <c r="AD10" s="159" t="s">
        <v>81</v>
      </c>
      <c r="AE10" s="159">
        <v>1</v>
      </c>
    </row>
    <row r="11" spans="1:31" s="149" customFormat="1" ht="25.05" customHeight="1" x14ac:dyDescent="0.3">
      <c r="A11" s="153" t="s">
        <v>698</v>
      </c>
      <c r="B11" s="154" t="s">
        <v>699</v>
      </c>
      <c r="C11" s="155" t="s">
        <v>78</v>
      </c>
      <c r="D11" s="155" t="s">
        <v>531</v>
      </c>
      <c r="E11" s="153" t="s">
        <v>115</v>
      </c>
      <c r="F11" s="153" t="s">
        <v>689</v>
      </c>
      <c r="G11" s="153" t="s">
        <v>81</v>
      </c>
      <c r="H11" s="153">
        <v>723227.91</v>
      </c>
      <c r="I11" s="156">
        <v>1029970.5634682999</v>
      </c>
      <c r="J11" s="157" t="s">
        <v>75</v>
      </c>
      <c r="K11" s="153" t="s">
        <v>700</v>
      </c>
      <c r="L11" s="153" t="s">
        <v>75</v>
      </c>
      <c r="M11" s="153" t="s">
        <v>701</v>
      </c>
      <c r="N11" s="153" t="s">
        <v>75</v>
      </c>
      <c r="O11" s="153">
        <v>999</v>
      </c>
      <c r="P11" s="158" t="s">
        <v>702</v>
      </c>
      <c r="Q11" s="153">
        <v>999</v>
      </c>
      <c r="R11" s="155" t="s">
        <v>703</v>
      </c>
      <c r="S11" s="153">
        <v>0</v>
      </c>
      <c r="T11" s="153" t="s">
        <v>78</v>
      </c>
      <c r="U11" s="153">
        <v>2</v>
      </c>
      <c r="V11" s="159" t="s">
        <v>81</v>
      </c>
      <c r="W11" s="159" t="s">
        <v>78</v>
      </c>
      <c r="X11" s="159" t="s">
        <v>75</v>
      </c>
      <c r="Y11" s="159" t="s">
        <v>228</v>
      </c>
      <c r="Z11" s="159" t="s">
        <v>704</v>
      </c>
      <c r="AA11" s="159" t="s">
        <v>81</v>
      </c>
      <c r="AB11" s="159" t="s">
        <v>81</v>
      </c>
      <c r="AC11" s="159" t="s">
        <v>78</v>
      </c>
      <c r="AD11" s="159" t="s">
        <v>75</v>
      </c>
      <c r="AE11" s="159">
        <v>1</v>
      </c>
    </row>
    <row r="12" spans="1:31" s="149" customFormat="1" ht="25.05" customHeight="1" x14ac:dyDescent="0.3">
      <c r="A12" s="153" t="s">
        <v>705</v>
      </c>
      <c r="B12" s="154" t="s">
        <v>706</v>
      </c>
      <c r="C12" s="155" t="s">
        <v>78</v>
      </c>
      <c r="D12" s="155" t="s">
        <v>539</v>
      </c>
      <c r="E12" s="153" t="s">
        <v>228</v>
      </c>
      <c r="F12" s="153" t="s">
        <v>676</v>
      </c>
      <c r="G12" s="153" t="s">
        <v>81</v>
      </c>
      <c r="H12" s="153">
        <v>5000000</v>
      </c>
      <c r="I12" s="156">
        <v>7120649.9999999991</v>
      </c>
      <c r="J12" s="157" t="s">
        <v>75</v>
      </c>
      <c r="K12" s="153" t="s">
        <v>707</v>
      </c>
      <c r="L12" s="153" t="s">
        <v>81</v>
      </c>
      <c r="M12" s="153" t="s">
        <v>78</v>
      </c>
      <c r="N12" s="153" t="s">
        <v>75</v>
      </c>
      <c r="O12" s="153">
        <v>0</v>
      </c>
      <c r="P12" s="158" t="s">
        <v>78</v>
      </c>
      <c r="Q12" s="153">
        <v>999</v>
      </c>
      <c r="R12" s="155" t="s">
        <v>708</v>
      </c>
      <c r="S12" s="153">
        <v>0</v>
      </c>
      <c r="T12" s="153" t="s">
        <v>78</v>
      </c>
      <c r="U12" s="153">
        <v>1</v>
      </c>
      <c r="V12" s="159" t="s">
        <v>81</v>
      </c>
      <c r="W12" s="159" t="s">
        <v>78</v>
      </c>
      <c r="X12" s="159" t="s">
        <v>75</v>
      </c>
      <c r="Y12" s="159" t="s">
        <v>228</v>
      </c>
      <c r="Z12" s="159" t="s">
        <v>78</v>
      </c>
      <c r="AA12" s="159" t="s">
        <v>81</v>
      </c>
      <c r="AB12" s="159" t="s">
        <v>81</v>
      </c>
      <c r="AC12" s="159" t="s">
        <v>78</v>
      </c>
      <c r="AD12" s="159" t="s">
        <v>81</v>
      </c>
      <c r="AE12" s="159">
        <v>1</v>
      </c>
    </row>
    <row r="13" spans="1:31" s="149" customFormat="1" ht="25.05" customHeight="1" x14ac:dyDescent="0.3">
      <c r="A13" s="153" t="s">
        <v>709</v>
      </c>
      <c r="B13" s="154" t="s">
        <v>710</v>
      </c>
      <c r="C13" s="155" t="s">
        <v>78</v>
      </c>
      <c r="D13" s="155" t="s">
        <v>539</v>
      </c>
      <c r="E13" s="153" t="s">
        <v>256</v>
      </c>
      <c r="F13" s="153" t="s">
        <v>676</v>
      </c>
      <c r="G13" s="153" t="s">
        <v>81</v>
      </c>
      <c r="H13" s="153">
        <v>5500000</v>
      </c>
      <c r="I13" s="156">
        <v>7832714.9999999991</v>
      </c>
      <c r="J13" s="157" t="s">
        <v>75</v>
      </c>
      <c r="K13" s="153" t="s">
        <v>711</v>
      </c>
      <c r="L13" s="153" t="s">
        <v>81</v>
      </c>
      <c r="M13" s="153" t="s">
        <v>78</v>
      </c>
      <c r="N13" s="153" t="s">
        <v>75</v>
      </c>
      <c r="O13" s="153">
        <v>999</v>
      </c>
      <c r="P13" s="158" t="s">
        <v>712</v>
      </c>
      <c r="Q13" s="153">
        <v>999</v>
      </c>
      <c r="R13" s="155" t="s">
        <v>713</v>
      </c>
      <c r="S13" s="153">
        <v>0</v>
      </c>
      <c r="T13" s="153" t="s">
        <v>78</v>
      </c>
      <c r="U13" s="153">
        <v>2</v>
      </c>
      <c r="V13" s="159" t="s">
        <v>75</v>
      </c>
      <c r="W13" s="159" t="s">
        <v>714</v>
      </c>
      <c r="X13" s="159" t="s">
        <v>75</v>
      </c>
      <c r="Y13" s="159" t="s">
        <v>256</v>
      </c>
      <c r="Z13" s="159" t="s">
        <v>78</v>
      </c>
      <c r="AA13" s="159" t="s">
        <v>81</v>
      </c>
      <c r="AB13" s="159" t="s">
        <v>81</v>
      </c>
      <c r="AC13" s="159" t="s">
        <v>78</v>
      </c>
      <c r="AD13" s="159" t="s">
        <v>81</v>
      </c>
      <c r="AE13" s="159">
        <v>1</v>
      </c>
    </row>
    <row r="14" spans="1:31" s="149" customFormat="1" ht="25.05" customHeight="1" x14ac:dyDescent="0.3">
      <c r="A14" s="153" t="s">
        <v>715</v>
      </c>
      <c r="B14" s="154" t="s">
        <v>716</v>
      </c>
      <c r="C14" s="155" t="s">
        <v>78</v>
      </c>
      <c r="D14" s="155" t="s">
        <v>539</v>
      </c>
      <c r="E14" s="153" t="s">
        <v>101</v>
      </c>
      <c r="F14" s="153" t="s">
        <v>676</v>
      </c>
      <c r="G14" s="153" t="s">
        <v>81</v>
      </c>
      <c r="H14" s="153">
        <v>5000000</v>
      </c>
      <c r="I14" s="156">
        <v>7120649.9999999991</v>
      </c>
      <c r="J14" s="157" t="s">
        <v>81</v>
      </c>
      <c r="K14" s="153" t="s">
        <v>78</v>
      </c>
      <c r="L14" s="153" t="s">
        <v>81</v>
      </c>
      <c r="M14" s="153" t="s">
        <v>78</v>
      </c>
      <c r="N14" s="153" t="s">
        <v>81</v>
      </c>
      <c r="O14" s="153">
        <v>0</v>
      </c>
      <c r="P14" s="158" t="s">
        <v>78</v>
      </c>
      <c r="Q14" s="153">
        <v>0</v>
      </c>
      <c r="R14" s="155" t="s">
        <v>78</v>
      </c>
      <c r="S14" s="153">
        <v>0</v>
      </c>
      <c r="T14" s="153" t="s">
        <v>78</v>
      </c>
      <c r="U14" s="153">
        <v>0</v>
      </c>
      <c r="V14" s="159" t="s">
        <v>81</v>
      </c>
      <c r="W14" s="159" t="s">
        <v>78</v>
      </c>
      <c r="X14" s="159" t="s">
        <v>81</v>
      </c>
      <c r="Y14" s="159" t="s">
        <v>78</v>
      </c>
      <c r="Z14" s="159" t="s">
        <v>78</v>
      </c>
      <c r="AA14" s="159" t="s">
        <v>81</v>
      </c>
      <c r="AB14" s="159" t="s">
        <v>81</v>
      </c>
      <c r="AC14" s="159" t="s">
        <v>78</v>
      </c>
      <c r="AD14" s="159" t="s">
        <v>81</v>
      </c>
      <c r="AE14" s="159">
        <v>1</v>
      </c>
    </row>
    <row r="15" spans="1:31" s="149" customFormat="1" ht="25.05" customHeight="1" x14ac:dyDescent="0.3">
      <c r="A15" s="153" t="s">
        <v>694</v>
      </c>
      <c r="B15" s="154" t="s">
        <v>717</v>
      </c>
      <c r="C15" s="155" t="s">
        <v>78</v>
      </c>
      <c r="D15" s="155" t="s">
        <v>540</v>
      </c>
      <c r="E15" s="153" t="s">
        <v>101</v>
      </c>
      <c r="F15" s="153" t="s">
        <v>689</v>
      </c>
      <c r="G15" s="153" t="s">
        <v>81</v>
      </c>
      <c r="H15" s="153">
        <v>10504283.619999999</v>
      </c>
      <c r="I15" s="156">
        <v>14959465.431750597</v>
      </c>
      <c r="J15" s="157" t="s">
        <v>81</v>
      </c>
      <c r="K15" s="153" t="s">
        <v>78</v>
      </c>
      <c r="L15" s="153" t="s">
        <v>81</v>
      </c>
      <c r="M15" s="153" t="s">
        <v>78</v>
      </c>
      <c r="N15" s="153" t="s">
        <v>81</v>
      </c>
      <c r="O15" s="153">
        <v>0</v>
      </c>
      <c r="P15" s="158" t="s">
        <v>78</v>
      </c>
      <c r="Q15" s="153">
        <v>0</v>
      </c>
      <c r="R15" s="155" t="s">
        <v>78</v>
      </c>
      <c r="S15" s="153">
        <v>0</v>
      </c>
      <c r="T15" s="153" t="s">
        <v>78</v>
      </c>
      <c r="U15" s="153">
        <v>0</v>
      </c>
      <c r="V15" s="159" t="s">
        <v>81</v>
      </c>
      <c r="W15" s="159" t="s">
        <v>78</v>
      </c>
      <c r="X15" s="159" t="s">
        <v>81</v>
      </c>
      <c r="Y15" s="159" t="s">
        <v>78</v>
      </c>
      <c r="Z15" s="159" t="s">
        <v>78</v>
      </c>
      <c r="AA15" s="159" t="s">
        <v>81</v>
      </c>
      <c r="AB15" s="159" t="s">
        <v>81</v>
      </c>
      <c r="AC15" s="159" t="s">
        <v>78</v>
      </c>
      <c r="AD15" s="159" t="s">
        <v>81</v>
      </c>
      <c r="AE15" s="159">
        <v>1</v>
      </c>
    </row>
    <row r="16" spans="1:31" s="149" customFormat="1" ht="25.05" customHeight="1" x14ac:dyDescent="0.3">
      <c r="A16" s="153" t="s">
        <v>718</v>
      </c>
      <c r="B16" s="154" t="s">
        <v>719</v>
      </c>
      <c r="C16" s="155" t="s">
        <v>78</v>
      </c>
      <c r="D16" s="155" t="s">
        <v>540</v>
      </c>
      <c r="E16" s="153" t="s">
        <v>101</v>
      </c>
      <c r="F16" s="153" t="s">
        <v>676</v>
      </c>
      <c r="G16" s="153" t="s">
        <v>81</v>
      </c>
      <c r="H16" s="153">
        <v>6000000</v>
      </c>
      <c r="I16" s="156">
        <v>8544780</v>
      </c>
      <c r="J16" s="157" t="s">
        <v>81</v>
      </c>
      <c r="K16" s="153" t="s">
        <v>78</v>
      </c>
      <c r="L16" s="153" t="s">
        <v>81</v>
      </c>
      <c r="M16" s="153" t="s">
        <v>78</v>
      </c>
      <c r="N16" s="153" t="s">
        <v>81</v>
      </c>
      <c r="O16" s="153">
        <v>0</v>
      </c>
      <c r="P16" s="158" t="s">
        <v>78</v>
      </c>
      <c r="Q16" s="153">
        <v>0</v>
      </c>
      <c r="R16" s="155" t="s">
        <v>78</v>
      </c>
      <c r="S16" s="153">
        <v>0</v>
      </c>
      <c r="T16" s="153" t="s">
        <v>78</v>
      </c>
      <c r="U16" s="153">
        <v>0</v>
      </c>
      <c r="V16" s="159" t="s">
        <v>81</v>
      </c>
      <c r="W16" s="159" t="s">
        <v>78</v>
      </c>
      <c r="X16" s="159" t="s">
        <v>81</v>
      </c>
      <c r="Y16" s="159" t="s">
        <v>78</v>
      </c>
      <c r="Z16" s="159" t="s">
        <v>78</v>
      </c>
      <c r="AA16" s="159" t="s">
        <v>81</v>
      </c>
      <c r="AB16" s="159" t="s">
        <v>81</v>
      </c>
      <c r="AC16" s="159" t="s">
        <v>78</v>
      </c>
      <c r="AD16" s="159" t="s">
        <v>81</v>
      </c>
      <c r="AE16" s="159">
        <v>1</v>
      </c>
    </row>
    <row r="17" spans="1:31" s="149" customFormat="1" ht="25.05" customHeight="1" x14ac:dyDescent="0.3">
      <c r="A17" s="153" t="s">
        <v>720</v>
      </c>
      <c r="B17" s="154" t="s">
        <v>721</v>
      </c>
      <c r="C17" s="155" t="s">
        <v>78</v>
      </c>
      <c r="D17" s="155" t="s">
        <v>540</v>
      </c>
      <c r="E17" s="153" t="s">
        <v>228</v>
      </c>
      <c r="F17" s="153" t="s">
        <v>689</v>
      </c>
      <c r="G17" s="153" t="s">
        <v>81</v>
      </c>
      <c r="H17" s="153">
        <v>990000</v>
      </c>
      <c r="I17" s="156">
        <v>1409888.7</v>
      </c>
      <c r="J17" s="157" t="s">
        <v>81</v>
      </c>
      <c r="K17" s="153" t="s">
        <v>78</v>
      </c>
      <c r="L17" s="153" t="s">
        <v>81</v>
      </c>
      <c r="M17" s="153" t="s">
        <v>78</v>
      </c>
      <c r="N17" s="153" t="s">
        <v>81</v>
      </c>
      <c r="O17" s="153">
        <v>0</v>
      </c>
      <c r="P17" s="158" t="s">
        <v>78</v>
      </c>
      <c r="Q17" s="153">
        <v>0</v>
      </c>
      <c r="R17" s="155" t="s">
        <v>78</v>
      </c>
      <c r="S17" s="153">
        <v>0</v>
      </c>
      <c r="T17" s="153" t="s">
        <v>78</v>
      </c>
      <c r="U17" s="153">
        <v>0</v>
      </c>
      <c r="V17" s="159" t="s">
        <v>81</v>
      </c>
      <c r="W17" s="159" t="s">
        <v>78</v>
      </c>
      <c r="X17" s="159" t="s">
        <v>81</v>
      </c>
      <c r="Y17" s="159" t="s">
        <v>78</v>
      </c>
      <c r="Z17" s="159" t="s">
        <v>78</v>
      </c>
      <c r="AA17" s="159" t="s">
        <v>81</v>
      </c>
      <c r="AB17" s="159" t="s">
        <v>81</v>
      </c>
      <c r="AC17" s="159" t="s">
        <v>78</v>
      </c>
      <c r="AD17" s="159" t="s">
        <v>81</v>
      </c>
      <c r="AE17" s="159">
        <v>1</v>
      </c>
    </row>
    <row r="18" spans="1:31" s="149" customFormat="1" ht="25.05" customHeight="1" x14ac:dyDescent="0.3">
      <c r="A18" s="153" t="s">
        <v>722</v>
      </c>
      <c r="B18" s="154" t="s">
        <v>723</v>
      </c>
      <c r="C18" s="155" t="s">
        <v>78</v>
      </c>
      <c r="D18" s="155" t="s">
        <v>542</v>
      </c>
      <c r="E18" s="153" t="s">
        <v>228</v>
      </c>
      <c r="F18" s="153" t="s">
        <v>676</v>
      </c>
      <c r="G18" s="153" t="s">
        <v>81</v>
      </c>
      <c r="H18" s="153">
        <v>4215000</v>
      </c>
      <c r="I18" s="156">
        <v>6002707.9499999993</v>
      </c>
      <c r="J18" s="157" t="s">
        <v>75</v>
      </c>
      <c r="K18" s="153" t="s">
        <v>724</v>
      </c>
      <c r="L18" s="153" t="s">
        <v>75</v>
      </c>
      <c r="M18" s="153" t="s">
        <v>725</v>
      </c>
      <c r="N18" s="153" t="s">
        <v>75</v>
      </c>
      <c r="O18" s="153">
        <v>999</v>
      </c>
      <c r="P18" s="158" t="s">
        <v>726</v>
      </c>
      <c r="Q18" s="153">
        <v>0</v>
      </c>
      <c r="R18" s="155" t="s">
        <v>78</v>
      </c>
      <c r="S18" s="153">
        <v>0</v>
      </c>
      <c r="T18" s="153" t="s">
        <v>78</v>
      </c>
      <c r="U18" s="153">
        <v>2</v>
      </c>
      <c r="V18" s="159" t="s">
        <v>81</v>
      </c>
      <c r="W18" s="159" t="s">
        <v>78</v>
      </c>
      <c r="X18" s="159" t="s">
        <v>75</v>
      </c>
      <c r="Y18" s="159" t="s">
        <v>228</v>
      </c>
      <c r="Z18" s="159" t="s">
        <v>78</v>
      </c>
      <c r="AA18" s="159" t="s">
        <v>81</v>
      </c>
      <c r="AB18" s="159" t="s">
        <v>81</v>
      </c>
      <c r="AC18" s="159" t="s">
        <v>78</v>
      </c>
      <c r="AD18" s="159" t="s">
        <v>75</v>
      </c>
      <c r="AE18" s="159">
        <v>1</v>
      </c>
    </row>
    <row r="19" spans="1:31" s="149" customFormat="1" ht="25.05" customHeight="1" x14ac:dyDescent="0.3">
      <c r="A19" s="153" t="s">
        <v>727</v>
      </c>
      <c r="B19" s="154" t="s">
        <v>728</v>
      </c>
      <c r="C19" s="155" t="s">
        <v>78</v>
      </c>
      <c r="D19" s="155" t="s">
        <v>542</v>
      </c>
      <c r="E19" s="153" t="s">
        <v>228</v>
      </c>
      <c r="F19" s="153" t="s">
        <v>689</v>
      </c>
      <c r="G19" s="153" t="s">
        <v>81</v>
      </c>
      <c r="H19" s="153">
        <v>723227.91</v>
      </c>
      <c r="I19" s="156">
        <v>1029970.5634682999</v>
      </c>
      <c r="J19" s="157" t="s">
        <v>75</v>
      </c>
      <c r="K19" s="153" t="s">
        <v>729</v>
      </c>
      <c r="L19" s="153" t="s">
        <v>81</v>
      </c>
      <c r="M19" s="153" t="s">
        <v>78</v>
      </c>
      <c r="N19" s="153" t="s">
        <v>81</v>
      </c>
      <c r="O19" s="153">
        <v>0</v>
      </c>
      <c r="P19" s="158" t="s">
        <v>78</v>
      </c>
      <c r="Q19" s="153">
        <v>0</v>
      </c>
      <c r="R19" s="155" t="s">
        <v>78</v>
      </c>
      <c r="S19" s="153">
        <v>0</v>
      </c>
      <c r="T19" s="153" t="s">
        <v>78</v>
      </c>
      <c r="U19" s="153">
        <v>0</v>
      </c>
      <c r="V19" s="159" t="s">
        <v>81</v>
      </c>
      <c r="W19" s="159" t="s">
        <v>78</v>
      </c>
      <c r="X19" s="159" t="s">
        <v>81</v>
      </c>
      <c r="Y19" s="159" t="s">
        <v>78</v>
      </c>
      <c r="Z19" s="159" t="s">
        <v>78</v>
      </c>
      <c r="AA19" s="159" t="s">
        <v>81</v>
      </c>
      <c r="AB19" s="159" t="s">
        <v>81</v>
      </c>
      <c r="AC19" s="159" t="s">
        <v>78</v>
      </c>
      <c r="AD19" s="159" t="s">
        <v>81</v>
      </c>
      <c r="AE19" s="159">
        <v>1</v>
      </c>
    </row>
    <row r="20" spans="1:31" s="149" customFormat="1" ht="25.05" customHeight="1" x14ac:dyDescent="0.3">
      <c r="A20" s="153" t="s">
        <v>730</v>
      </c>
      <c r="B20" s="154" t="s">
        <v>731</v>
      </c>
      <c r="C20" s="155" t="s">
        <v>78</v>
      </c>
      <c r="D20" s="155" t="s">
        <v>544</v>
      </c>
      <c r="E20" s="153" t="s">
        <v>101</v>
      </c>
      <c r="F20" s="153" t="s">
        <v>689</v>
      </c>
      <c r="G20" s="153" t="s">
        <v>81</v>
      </c>
      <c r="H20" s="153">
        <v>7000000</v>
      </c>
      <c r="I20" s="156">
        <v>9968910</v>
      </c>
      <c r="J20" s="157" t="s">
        <v>81</v>
      </c>
      <c r="K20" s="153" t="s">
        <v>78</v>
      </c>
      <c r="L20" s="153" t="s">
        <v>81</v>
      </c>
      <c r="M20" s="153" t="s">
        <v>78</v>
      </c>
      <c r="N20" s="153" t="s">
        <v>81</v>
      </c>
      <c r="O20" s="153">
        <v>0</v>
      </c>
      <c r="P20" s="158" t="s">
        <v>78</v>
      </c>
      <c r="Q20" s="153">
        <v>0</v>
      </c>
      <c r="R20" s="155" t="s">
        <v>78</v>
      </c>
      <c r="S20" s="153">
        <v>0</v>
      </c>
      <c r="T20" s="153" t="s">
        <v>78</v>
      </c>
      <c r="U20" s="153">
        <v>0</v>
      </c>
      <c r="V20" s="159" t="s">
        <v>81</v>
      </c>
      <c r="W20" s="159" t="s">
        <v>78</v>
      </c>
      <c r="X20" s="159" t="s">
        <v>81</v>
      </c>
      <c r="Y20" s="159" t="s">
        <v>78</v>
      </c>
      <c r="Z20" s="159" t="s">
        <v>78</v>
      </c>
      <c r="AA20" s="159" t="s">
        <v>81</v>
      </c>
      <c r="AB20" s="159" t="s">
        <v>81</v>
      </c>
      <c r="AC20" s="159" t="s">
        <v>78</v>
      </c>
      <c r="AD20" s="159" t="s">
        <v>81</v>
      </c>
      <c r="AE20" s="159">
        <v>1</v>
      </c>
    </row>
    <row r="21" spans="1:31" s="149" customFormat="1" ht="25.05" customHeight="1" x14ac:dyDescent="0.3">
      <c r="A21" s="153" t="s">
        <v>732</v>
      </c>
      <c r="B21" s="154" t="s">
        <v>733</v>
      </c>
      <c r="C21" s="155" t="s">
        <v>78</v>
      </c>
      <c r="D21" s="155" t="s">
        <v>548</v>
      </c>
      <c r="E21" s="153" t="s">
        <v>466</v>
      </c>
      <c r="F21" s="153" t="s">
        <v>676</v>
      </c>
      <c r="G21" s="153" t="s">
        <v>81</v>
      </c>
      <c r="H21" s="153">
        <v>10000000</v>
      </c>
      <c r="I21" s="156">
        <v>14241299.999999998</v>
      </c>
      <c r="J21" s="157" t="s">
        <v>81</v>
      </c>
      <c r="K21" s="153" t="s">
        <v>78</v>
      </c>
      <c r="L21" s="153" t="s">
        <v>81</v>
      </c>
      <c r="M21" s="153" t="s">
        <v>78</v>
      </c>
      <c r="N21" s="153" t="s">
        <v>81</v>
      </c>
      <c r="O21" s="153">
        <v>0</v>
      </c>
      <c r="P21" s="158" t="s">
        <v>78</v>
      </c>
      <c r="Q21" s="153">
        <v>0</v>
      </c>
      <c r="R21" s="155" t="s">
        <v>78</v>
      </c>
      <c r="S21" s="153">
        <v>0</v>
      </c>
      <c r="T21" s="153" t="s">
        <v>78</v>
      </c>
      <c r="U21" s="153">
        <v>0</v>
      </c>
      <c r="V21" s="159" t="s">
        <v>81</v>
      </c>
      <c r="W21" s="159" t="s">
        <v>78</v>
      </c>
      <c r="X21" s="159" t="s">
        <v>81</v>
      </c>
      <c r="Y21" s="159" t="s">
        <v>78</v>
      </c>
      <c r="Z21" s="159" t="s">
        <v>78</v>
      </c>
      <c r="AA21" s="159" t="s">
        <v>81</v>
      </c>
      <c r="AB21" s="159" t="s">
        <v>81</v>
      </c>
      <c r="AC21" s="159" t="s">
        <v>78</v>
      </c>
      <c r="AD21" s="159" t="s">
        <v>81</v>
      </c>
      <c r="AE21" s="159">
        <v>1</v>
      </c>
    </row>
    <row r="22" spans="1:31" s="149" customFormat="1" ht="25.05" customHeight="1" x14ac:dyDescent="0.3">
      <c r="A22" s="153" t="s">
        <v>734</v>
      </c>
      <c r="B22" s="154" t="s">
        <v>735</v>
      </c>
      <c r="C22" s="155" t="s">
        <v>78</v>
      </c>
      <c r="D22" s="155" t="s">
        <v>548</v>
      </c>
      <c r="E22" s="153" t="s">
        <v>101</v>
      </c>
      <c r="F22" s="153" t="s">
        <v>689</v>
      </c>
      <c r="G22" s="153" t="s">
        <v>81</v>
      </c>
      <c r="H22" s="153">
        <v>10000000</v>
      </c>
      <c r="I22" s="156">
        <v>14241299.999999998</v>
      </c>
      <c r="J22" s="157" t="s">
        <v>81</v>
      </c>
      <c r="K22" s="153" t="s">
        <v>78</v>
      </c>
      <c r="L22" s="153" t="s">
        <v>81</v>
      </c>
      <c r="M22" s="153" t="s">
        <v>78</v>
      </c>
      <c r="N22" s="153" t="s">
        <v>81</v>
      </c>
      <c r="O22" s="153">
        <v>0</v>
      </c>
      <c r="P22" s="158" t="s">
        <v>78</v>
      </c>
      <c r="Q22" s="153">
        <v>0</v>
      </c>
      <c r="R22" s="155" t="s">
        <v>78</v>
      </c>
      <c r="S22" s="153">
        <v>0</v>
      </c>
      <c r="T22" s="153" t="s">
        <v>78</v>
      </c>
      <c r="U22" s="153">
        <v>0</v>
      </c>
      <c r="V22" s="159" t="s">
        <v>81</v>
      </c>
      <c r="W22" s="159" t="s">
        <v>78</v>
      </c>
      <c r="X22" s="159" t="s">
        <v>81</v>
      </c>
      <c r="Y22" s="159" t="s">
        <v>78</v>
      </c>
      <c r="Z22" s="159" t="s">
        <v>78</v>
      </c>
      <c r="AA22" s="159" t="s">
        <v>81</v>
      </c>
      <c r="AB22" s="159" t="s">
        <v>81</v>
      </c>
      <c r="AC22" s="159" t="s">
        <v>78</v>
      </c>
      <c r="AD22" s="159" t="s">
        <v>81</v>
      </c>
      <c r="AE22" s="159">
        <v>1</v>
      </c>
    </row>
    <row r="23" spans="1:31" s="149" customFormat="1" ht="25.05" customHeight="1" x14ac:dyDescent="0.3">
      <c r="A23" s="153" t="s">
        <v>736</v>
      </c>
      <c r="B23" s="154" t="s">
        <v>737</v>
      </c>
      <c r="C23" s="155" t="s">
        <v>78</v>
      </c>
      <c r="D23" s="155" t="s">
        <v>548</v>
      </c>
      <c r="E23" s="153" t="s">
        <v>101</v>
      </c>
      <c r="F23" s="153" t="s">
        <v>689</v>
      </c>
      <c r="G23" s="153" t="s">
        <v>81</v>
      </c>
      <c r="H23" s="153">
        <v>9000000</v>
      </c>
      <c r="I23" s="156">
        <v>12817169.999999998</v>
      </c>
      <c r="J23" s="157" t="s">
        <v>81</v>
      </c>
      <c r="K23" s="153" t="s">
        <v>78</v>
      </c>
      <c r="L23" s="153" t="s">
        <v>81</v>
      </c>
      <c r="M23" s="153" t="s">
        <v>78</v>
      </c>
      <c r="N23" s="153" t="s">
        <v>81</v>
      </c>
      <c r="O23" s="153">
        <v>0</v>
      </c>
      <c r="P23" s="158" t="s">
        <v>78</v>
      </c>
      <c r="Q23" s="153">
        <v>0</v>
      </c>
      <c r="R23" s="155" t="s">
        <v>78</v>
      </c>
      <c r="S23" s="153">
        <v>0</v>
      </c>
      <c r="T23" s="153" t="s">
        <v>78</v>
      </c>
      <c r="U23" s="153">
        <v>0</v>
      </c>
      <c r="V23" s="159" t="s">
        <v>81</v>
      </c>
      <c r="W23" s="159" t="s">
        <v>78</v>
      </c>
      <c r="X23" s="159" t="s">
        <v>81</v>
      </c>
      <c r="Y23" s="159" t="s">
        <v>78</v>
      </c>
      <c r="Z23" s="159" t="s">
        <v>78</v>
      </c>
      <c r="AA23" s="159" t="s">
        <v>81</v>
      </c>
      <c r="AB23" s="159" t="s">
        <v>81</v>
      </c>
      <c r="AC23" s="159" t="s">
        <v>78</v>
      </c>
      <c r="AD23" s="159" t="s">
        <v>81</v>
      </c>
      <c r="AE23" s="159">
        <v>1</v>
      </c>
    </row>
    <row r="24" spans="1:31" s="149" customFormat="1" ht="25.05" customHeight="1" x14ac:dyDescent="0.3">
      <c r="A24" s="153" t="s">
        <v>738</v>
      </c>
      <c r="B24" s="154" t="s">
        <v>739</v>
      </c>
      <c r="C24" s="155" t="s">
        <v>78</v>
      </c>
      <c r="D24" s="155" t="s">
        <v>548</v>
      </c>
      <c r="E24" s="153" t="s">
        <v>101</v>
      </c>
      <c r="F24" s="153" t="s">
        <v>676</v>
      </c>
      <c r="G24" s="153" t="s">
        <v>81</v>
      </c>
      <c r="H24" s="153">
        <v>23150600</v>
      </c>
      <c r="I24" s="156">
        <v>32969463.977999996</v>
      </c>
      <c r="J24" s="157" t="s">
        <v>81</v>
      </c>
      <c r="K24" s="153" t="s">
        <v>78</v>
      </c>
      <c r="L24" s="153" t="s">
        <v>81</v>
      </c>
      <c r="M24" s="153" t="s">
        <v>78</v>
      </c>
      <c r="N24" s="153" t="s">
        <v>81</v>
      </c>
      <c r="O24" s="153">
        <v>0</v>
      </c>
      <c r="P24" s="158" t="s">
        <v>78</v>
      </c>
      <c r="Q24" s="153">
        <v>0</v>
      </c>
      <c r="R24" s="155" t="s">
        <v>78</v>
      </c>
      <c r="S24" s="153">
        <v>0</v>
      </c>
      <c r="T24" s="153" t="s">
        <v>78</v>
      </c>
      <c r="U24" s="153">
        <v>0</v>
      </c>
      <c r="V24" s="159" t="s">
        <v>81</v>
      </c>
      <c r="W24" s="159" t="s">
        <v>78</v>
      </c>
      <c r="X24" s="159" t="s">
        <v>81</v>
      </c>
      <c r="Y24" s="159" t="s">
        <v>78</v>
      </c>
      <c r="Z24" s="159" t="s">
        <v>78</v>
      </c>
      <c r="AA24" s="159" t="s">
        <v>81</v>
      </c>
      <c r="AB24" s="159" t="s">
        <v>81</v>
      </c>
      <c r="AC24" s="159" t="s">
        <v>78</v>
      </c>
      <c r="AD24" s="159" t="s">
        <v>81</v>
      </c>
      <c r="AE24" s="159">
        <v>1</v>
      </c>
    </row>
    <row r="25" spans="1:31" s="149" customFormat="1" ht="25.05" customHeight="1" x14ac:dyDescent="0.3">
      <c r="A25" s="153" t="s">
        <v>740</v>
      </c>
      <c r="B25" s="154" t="s">
        <v>741</v>
      </c>
      <c r="C25" s="155" t="s">
        <v>78</v>
      </c>
      <c r="D25" s="155" t="s">
        <v>549</v>
      </c>
      <c r="E25" s="153" t="s">
        <v>115</v>
      </c>
      <c r="F25" s="153" t="s">
        <v>676</v>
      </c>
      <c r="G25" s="153" t="s">
        <v>81</v>
      </c>
      <c r="H25" s="153">
        <v>3145360</v>
      </c>
      <c r="I25" s="156">
        <v>4479401.5367999999</v>
      </c>
      <c r="J25" s="157" t="s">
        <v>81</v>
      </c>
      <c r="K25" s="153" t="s">
        <v>78</v>
      </c>
      <c r="L25" s="153" t="s">
        <v>81</v>
      </c>
      <c r="M25" s="153" t="s">
        <v>78</v>
      </c>
      <c r="N25" s="153" t="s">
        <v>81</v>
      </c>
      <c r="O25" s="153">
        <v>0</v>
      </c>
      <c r="P25" s="158" t="s">
        <v>78</v>
      </c>
      <c r="Q25" s="153">
        <v>0</v>
      </c>
      <c r="R25" s="155" t="s">
        <v>78</v>
      </c>
      <c r="S25" s="153">
        <v>0</v>
      </c>
      <c r="T25" s="153" t="s">
        <v>78</v>
      </c>
      <c r="U25" s="153">
        <v>0</v>
      </c>
      <c r="V25" s="159" t="s">
        <v>81</v>
      </c>
      <c r="W25" s="159" t="s">
        <v>78</v>
      </c>
      <c r="X25" s="159" t="s">
        <v>81</v>
      </c>
      <c r="Y25" s="159" t="s">
        <v>78</v>
      </c>
      <c r="Z25" s="159" t="s">
        <v>78</v>
      </c>
      <c r="AA25" s="159" t="s">
        <v>81</v>
      </c>
      <c r="AB25" s="159" t="s">
        <v>81</v>
      </c>
      <c r="AC25" s="159" t="s">
        <v>78</v>
      </c>
      <c r="AD25" s="159" t="s">
        <v>81</v>
      </c>
      <c r="AE25" s="159">
        <v>1</v>
      </c>
    </row>
    <row r="26" spans="1:31" s="149" customFormat="1" ht="25.05" customHeight="1" x14ac:dyDescent="0.3">
      <c r="A26" s="153" t="s">
        <v>742</v>
      </c>
      <c r="B26" s="154" t="s">
        <v>743</v>
      </c>
      <c r="C26" s="155" t="s">
        <v>78</v>
      </c>
      <c r="D26" s="155" t="s">
        <v>549</v>
      </c>
      <c r="E26" s="153" t="s">
        <v>101</v>
      </c>
      <c r="F26" s="153" t="s">
        <v>689</v>
      </c>
      <c r="G26" s="153" t="s">
        <v>81</v>
      </c>
      <c r="H26" s="153">
        <v>6700640</v>
      </c>
      <c r="I26" s="156">
        <v>9542582.4431999996</v>
      </c>
      <c r="J26" s="157" t="s">
        <v>81</v>
      </c>
      <c r="K26" s="153" t="s">
        <v>78</v>
      </c>
      <c r="L26" s="153" t="s">
        <v>81</v>
      </c>
      <c r="M26" s="153" t="s">
        <v>78</v>
      </c>
      <c r="N26" s="153" t="s">
        <v>81</v>
      </c>
      <c r="O26" s="153">
        <v>0</v>
      </c>
      <c r="P26" s="158" t="s">
        <v>78</v>
      </c>
      <c r="Q26" s="153">
        <v>0</v>
      </c>
      <c r="R26" s="155" t="s">
        <v>78</v>
      </c>
      <c r="S26" s="153">
        <v>0</v>
      </c>
      <c r="T26" s="153" t="s">
        <v>78</v>
      </c>
      <c r="U26" s="153">
        <v>0</v>
      </c>
      <c r="V26" s="159" t="s">
        <v>81</v>
      </c>
      <c r="W26" s="159" t="s">
        <v>78</v>
      </c>
      <c r="X26" s="159" t="s">
        <v>81</v>
      </c>
      <c r="Y26" s="159" t="s">
        <v>78</v>
      </c>
      <c r="Z26" s="159" t="s">
        <v>78</v>
      </c>
      <c r="AA26" s="159" t="s">
        <v>81</v>
      </c>
      <c r="AB26" s="159" t="s">
        <v>81</v>
      </c>
      <c r="AC26" s="159" t="s">
        <v>78</v>
      </c>
      <c r="AD26" s="159" t="s">
        <v>81</v>
      </c>
      <c r="AE26" s="159">
        <v>1</v>
      </c>
    </row>
    <row r="27" spans="1:31" s="149" customFormat="1" ht="25.05" customHeight="1" x14ac:dyDescent="0.3">
      <c r="A27" s="153" t="s">
        <v>744</v>
      </c>
      <c r="B27" s="154" t="s">
        <v>745</v>
      </c>
      <c r="C27" s="155" t="s">
        <v>78</v>
      </c>
      <c r="D27" s="155" t="s">
        <v>553</v>
      </c>
      <c r="E27" s="153" t="s">
        <v>101</v>
      </c>
      <c r="F27" s="153" t="s">
        <v>676</v>
      </c>
      <c r="G27" s="153" t="s">
        <v>81</v>
      </c>
      <c r="H27" s="153">
        <v>20000000</v>
      </c>
      <c r="I27" s="156">
        <v>28482599.999999996</v>
      </c>
      <c r="J27" s="157" t="s">
        <v>75</v>
      </c>
      <c r="K27" s="153" t="s">
        <v>746</v>
      </c>
      <c r="L27" s="153" t="s">
        <v>81</v>
      </c>
      <c r="M27" s="153" t="s">
        <v>78</v>
      </c>
      <c r="N27" s="153" t="s">
        <v>75</v>
      </c>
      <c r="O27" s="153">
        <v>0</v>
      </c>
      <c r="P27" s="158" t="s">
        <v>78</v>
      </c>
      <c r="Q27" s="153">
        <v>999</v>
      </c>
      <c r="R27" s="155" t="s">
        <v>747</v>
      </c>
      <c r="S27" s="153">
        <v>0</v>
      </c>
      <c r="T27" s="153" t="s">
        <v>78</v>
      </c>
      <c r="U27" s="153">
        <v>1</v>
      </c>
      <c r="V27" s="159" t="s">
        <v>81</v>
      </c>
      <c r="W27" s="159" t="s">
        <v>78</v>
      </c>
      <c r="X27" s="159" t="s">
        <v>75</v>
      </c>
      <c r="Y27" s="159" t="s">
        <v>228</v>
      </c>
      <c r="Z27" s="159" t="s">
        <v>78</v>
      </c>
      <c r="AA27" s="159" t="s">
        <v>81</v>
      </c>
      <c r="AB27" s="159" t="s">
        <v>81</v>
      </c>
      <c r="AC27" s="159" t="s">
        <v>78</v>
      </c>
      <c r="AD27" s="159" t="s">
        <v>81</v>
      </c>
      <c r="AE27" s="159">
        <v>1</v>
      </c>
    </row>
    <row r="28" spans="1:31" s="149" customFormat="1" ht="25.05" customHeight="1" x14ac:dyDescent="0.3">
      <c r="A28" s="153" t="s">
        <v>748</v>
      </c>
      <c r="B28" s="154" t="s">
        <v>749</v>
      </c>
      <c r="C28" s="155" t="s">
        <v>78</v>
      </c>
      <c r="D28" s="155" t="s">
        <v>554</v>
      </c>
      <c r="E28" s="153" t="s">
        <v>101</v>
      </c>
      <c r="F28" s="153" t="s">
        <v>689</v>
      </c>
      <c r="G28" s="153" t="s">
        <v>81</v>
      </c>
      <c r="H28" s="153">
        <v>10000000</v>
      </c>
      <c r="I28" s="156">
        <v>14241299.999999998</v>
      </c>
      <c r="J28" s="157" t="s">
        <v>81</v>
      </c>
      <c r="K28" s="153" t="s">
        <v>78</v>
      </c>
      <c r="L28" s="153" t="s">
        <v>81</v>
      </c>
      <c r="M28" s="153" t="s">
        <v>78</v>
      </c>
      <c r="N28" s="153" t="s">
        <v>81</v>
      </c>
      <c r="O28" s="153">
        <v>0</v>
      </c>
      <c r="P28" s="158" t="s">
        <v>78</v>
      </c>
      <c r="Q28" s="153">
        <v>0</v>
      </c>
      <c r="R28" s="155" t="s">
        <v>78</v>
      </c>
      <c r="S28" s="153">
        <v>0</v>
      </c>
      <c r="T28" s="153" t="s">
        <v>78</v>
      </c>
      <c r="U28" s="153">
        <v>0</v>
      </c>
      <c r="V28" s="159" t="s">
        <v>81</v>
      </c>
      <c r="W28" s="159" t="s">
        <v>78</v>
      </c>
      <c r="X28" s="159" t="s">
        <v>81</v>
      </c>
      <c r="Y28" s="159" t="s">
        <v>78</v>
      </c>
      <c r="Z28" s="159" t="s">
        <v>78</v>
      </c>
      <c r="AA28" s="159" t="s">
        <v>81</v>
      </c>
      <c r="AB28" s="159" t="s">
        <v>81</v>
      </c>
      <c r="AC28" s="159" t="s">
        <v>78</v>
      </c>
      <c r="AD28" s="159" t="s">
        <v>81</v>
      </c>
      <c r="AE28" s="159">
        <v>1</v>
      </c>
    </row>
    <row r="29" spans="1:31" s="149" customFormat="1" ht="25.05" customHeight="1" x14ac:dyDescent="0.3">
      <c r="A29" s="153" t="s">
        <v>750</v>
      </c>
      <c r="B29" s="154" t="s">
        <v>751</v>
      </c>
      <c r="C29" s="155" t="s">
        <v>78</v>
      </c>
      <c r="D29" s="155" t="s">
        <v>554</v>
      </c>
      <c r="E29" s="153" t="s">
        <v>72</v>
      </c>
      <c r="F29" s="153" t="s">
        <v>689</v>
      </c>
      <c r="G29" s="153" t="s">
        <v>81</v>
      </c>
      <c r="H29" s="153">
        <v>14464558.220000001</v>
      </c>
      <c r="I29" s="156">
        <v>20599411.297848601</v>
      </c>
      <c r="J29" s="157" t="s">
        <v>81</v>
      </c>
      <c r="K29" s="153" t="s">
        <v>78</v>
      </c>
      <c r="L29" s="153" t="s">
        <v>81</v>
      </c>
      <c r="M29" s="153" t="s">
        <v>78</v>
      </c>
      <c r="N29" s="153" t="s">
        <v>81</v>
      </c>
      <c r="O29" s="153">
        <v>0</v>
      </c>
      <c r="P29" s="158" t="s">
        <v>78</v>
      </c>
      <c r="Q29" s="153">
        <v>0</v>
      </c>
      <c r="R29" s="155" t="s">
        <v>78</v>
      </c>
      <c r="S29" s="153">
        <v>0</v>
      </c>
      <c r="T29" s="153" t="s">
        <v>78</v>
      </c>
      <c r="U29" s="153">
        <v>0</v>
      </c>
      <c r="V29" s="159" t="s">
        <v>81</v>
      </c>
      <c r="W29" s="159" t="s">
        <v>78</v>
      </c>
      <c r="X29" s="159" t="s">
        <v>81</v>
      </c>
      <c r="Y29" s="159" t="s">
        <v>78</v>
      </c>
      <c r="Z29" s="159" t="s">
        <v>78</v>
      </c>
      <c r="AA29" s="159" t="s">
        <v>81</v>
      </c>
      <c r="AB29" s="159" t="s">
        <v>81</v>
      </c>
      <c r="AC29" s="159" t="s">
        <v>78</v>
      </c>
      <c r="AD29" s="159" t="s">
        <v>81</v>
      </c>
      <c r="AE29" s="159">
        <v>1</v>
      </c>
    </row>
    <row r="30" spans="1:31" s="149" customFormat="1" ht="25.05" customHeight="1" x14ac:dyDescent="0.3">
      <c r="A30" s="153" t="s">
        <v>752</v>
      </c>
      <c r="B30" s="154" t="s">
        <v>753</v>
      </c>
      <c r="C30" s="155" t="s">
        <v>78</v>
      </c>
      <c r="D30" s="155" t="s">
        <v>554</v>
      </c>
      <c r="E30" s="153" t="s">
        <v>228</v>
      </c>
      <c r="F30" s="153" t="s">
        <v>689</v>
      </c>
      <c r="G30" s="153" t="s">
        <v>81</v>
      </c>
      <c r="H30" s="153">
        <v>54242093.310000002</v>
      </c>
      <c r="I30" s="156">
        <v>77247792.345570296</v>
      </c>
      <c r="J30" s="157" t="s">
        <v>75</v>
      </c>
      <c r="K30" s="153" t="s">
        <v>754</v>
      </c>
      <c r="L30" s="153" t="s">
        <v>75</v>
      </c>
      <c r="M30" s="153" t="s">
        <v>755</v>
      </c>
      <c r="N30" s="153" t="s">
        <v>75</v>
      </c>
      <c r="O30" s="153">
        <v>0</v>
      </c>
      <c r="P30" s="158" t="s">
        <v>78</v>
      </c>
      <c r="Q30" s="153">
        <v>999</v>
      </c>
      <c r="R30" s="155" t="s">
        <v>756</v>
      </c>
      <c r="S30" s="153">
        <v>999</v>
      </c>
      <c r="T30" s="153" t="s">
        <v>757</v>
      </c>
      <c r="U30" s="153">
        <v>2</v>
      </c>
      <c r="V30" s="159" t="s">
        <v>75</v>
      </c>
      <c r="W30" s="159" t="s">
        <v>758</v>
      </c>
      <c r="X30" s="159" t="s">
        <v>75</v>
      </c>
      <c r="Y30" s="159" t="s">
        <v>228</v>
      </c>
      <c r="Z30" s="159" t="s">
        <v>78</v>
      </c>
      <c r="AA30" s="159" t="s">
        <v>81</v>
      </c>
      <c r="AB30" s="159" t="s">
        <v>81</v>
      </c>
      <c r="AC30" s="159" t="s">
        <v>78</v>
      </c>
      <c r="AD30" s="159" t="s">
        <v>75</v>
      </c>
      <c r="AE30" s="159">
        <v>1</v>
      </c>
    </row>
    <row r="31" spans="1:31" s="149" customFormat="1" ht="25.05" customHeight="1" x14ac:dyDescent="0.3">
      <c r="A31" s="153" t="s">
        <v>759</v>
      </c>
      <c r="B31" s="154" t="s">
        <v>760</v>
      </c>
      <c r="C31" s="155" t="s">
        <v>78</v>
      </c>
      <c r="D31" s="155" t="s">
        <v>554</v>
      </c>
      <c r="E31" s="153" t="s">
        <v>228</v>
      </c>
      <c r="F31" s="153" t="s">
        <v>689</v>
      </c>
      <c r="G31" s="153" t="s">
        <v>81</v>
      </c>
      <c r="H31" s="153">
        <v>11890000</v>
      </c>
      <c r="I31" s="156">
        <v>16932905.699999999</v>
      </c>
      <c r="J31" s="157" t="s">
        <v>81</v>
      </c>
      <c r="K31" s="153" t="s">
        <v>78</v>
      </c>
      <c r="L31" s="153" t="s">
        <v>81</v>
      </c>
      <c r="M31" s="153" t="s">
        <v>78</v>
      </c>
      <c r="N31" s="153" t="s">
        <v>81</v>
      </c>
      <c r="O31" s="153">
        <v>0</v>
      </c>
      <c r="P31" s="158" t="s">
        <v>78</v>
      </c>
      <c r="Q31" s="153">
        <v>0</v>
      </c>
      <c r="R31" s="155" t="s">
        <v>78</v>
      </c>
      <c r="S31" s="153">
        <v>0</v>
      </c>
      <c r="T31" s="153" t="s">
        <v>78</v>
      </c>
      <c r="U31" s="153">
        <v>0</v>
      </c>
      <c r="V31" s="159" t="s">
        <v>81</v>
      </c>
      <c r="W31" s="159" t="s">
        <v>78</v>
      </c>
      <c r="X31" s="159" t="s">
        <v>81</v>
      </c>
      <c r="Y31" s="159" t="s">
        <v>78</v>
      </c>
      <c r="Z31" s="159" t="s">
        <v>78</v>
      </c>
      <c r="AA31" s="159" t="s">
        <v>81</v>
      </c>
      <c r="AB31" s="159" t="s">
        <v>81</v>
      </c>
      <c r="AC31" s="159" t="s">
        <v>78</v>
      </c>
      <c r="AD31" s="159" t="s">
        <v>81</v>
      </c>
      <c r="AE31" s="159">
        <v>1</v>
      </c>
    </row>
    <row r="32" spans="1:31" s="149" customFormat="1" ht="25.05" customHeight="1" x14ac:dyDescent="0.3">
      <c r="A32" s="153" t="s">
        <v>761</v>
      </c>
      <c r="B32" s="154" t="s">
        <v>762</v>
      </c>
      <c r="C32" s="155" t="s">
        <v>78</v>
      </c>
      <c r="D32" s="155" t="s">
        <v>558</v>
      </c>
      <c r="E32" s="153" t="s">
        <v>256</v>
      </c>
      <c r="F32" s="153" t="s">
        <v>689</v>
      </c>
      <c r="G32" s="153" t="s">
        <v>81</v>
      </c>
      <c r="H32" s="153">
        <v>10000000</v>
      </c>
      <c r="I32" s="156">
        <v>14241299.999999998</v>
      </c>
      <c r="J32" s="157" t="s">
        <v>75</v>
      </c>
      <c r="K32" s="153" t="s">
        <v>763</v>
      </c>
      <c r="L32" s="153" t="s">
        <v>81</v>
      </c>
      <c r="M32" s="153" t="s">
        <v>78</v>
      </c>
      <c r="N32" s="153" t="s">
        <v>75</v>
      </c>
      <c r="O32" s="153">
        <v>999</v>
      </c>
      <c r="P32" s="158" t="s">
        <v>764</v>
      </c>
      <c r="Q32" s="153">
        <v>999</v>
      </c>
      <c r="R32" s="155" t="s">
        <v>765</v>
      </c>
      <c r="S32" s="153">
        <v>0</v>
      </c>
      <c r="T32" s="153" t="s">
        <v>78</v>
      </c>
      <c r="U32" s="153">
        <v>3</v>
      </c>
      <c r="V32" s="159" t="s">
        <v>81</v>
      </c>
      <c r="W32" s="159" t="s">
        <v>78</v>
      </c>
      <c r="X32" s="159" t="s">
        <v>81</v>
      </c>
      <c r="Y32" s="159" t="s">
        <v>78</v>
      </c>
      <c r="Z32" s="159" t="s">
        <v>78</v>
      </c>
      <c r="AA32" s="159" t="s">
        <v>81</v>
      </c>
      <c r="AB32" s="159" t="s">
        <v>81</v>
      </c>
      <c r="AC32" s="159" t="s">
        <v>78</v>
      </c>
      <c r="AD32" s="159" t="s">
        <v>81</v>
      </c>
      <c r="AE32" s="159">
        <v>1</v>
      </c>
    </row>
    <row r="33" spans="1:31" s="149" customFormat="1" ht="25.05" customHeight="1" x14ac:dyDescent="0.3">
      <c r="A33" s="153" t="s">
        <v>766</v>
      </c>
      <c r="B33" s="154" t="s">
        <v>767</v>
      </c>
      <c r="C33" s="155" t="s">
        <v>78</v>
      </c>
      <c r="D33" s="155" t="s">
        <v>559</v>
      </c>
      <c r="E33" s="153" t="s">
        <v>101</v>
      </c>
      <c r="F33" s="153" t="s">
        <v>689</v>
      </c>
      <c r="G33" s="153" t="s">
        <v>81</v>
      </c>
      <c r="H33" s="153">
        <v>49212598.43</v>
      </c>
      <c r="I33" s="156">
        <v>70085137.802115887</v>
      </c>
      <c r="J33" s="157" t="s">
        <v>75</v>
      </c>
      <c r="K33" s="153" t="s">
        <v>768</v>
      </c>
      <c r="L33" s="153" t="s">
        <v>81</v>
      </c>
      <c r="M33" s="153" t="s">
        <v>78</v>
      </c>
      <c r="N33" s="153" t="s">
        <v>75</v>
      </c>
      <c r="O33" s="153">
        <v>999</v>
      </c>
      <c r="P33" s="158" t="s">
        <v>769</v>
      </c>
      <c r="Q33" s="153">
        <v>999</v>
      </c>
      <c r="R33" s="155" t="s">
        <v>770</v>
      </c>
      <c r="S33" s="153">
        <v>0</v>
      </c>
      <c r="T33" s="153" t="s">
        <v>78</v>
      </c>
      <c r="U33" s="153">
        <v>3</v>
      </c>
      <c r="V33" s="159" t="s">
        <v>75</v>
      </c>
      <c r="W33" s="159" t="s">
        <v>771</v>
      </c>
      <c r="X33" s="159" t="s">
        <v>81</v>
      </c>
      <c r="Y33" s="159" t="s">
        <v>78</v>
      </c>
      <c r="Z33" s="159" t="s">
        <v>78</v>
      </c>
      <c r="AA33" s="159" t="s">
        <v>81</v>
      </c>
      <c r="AB33" s="159" t="s">
        <v>81</v>
      </c>
      <c r="AC33" s="159" t="s">
        <v>78</v>
      </c>
      <c r="AD33" s="159" t="s">
        <v>81</v>
      </c>
      <c r="AE33" s="159">
        <v>1</v>
      </c>
    </row>
    <row r="34" spans="1:31" s="149" customFormat="1" ht="25.05" customHeight="1" x14ac:dyDescent="0.3">
      <c r="A34" s="153" t="s">
        <v>772</v>
      </c>
      <c r="B34" s="154" t="s">
        <v>773</v>
      </c>
      <c r="C34" s="155" t="s">
        <v>78</v>
      </c>
      <c r="D34" s="155" t="s">
        <v>564</v>
      </c>
      <c r="E34" s="153" t="s">
        <v>228</v>
      </c>
      <c r="F34" s="153" t="s">
        <v>676</v>
      </c>
      <c r="G34" s="153" t="s">
        <v>81</v>
      </c>
      <c r="H34" s="153">
        <v>20995000</v>
      </c>
      <c r="I34" s="156">
        <v>29899609.349999998</v>
      </c>
      <c r="J34" s="157" t="s">
        <v>75</v>
      </c>
      <c r="K34" s="153" t="s">
        <v>774</v>
      </c>
      <c r="L34" s="153" t="s">
        <v>75</v>
      </c>
      <c r="M34" s="153" t="s">
        <v>775</v>
      </c>
      <c r="N34" s="153" t="s">
        <v>75</v>
      </c>
      <c r="O34" s="153">
        <v>999</v>
      </c>
      <c r="P34" s="158" t="s">
        <v>776</v>
      </c>
      <c r="Q34" s="153">
        <v>999</v>
      </c>
      <c r="R34" s="155" t="s">
        <v>777</v>
      </c>
      <c r="S34" s="153">
        <v>0</v>
      </c>
      <c r="T34" s="153" t="s">
        <v>78</v>
      </c>
      <c r="U34" s="153">
        <v>2</v>
      </c>
      <c r="V34" s="159" t="s">
        <v>81</v>
      </c>
      <c r="W34" s="159" t="s">
        <v>78</v>
      </c>
      <c r="X34" s="159" t="s">
        <v>75</v>
      </c>
      <c r="Y34" s="159" t="s">
        <v>228</v>
      </c>
      <c r="Z34" s="159" t="s">
        <v>78</v>
      </c>
      <c r="AA34" s="159" t="s">
        <v>81</v>
      </c>
      <c r="AB34" s="159" t="s">
        <v>81</v>
      </c>
      <c r="AC34" s="159" t="s">
        <v>78</v>
      </c>
      <c r="AD34" s="159" t="s">
        <v>75</v>
      </c>
      <c r="AE34" s="159">
        <v>1</v>
      </c>
    </row>
    <row r="35" spans="1:31" s="149" customFormat="1" ht="25.05" customHeight="1" x14ac:dyDescent="0.3">
      <c r="A35" s="153" t="s">
        <v>778</v>
      </c>
      <c r="B35" s="154" t="s">
        <v>779</v>
      </c>
      <c r="C35" s="155" t="s">
        <v>78</v>
      </c>
      <c r="D35" s="155" t="s">
        <v>546</v>
      </c>
      <c r="E35" s="153" t="s">
        <v>101</v>
      </c>
      <c r="F35" s="153" t="s">
        <v>689</v>
      </c>
      <c r="G35" s="153" t="s">
        <v>81</v>
      </c>
      <c r="H35" s="153">
        <v>410000</v>
      </c>
      <c r="I35" s="156">
        <v>583893.29999999993</v>
      </c>
      <c r="J35" s="157" t="s">
        <v>81</v>
      </c>
      <c r="K35" s="153" t="s">
        <v>78</v>
      </c>
      <c r="L35" s="153" t="s">
        <v>81</v>
      </c>
      <c r="M35" s="153" t="s">
        <v>78</v>
      </c>
      <c r="N35" s="153" t="s">
        <v>81</v>
      </c>
      <c r="O35" s="153">
        <v>0</v>
      </c>
      <c r="P35" s="158" t="s">
        <v>78</v>
      </c>
      <c r="Q35" s="153">
        <v>0</v>
      </c>
      <c r="R35" s="155" t="s">
        <v>78</v>
      </c>
      <c r="S35" s="153">
        <v>0</v>
      </c>
      <c r="T35" s="153" t="s">
        <v>78</v>
      </c>
      <c r="U35" s="153">
        <v>0</v>
      </c>
      <c r="V35" s="159" t="s">
        <v>81</v>
      </c>
      <c r="W35" s="159" t="s">
        <v>78</v>
      </c>
      <c r="X35" s="159" t="s">
        <v>81</v>
      </c>
      <c r="Y35" s="159" t="s">
        <v>78</v>
      </c>
      <c r="Z35" s="159" t="s">
        <v>78</v>
      </c>
      <c r="AA35" s="159" t="s">
        <v>81</v>
      </c>
      <c r="AB35" s="159" t="s">
        <v>81</v>
      </c>
      <c r="AC35" s="159" t="s">
        <v>78</v>
      </c>
      <c r="AD35" s="159" t="s">
        <v>81</v>
      </c>
      <c r="AE35" s="159">
        <v>1</v>
      </c>
    </row>
    <row r="36" spans="1:31" s="149" customFormat="1" ht="25.05" customHeight="1" x14ac:dyDescent="0.3">
      <c r="A36" s="153" t="s">
        <v>780</v>
      </c>
      <c r="B36" s="154" t="s">
        <v>781</v>
      </c>
      <c r="C36" s="155" t="s">
        <v>78</v>
      </c>
      <c r="D36" s="155" t="s">
        <v>565</v>
      </c>
      <c r="E36" s="153" t="s">
        <v>466</v>
      </c>
      <c r="F36" s="153" t="s">
        <v>689</v>
      </c>
      <c r="G36" s="153" t="s">
        <v>81</v>
      </c>
      <c r="H36" s="153">
        <v>59055118.109999999</v>
      </c>
      <c r="I36" s="156">
        <v>84102165.353994295</v>
      </c>
      <c r="J36" s="157" t="s">
        <v>81</v>
      </c>
      <c r="K36" s="153" t="s">
        <v>78</v>
      </c>
      <c r="L36" s="153" t="s">
        <v>81</v>
      </c>
      <c r="M36" s="153" t="s">
        <v>78</v>
      </c>
      <c r="N36" s="153" t="s">
        <v>81</v>
      </c>
      <c r="O36" s="153">
        <v>0</v>
      </c>
      <c r="P36" s="158" t="s">
        <v>78</v>
      </c>
      <c r="Q36" s="153">
        <v>0</v>
      </c>
      <c r="R36" s="155" t="s">
        <v>78</v>
      </c>
      <c r="S36" s="153">
        <v>0</v>
      </c>
      <c r="T36" s="153" t="s">
        <v>78</v>
      </c>
      <c r="U36" s="153">
        <v>0</v>
      </c>
      <c r="V36" s="159" t="s">
        <v>81</v>
      </c>
      <c r="W36" s="159" t="s">
        <v>78</v>
      </c>
      <c r="X36" s="159" t="s">
        <v>81</v>
      </c>
      <c r="Y36" s="159" t="s">
        <v>78</v>
      </c>
      <c r="Z36" s="159" t="s">
        <v>78</v>
      </c>
      <c r="AA36" s="159" t="s">
        <v>81</v>
      </c>
      <c r="AB36" s="159" t="s">
        <v>81</v>
      </c>
      <c r="AC36" s="159" t="s">
        <v>78</v>
      </c>
      <c r="AD36" s="159" t="s">
        <v>81</v>
      </c>
      <c r="AE36" s="159">
        <v>1</v>
      </c>
    </row>
    <row r="37" spans="1:31" s="149" customFormat="1" ht="25.05" customHeight="1" x14ac:dyDescent="0.3">
      <c r="A37" s="153" t="s">
        <v>782</v>
      </c>
      <c r="B37" s="154" t="s">
        <v>783</v>
      </c>
      <c r="C37" s="155" t="s">
        <v>78</v>
      </c>
      <c r="D37" s="155" t="s">
        <v>565</v>
      </c>
      <c r="E37" s="153" t="s">
        <v>466</v>
      </c>
      <c r="F37" s="153" t="s">
        <v>689</v>
      </c>
      <c r="G37" s="153" t="s">
        <v>81</v>
      </c>
      <c r="H37" s="153">
        <v>723227.91</v>
      </c>
      <c r="I37" s="156">
        <v>1029970.5634682999</v>
      </c>
      <c r="J37" s="157" t="s">
        <v>81</v>
      </c>
      <c r="K37" s="153" t="s">
        <v>78</v>
      </c>
      <c r="L37" s="153" t="s">
        <v>81</v>
      </c>
      <c r="M37" s="153" t="s">
        <v>78</v>
      </c>
      <c r="N37" s="153" t="s">
        <v>81</v>
      </c>
      <c r="O37" s="153">
        <v>0</v>
      </c>
      <c r="P37" s="158" t="s">
        <v>78</v>
      </c>
      <c r="Q37" s="153">
        <v>0</v>
      </c>
      <c r="R37" s="155" t="s">
        <v>78</v>
      </c>
      <c r="S37" s="153">
        <v>0</v>
      </c>
      <c r="T37" s="153" t="s">
        <v>78</v>
      </c>
      <c r="U37" s="153">
        <v>0</v>
      </c>
      <c r="V37" s="159" t="s">
        <v>81</v>
      </c>
      <c r="W37" s="159" t="s">
        <v>78</v>
      </c>
      <c r="X37" s="159" t="s">
        <v>81</v>
      </c>
      <c r="Y37" s="159" t="s">
        <v>78</v>
      </c>
      <c r="Z37" s="159" t="s">
        <v>78</v>
      </c>
      <c r="AA37" s="159" t="s">
        <v>81</v>
      </c>
      <c r="AB37" s="159" t="s">
        <v>81</v>
      </c>
      <c r="AC37" s="159" t="s">
        <v>78</v>
      </c>
      <c r="AD37" s="159" t="s">
        <v>81</v>
      </c>
      <c r="AE37" s="159">
        <v>1</v>
      </c>
    </row>
    <row r="38" spans="1:31" s="149" customFormat="1" ht="25.05" customHeight="1" x14ac:dyDescent="0.3">
      <c r="A38" s="153" t="s">
        <v>784</v>
      </c>
      <c r="B38" s="154" t="s">
        <v>785</v>
      </c>
      <c r="C38" s="155" t="s">
        <v>78</v>
      </c>
      <c r="D38" s="155" t="s">
        <v>555</v>
      </c>
      <c r="E38" s="153" t="s">
        <v>256</v>
      </c>
      <c r="F38" s="153" t="s">
        <v>689</v>
      </c>
      <c r="G38" s="153" t="s">
        <v>81</v>
      </c>
      <c r="H38" s="153">
        <v>93722112.859999999</v>
      </c>
      <c r="I38" s="156">
        <v>133472472.58731179</v>
      </c>
      <c r="J38" s="157" t="s">
        <v>75</v>
      </c>
      <c r="K38" s="153" t="s">
        <v>78</v>
      </c>
      <c r="L38" s="153" t="s">
        <v>81</v>
      </c>
      <c r="M38" s="153" t="s">
        <v>78</v>
      </c>
      <c r="N38" s="153" t="s">
        <v>75</v>
      </c>
      <c r="O38" s="153">
        <v>0</v>
      </c>
      <c r="P38" s="158" t="s">
        <v>78</v>
      </c>
      <c r="Q38" s="153">
        <v>999</v>
      </c>
      <c r="R38" s="155" t="s">
        <v>786</v>
      </c>
      <c r="S38" s="153">
        <v>0</v>
      </c>
      <c r="T38" s="153" t="s">
        <v>78</v>
      </c>
      <c r="U38" s="153">
        <v>2</v>
      </c>
      <c r="V38" s="159" t="s">
        <v>75</v>
      </c>
      <c r="W38" s="159" t="s">
        <v>787</v>
      </c>
      <c r="X38" s="159" t="s">
        <v>81</v>
      </c>
      <c r="Y38" s="159" t="s">
        <v>78</v>
      </c>
      <c r="Z38" s="159" t="s">
        <v>78</v>
      </c>
      <c r="AA38" s="159" t="s">
        <v>81</v>
      </c>
      <c r="AB38" s="159" t="s">
        <v>81</v>
      </c>
      <c r="AC38" s="159" t="s">
        <v>78</v>
      </c>
      <c r="AD38" s="159" t="s">
        <v>81</v>
      </c>
      <c r="AE38" s="159">
        <v>1</v>
      </c>
    </row>
    <row r="39" spans="1:31" s="149" customFormat="1" ht="25.05" customHeight="1" x14ac:dyDescent="0.3">
      <c r="A39" s="153" t="s">
        <v>788</v>
      </c>
      <c r="B39" s="154" t="s">
        <v>789</v>
      </c>
      <c r="C39" s="155" t="s">
        <v>78</v>
      </c>
      <c r="D39" s="155" t="s">
        <v>560</v>
      </c>
      <c r="E39" s="153" t="s">
        <v>115</v>
      </c>
      <c r="F39" s="153" t="s">
        <v>689</v>
      </c>
      <c r="G39" s="153" t="s">
        <v>81</v>
      </c>
      <c r="H39" s="153">
        <v>723227.91</v>
      </c>
      <c r="I39" s="156">
        <v>1029970.5634682999</v>
      </c>
      <c r="J39" s="157" t="s">
        <v>75</v>
      </c>
      <c r="K39" s="153" t="s">
        <v>790</v>
      </c>
      <c r="L39" s="153" t="s">
        <v>75</v>
      </c>
      <c r="M39" s="153" t="s">
        <v>791</v>
      </c>
      <c r="N39" s="153" t="s">
        <v>75</v>
      </c>
      <c r="O39" s="153">
        <v>0</v>
      </c>
      <c r="P39" s="158" t="s">
        <v>78</v>
      </c>
      <c r="Q39" s="153">
        <v>999</v>
      </c>
      <c r="R39" s="155" t="s">
        <v>792</v>
      </c>
      <c r="S39" s="153">
        <v>999</v>
      </c>
      <c r="T39" s="153" t="s">
        <v>793</v>
      </c>
      <c r="U39" s="153">
        <v>3</v>
      </c>
      <c r="V39" s="159" t="s">
        <v>75</v>
      </c>
      <c r="W39" s="159" t="s">
        <v>794</v>
      </c>
      <c r="X39" s="159" t="s">
        <v>75</v>
      </c>
      <c r="Y39" s="159" t="s">
        <v>795</v>
      </c>
      <c r="Z39" s="159" t="s">
        <v>796</v>
      </c>
      <c r="AA39" s="159" t="s">
        <v>81</v>
      </c>
      <c r="AB39" s="159" t="s">
        <v>81</v>
      </c>
      <c r="AC39" s="159" t="s">
        <v>78</v>
      </c>
      <c r="AD39" s="159" t="s">
        <v>75</v>
      </c>
      <c r="AE39" s="159">
        <v>1</v>
      </c>
    </row>
    <row r="40" spans="1:31" s="149" customFormat="1" ht="25.05" customHeight="1" x14ac:dyDescent="0.3">
      <c r="A40" s="153" t="s">
        <v>797</v>
      </c>
      <c r="B40" s="154" t="s">
        <v>798</v>
      </c>
      <c r="C40" s="155" t="s">
        <v>78</v>
      </c>
      <c r="D40" s="155" t="s">
        <v>557</v>
      </c>
      <c r="E40" s="153" t="s">
        <v>228</v>
      </c>
      <c r="F40" s="153" t="s">
        <v>676</v>
      </c>
      <c r="G40" s="153" t="s">
        <v>81</v>
      </c>
      <c r="H40" s="153">
        <v>28950000</v>
      </c>
      <c r="I40" s="156">
        <v>41228563.5</v>
      </c>
      <c r="J40" s="157" t="s">
        <v>75</v>
      </c>
      <c r="K40" s="153" t="s">
        <v>799</v>
      </c>
      <c r="L40" s="153" t="s">
        <v>81</v>
      </c>
      <c r="M40" s="153" t="s">
        <v>78</v>
      </c>
      <c r="N40" s="153" t="s">
        <v>81</v>
      </c>
      <c r="O40" s="153">
        <v>0</v>
      </c>
      <c r="P40" s="158" t="s">
        <v>78</v>
      </c>
      <c r="Q40" s="153">
        <v>0</v>
      </c>
      <c r="R40" s="155" t="s">
        <v>78</v>
      </c>
      <c r="S40" s="153">
        <v>0</v>
      </c>
      <c r="T40" s="153" t="s">
        <v>78</v>
      </c>
      <c r="U40" s="153">
        <v>0</v>
      </c>
      <c r="V40" s="159" t="s">
        <v>81</v>
      </c>
      <c r="W40" s="159" t="s">
        <v>78</v>
      </c>
      <c r="X40" s="159" t="s">
        <v>81</v>
      </c>
      <c r="Y40" s="159" t="s">
        <v>78</v>
      </c>
      <c r="Z40" s="159" t="s">
        <v>78</v>
      </c>
      <c r="AA40" s="159" t="s">
        <v>81</v>
      </c>
      <c r="AB40" s="159" t="s">
        <v>81</v>
      </c>
      <c r="AC40" s="159" t="s">
        <v>78</v>
      </c>
      <c r="AD40" s="159" t="s">
        <v>81</v>
      </c>
      <c r="AE40" s="159">
        <v>1</v>
      </c>
    </row>
    <row r="41" spans="1:31" s="149" customFormat="1" ht="25.05" customHeight="1" x14ac:dyDescent="0.3">
      <c r="A41" s="153" t="s">
        <v>800</v>
      </c>
      <c r="B41" s="154" t="s">
        <v>801</v>
      </c>
      <c r="C41" s="155" t="s">
        <v>78</v>
      </c>
      <c r="D41" s="155" t="s">
        <v>557</v>
      </c>
      <c r="E41" s="153" t="s">
        <v>115</v>
      </c>
      <c r="F41" s="153" t="s">
        <v>689</v>
      </c>
      <c r="G41" s="153" t="s">
        <v>81</v>
      </c>
      <c r="H41" s="153">
        <v>723227.91</v>
      </c>
      <c r="I41" s="156">
        <v>1029970.5634682999</v>
      </c>
      <c r="J41" s="157" t="s">
        <v>75</v>
      </c>
      <c r="K41" s="153" t="s">
        <v>802</v>
      </c>
      <c r="L41" s="153" t="s">
        <v>81</v>
      </c>
      <c r="M41" s="153" t="s">
        <v>78</v>
      </c>
      <c r="N41" s="153" t="s">
        <v>75</v>
      </c>
      <c r="O41" s="153">
        <v>0</v>
      </c>
      <c r="P41" s="158" t="s">
        <v>78</v>
      </c>
      <c r="Q41" s="153">
        <v>999</v>
      </c>
      <c r="R41" s="155" t="s">
        <v>803</v>
      </c>
      <c r="S41" s="153">
        <v>999</v>
      </c>
      <c r="T41" s="153" t="s">
        <v>804</v>
      </c>
      <c r="U41" s="153">
        <v>2</v>
      </c>
      <c r="V41" s="159" t="s">
        <v>81</v>
      </c>
      <c r="W41" s="159" t="s">
        <v>78</v>
      </c>
      <c r="X41" s="159" t="s">
        <v>81</v>
      </c>
      <c r="Y41" s="159" t="s">
        <v>78</v>
      </c>
      <c r="Z41" s="159" t="s">
        <v>78</v>
      </c>
      <c r="AA41" s="159" t="s">
        <v>81</v>
      </c>
      <c r="AB41" s="159" t="s">
        <v>81</v>
      </c>
      <c r="AC41" s="159" t="s">
        <v>78</v>
      </c>
      <c r="AD41" s="159" t="s">
        <v>81</v>
      </c>
      <c r="AE41" s="159">
        <v>1</v>
      </c>
    </row>
    <row r="42" spans="1:31" s="149" customFormat="1" ht="25.05" customHeight="1" x14ac:dyDescent="0.3">
      <c r="A42" s="153" t="s">
        <v>805</v>
      </c>
      <c r="B42" s="154" t="s">
        <v>806</v>
      </c>
      <c r="C42" s="155" t="s">
        <v>78</v>
      </c>
      <c r="D42" s="155" t="s">
        <v>566</v>
      </c>
      <c r="E42" s="153" t="s">
        <v>228</v>
      </c>
      <c r="F42" s="153" t="s">
        <v>676</v>
      </c>
      <c r="G42" s="153" t="s">
        <v>81</v>
      </c>
      <c r="H42" s="153">
        <v>9200000</v>
      </c>
      <c r="I42" s="156">
        <v>13101995.999999998</v>
      </c>
      <c r="J42" s="157" t="s">
        <v>75</v>
      </c>
      <c r="K42" s="153" t="s">
        <v>807</v>
      </c>
      <c r="L42" s="153" t="s">
        <v>75</v>
      </c>
      <c r="M42" s="153" t="s">
        <v>808</v>
      </c>
      <c r="N42" s="153" t="s">
        <v>75</v>
      </c>
      <c r="O42" s="153">
        <v>999</v>
      </c>
      <c r="P42" s="158" t="s">
        <v>809</v>
      </c>
      <c r="Q42" s="153">
        <v>999</v>
      </c>
      <c r="R42" s="155" t="s">
        <v>810</v>
      </c>
      <c r="S42" s="153">
        <v>999</v>
      </c>
      <c r="T42" s="153" t="s">
        <v>811</v>
      </c>
      <c r="U42" s="153">
        <v>5</v>
      </c>
      <c r="V42" s="159" t="s">
        <v>81</v>
      </c>
      <c r="W42" s="159" t="s">
        <v>78</v>
      </c>
      <c r="X42" s="159" t="s">
        <v>81</v>
      </c>
      <c r="Y42" s="159" t="s">
        <v>78</v>
      </c>
      <c r="Z42" s="159" t="s">
        <v>78</v>
      </c>
      <c r="AA42" s="159" t="s">
        <v>81</v>
      </c>
      <c r="AB42" s="159" t="s">
        <v>81</v>
      </c>
      <c r="AC42" s="159" t="s">
        <v>78</v>
      </c>
      <c r="AD42" s="159" t="s">
        <v>75</v>
      </c>
      <c r="AE42" s="159">
        <v>1</v>
      </c>
    </row>
    <row r="43" spans="1:31" s="149" customFormat="1" ht="25.05" customHeight="1" x14ac:dyDescent="0.3">
      <c r="A43" s="153" t="s">
        <v>812</v>
      </c>
      <c r="B43" s="154" t="s">
        <v>813</v>
      </c>
      <c r="C43" s="155" t="s">
        <v>78</v>
      </c>
      <c r="D43" s="155" t="s">
        <v>566</v>
      </c>
      <c r="E43" s="153" t="s">
        <v>101</v>
      </c>
      <c r="F43" s="153" t="s">
        <v>676</v>
      </c>
      <c r="G43" s="153" t="s">
        <v>81</v>
      </c>
      <c r="H43" s="153">
        <v>40000000</v>
      </c>
      <c r="I43" s="156">
        <v>56965199.999999993</v>
      </c>
      <c r="J43" s="157" t="s">
        <v>81</v>
      </c>
      <c r="K43" s="153" t="s">
        <v>78</v>
      </c>
      <c r="L43" s="153" t="s">
        <v>81</v>
      </c>
      <c r="M43" s="153" t="s">
        <v>78</v>
      </c>
      <c r="N43" s="153" t="s">
        <v>81</v>
      </c>
      <c r="O43" s="153">
        <v>0</v>
      </c>
      <c r="P43" s="158" t="s">
        <v>78</v>
      </c>
      <c r="Q43" s="153">
        <v>0</v>
      </c>
      <c r="R43" s="155" t="s">
        <v>78</v>
      </c>
      <c r="S43" s="153">
        <v>0</v>
      </c>
      <c r="T43" s="153" t="s">
        <v>78</v>
      </c>
      <c r="U43" s="153">
        <v>0</v>
      </c>
      <c r="V43" s="159" t="s">
        <v>81</v>
      </c>
      <c r="W43" s="159" t="s">
        <v>78</v>
      </c>
      <c r="X43" s="159" t="s">
        <v>81</v>
      </c>
      <c r="Y43" s="159" t="s">
        <v>78</v>
      </c>
      <c r="Z43" s="159" t="s">
        <v>78</v>
      </c>
      <c r="AA43" s="159" t="s">
        <v>81</v>
      </c>
      <c r="AB43" s="159" t="s">
        <v>81</v>
      </c>
      <c r="AC43" s="159" t="s">
        <v>78</v>
      </c>
      <c r="AD43" s="159" t="s">
        <v>81</v>
      </c>
      <c r="AE43" s="159">
        <v>1</v>
      </c>
    </row>
    <row r="44" spans="1:31" s="149" customFormat="1" ht="25.05" customHeight="1" x14ac:dyDescent="0.3">
      <c r="A44" s="153" t="s">
        <v>814</v>
      </c>
      <c r="B44" s="154" t="s">
        <v>815</v>
      </c>
      <c r="C44" s="155" t="s">
        <v>78</v>
      </c>
      <c r="D44" s="155" t="s">
        <v>567</v>
      </c>
      <c r="E44" s="153" t="s">
        <v>256</v>
      </c>
      <c r="F44" s="153" t="s">
        <v>676</v>
      </c>
      <c r="G44" s="153" t="s">
        <v>81</v>
      </c>
      <c r="H44" s="153">
        <v>44000000</v>
      </c>
      <c r="I44" s="156">
        <v>62661719.999999993</v>
      </c>
      <c r="J44" s="157" t="s">
        <v>75</v>
      </c>
      <c r="K44" s="153" t="s">
        <v>816</v>
      </c>
      <c r="L44" s="153" t="s">
        <v>81</v>
      </c>
      <c r="M44" s="153" t="s">
        <v>78</v>
      </c>
      <c r="N44" s="153" t="s">
        <v>75</v>
      </c>
      <c r="O44" s="153">
        <v>999</v>
      </c>
      <c r="P44" s="158" t="s">
        <v>817</v>
      </c>
      <c r="Q44" s="153">
        <v>999</v>
      </c>
      <c r="R44" s="155" t="s">
        <v>818</v>
      </c>
      <c r="S44" s="153">
        <v>0</v>
      </c>
      <c r="T44" s="153" t="s">
        <v>78</v>
      </c>
      <c r="U44" s="153">
        <v>3</v>
      </c>
      <c r="V44" s="159" t="s">
        <v>81</v>
      </c>
      <c r="W44" s="159" t="s">
        <v>78</v>
      </c>
      <c r="X44" s="159" t="s">
        <v>75</v>
      </c>
      <c r="Y44" s="159" t="s">
        <v>256</v>
      </c>
      <c r="Z44" s="159" t="s">
        <v>796</v>
      </c>
      <c r="AA44" s="159" t="s">
        <v>81</v>
      </c>
      <c r="AB44" s="159" t="s">
        <v>81</v>
      </c>
      <c r="AC44" s="159" t="s">
        <v>78</v>
      </c>
      <c r="AD44" s="159" t="s">
        <v>81</v>
      </c>
      <c r="AE44" s="159">
        <v>1</v>
      </c>
    </row>
    <row r="45" spans="1:31" s="149" customFormat="1" ht="25.05" customHeight="1" x14ac:dyDescent="0.3">
      <c r="A45" s="153" t="s">
        <v>819</v>
      </c>
      <c r="B45" s="154" t="s">
        <v>820</v>
      </c>
      <c r="C45" s="155" t="s">
        <v>78</v>
      </c>
      <c r="D45" s="155" t="s">
        <v>552</v>
      </c>
      <c r="E45" s="153" t="s">
        <v>228</v>
      </c>
      <c r="F45" s="153" t="s">
        <v>676</v>
      </c>
      <c r="G45" s="153" t="s">
        <v>81</v>
      </c>
      <c r="H45" s="153">
        <v>4940000</v>
      </c>
      <c r="I45" s="156">
        <v>7035202.1999999993</v>
      </c>
      <c r="J45" s="157" t="s">
        <v>81</v>
      </c>
      <c r="K45" s="153" t="s">
        <v>78</v>
      </c>
      <c r="L45" s="153" t="s">
        <v>81</v>
      </c>
      <c r="M45" s="153" t="s">
        <v>78</v>
      </c>
      <c r="N45" s="153" t="s">
        <v>81</v>
      </c>
      <c r="O45" s="153">
        <v>0</v>
      </c>
      <c r="P45" s="158" t="s">
        <v>78</v>
      </c>
      <c r="Q45" s="153">
        <v>0</v>
      </c>
      <c r="R45" s="155" t="s">
        <v>78</v>
      </c>
      <c r="S45" s="153">
        <v>0</v>
      </c>
      <c r="T45" s="153" t="s">
        <v>78</v>
      </c>
      <c r="U45" s="153">
        <v>0</v>
      </c>
      <c r="V45" s="159" t="s">
        <v>81</v>
      </c>
      <c r="W45" s="159" t="s">
        <v>78</v>
      </c>
      <c r="X45" s="159" t="s">
        <v>81</v>
      </c>
      <c r="Y45" s="159" t="s">
        <v>78</v>
      </c>
      <c r="Z45" s="159" t="s">
        <v>78</v>
      </c>
      <c r="AA45" s="159" t="s">
        <v>81</v>
      </c>
      <c r="AB45" s="159" t="s">
        <v>81</v>
      </c>
      <c r="AC45" s="159" t="s">
        <v>78</v>
      </c>
      <c r="AD45" s="159" t="s">
        <v>81</v>
      </c>
      <c r="AE45" s="159">
        <v>1</v>
      </c>
    </row>
    <row r="46" spans="1:31" s="149" customFormat="1" ht="25.05" customHeight="1" x14ac:dyDescent="0.3">
      <c r="A46" s="153" t="s">
        <v>821</v>
      </c>
      <c r="B46" s="154" t="s">
        <v>822</v>
      </c>
      <c r="C46" s="155" t="s">
        <v>78</v>
      </c>
      <c r="D46" s="155" t="s">
        <v>552</v>
      </c>
      <c r="E46" s="153" t="s">
        <v>228</v>
      </c>
      <c r="F46" s="153" t="s">
        <v>676</v>
      </c>
      <c r="G46" s="153" t="s">
        <v>81</v>
      </c>
      <c r="H46" s="153">
        <v>11000000</v>
      </c>
      <c r="I46" s="156">
        <v>15665429.999999998</v>
      </c>
      <c r="J46" s="157" t="s">
        <v>75</v>
      </c>
      <c r="K46" s="153" t="s">
        <v>823</v>
      </c>
      <c r="L46" s="153" t="s">
        <v>81</v>
      </c>
      <c r="M46" s="153" t="s">
        <v>78</v>
      </c>
      <c r="N46" s="153" t="s">
        <v>75</v>
      </c>
      <c r="O46" s="153">
        <v>999</v>
      </c>
      <c r="P46" s="158" t="s">
        <v>824</v>
      </c>
      <c r="Q46" s="153">
        <v>999</v>
      </c>
      <c r="R46" s="155" t="s">
        <v>825</v>
      </c>
      <c r="S46" s="153">
        <v>0</v>
      </c>
      <c r="T46" s="153" t="s">
        <v>78</v>
      </c>
      <c r="U46" s="153">
        <v>2</v>
      </c>
      <c r="V46" s="159" t="s">
        <v>75</v>
      </c>
      <c r="W46" s="159" t="s">
        <v>826</v>
      </c>
      <c r="X46" s="159" t="s">
        <v>81</v>
      </c>
      <c r="Y46" s="159" t="s">
        <v>78</v>
      </c>
      <c r="Z46" s="159" t="s">
        <v>78</v>
      </c>
      <c r="AA46" s="159" t="s">
        <v>81</v>
      </c>
      <c r="AB46" s="159" t="s">
        <v>81</v>
      </c>
      <c r="AC46" s="159" t="s">
        <v>78</v>
      </c>
      <c r="AD46" s="159" t="s">
        <v>81</v>
      </c>
      <c r="AE46" s="159">
        <v>1</v>
      </c>
    </row>
    <row r="47" spans="1:31" s="149" customFormat="1" ht="25.05" customHeight="1" x14ac:dyDescent="0.3">
      <c r="A47" s="153" t="s">
        <v>827</v>
      </c>
      <c r="B47" s="154" t="s">
        <v>828</v>
      </c>
      <c r="C47" s="155" t="s">
        <v>78</v>
      </c>
      <c r="D47" s="155" t="s">
        <v>533</v>
      </c>
      <c r="E47" s="153" t="s">
        <v>466</v>
      </c>
      <c r="F47" s="153" t="s">
        <v>689</v>
      </c>
      <c r="G47" s="153" t="s">
        <v>81</v>
      </c>
      <c r="H47" s="153">
        <v>723227.91</v>
      </c>
      <c r="I47" s="156">
        <v>1029970.5634682999</v>
      </c>
      <c r="J47" s="157" t="s">
        <v>81</v>
      </c>
      <c r="K47" s="153" t="s">
        <v>78</v>
      </c>
      <c r="L47" s="153" t="s">
        <v>81</v>
      </c>
      <c r="M47" s="153" t="s">
        <v>78</v>
      </c>
      <c r="N47" s="153" t="s">
        <v>81</v>
      </c>
      <c r="O47" s="153">
        <v>0</v>
      </c>
      <c r="P47" s="158" t="s">
        <v>78</v>
      </c>
      <c r="Q47" s="153">
        <v>0</v>
      </c>
      <c r="R47" s="155" t="s">
        <v>78</v>
      </c>
      <c r="S47" s="160">
        <v>0</v>
      </c>
      <c r="T47" s="153" t="s">
        <v>78</v>
      </c>
      <c r="U47" s="153">
        <v>0</v>
      </c>
      <c r="V47" s="159" t="s">
        <v>81</v>
      </c>
      <c r="W47" s="159" t="s">
        <v>78</v>
      </c>
      <c r="X47" s="159" t="s">
        <v>81</v>
      </c>
      <c r="Y47" s="159" t="s">
        <v>78</v>
      </c>
      <c r="Z47" s="159" t="s">
        <v>78</v>
      </c>
      <c r="AA47" s="159" t="s">
        <v>81</v>
      </c>
      <c r="AB47" s="159" t="s">
        <v>81</v>
      </c>
      <c r="AC47" s="159" t="s">
        <v>78</v>
      </c>
      <c r="AD47" s="159" t="s">
        <v>81</v>
      </c>
      <c r="AE47" s="159">
        <v>1</v>
      </c>
    </row>
    <row r="48" spans="1:31" s="149" customFormat="1" ht="25.05" customHeight="1" x14ac:dyDescent="0.3">
      <c r="A48" s="153" t="s">
        <v>829</v>
      </c>
      <c r="B48" s="154" t="s">
        <v>830</v>
      </c>
      <c r="C48" s="155" t="s">
        <v>78</v>
      </c>
      <c r="D48" s="155" t="s">
        <v>540</v>
      </c>
      <c r="E48" s="153" t="s">
        <v>101</v>
      </c>
      <c r="F48" s="153" t="s">
        <v>676</v>
      </c>
      <c r="G48" s="153" t="s">
        <v>81</v>
      </c>
      <c r="H48" s="153">
        <v>1000000</v>
      </c>
      <c r="I48" s="156">
        <v>1424130</v>
      </c>
      <c r="J48" s="157" t="s">
        <v>81</v>
      </c>
      <c r="K48" s="153" t="s">
        <v>78</v>
      </c>
      <c r="L48" s="153" t="s">
        <v>81</v>
      </c>
      <c r="M48" s="153" t="s">
        <v>78</v>
      </c>
      <c r="N48" s="153" t="s">
        <v>81</v>
      </c>
      <c r="O48" s="153">
        <v>0</v>
      </c>
      <c r="P48" s="158" t="s">
        <v>78</v>
      </c>
      <c r="Q48" s="153">
        <v>0</v>
      </c>
      <c r="R48" s="155" t="s">
        <v>78</v>
      </c>
      <c r="S48" s="153">
        <v>0</v>
      </c>
      <c r="T48" s="153" t="s">
        <v>78</v>
      </c>
      <c r="U48" s="153">
        <v>0</v>
      </c>
      <c r="V48" s="159" t="s">
        <v>81</v>
      </c>
      <c r="W48" s="159" t="s">
        <v>78</v>
      </c>
      <c r="X48" s="159" t="s">
        <v>81</v>
      </c>
      <c r="Y48" s="159" t="s">
        <v>78</v>
      </c>
      <c r="Z48" s="159" t="s">
        <v>78</v>
      </c>
      <c r="AA48" s="159" t="s">
        <v>81</v>
      </c>
      <c r="AB48" s="159" t="s">
        <v>81</v>
      </c>
      <c r="AC48" s="159" t="s">
        <v>78</v>
      </c>
      <c r="AD48" s="159" t="s">
        <v>81</v>
      </c>
      <c r="AE48" s="159">
        <v>1</v>
      </c>
    </row>
    <row r="49" spans="1:31" s="149" customFormat="1" ht="25.05" customHeight="1" x14ac:dyDescent="0.3">
      <c r="A49" s="153" t="s">
        <v>831</v>
      </c>
      <c r="B49" s="154" t="s">
        <v>832</v>
      </c>
      <c r="C49" s="155" t="s">
        <v>78</v>
      </c>
      <c r="D49" s="155" t="s">
        <v>543</v>
      </c>
      <c r="E49" s="153" t="s">
        <v>101</v>
      </c>
      <c r="F49" s="153" t="s">
        <v>689</v>
      </c>
      <c r="G49" s="153" t="s">
        <v>81</v>
      </c>
      <c r="H49" s="153">
        <v>1200000</v>
      </c>
      <c r="I49" s="156">
        <v>1708955.9999999998</v>
      </c>
      <c r="J49" s="157" t="s">
        <v>81</v>
      </c>
      <c r="K49" s="153" t="s">
        <v>78</v>
      </c>
      <c r="L49" s="153" t="s">
        <v>81</v>
      </c>
      <c r="M49" s="153" t="s">
        <v>78</v>
      </c>
      <c r="N49" s="153" t="s">
        <v>81</v>
      </c>
      <c r="O49" s="153">
        <v>0</v>
      </c>
      <c r="P49" s="158" t="s">
        <v>78</v>
      </c>
      <c r="Q49" s="153">
        <v>0</v>
      </c>
      <c r="R49" s="155" t="s">
        <v>78</v>
      </c>
      <c r="S49" s="160">
        <v>0</v>
      </c>
      <c r="T49" s="153" t="s">
        <v>78</v>
      </c>
      <c r="U49" s="153">
        <v>0</v>
      </c>
      <c r="V49" s="159" t="s">
        <v>81</v>
      </c>
      <c r="W49" s="159" t="s">
        <v>78</v>
      </c>
      <c r="X49" s="159" t="s">
        <v>81</v>
      </c>
      <c r="Y49" s="159" t="s">
        <v>78</v>
      </c>
      <c r="Z49" s="159" t="s">
        <v>78</v>
      </c>
      <c r="AA49" s="159" t="s">
        <v>81</v>
      </c>
      <c r="AB49" s="159" t="s">
        <v>81</v>
      </c>
      <c r="AC49" s="159" t="s">
        <v>78</v>
      </c>
      <c r="AD49" s="159" t="s">
        <v>81</v>
      </c>
      <c r="AE49" s="159">
        <v>1</v>
      </c>
    </row>
    <row r="50" spans="1:31" s="149" customFormat="1" ht="25.05" customHeight="1" x14ac:dyDescent="0.3">
      <c r="A50" s="153" t="s">
        <v>833</v>
      </c>
      <c r="B50" s="154" t="s">
        <v>834</v>
      </c>
      <c r="C50" s="155" t="s">
        <v>78</v>
      </c>
      <c r="D50" s="155" t="s">
        <v>544</v>
      </c>
      <c r="E50" s="153" t="s">
        <v>101</v>
      </c>
      <c r="F50" s="153" t="s">
        <v>676</v>
      </c>
      <c r="G50" s="153" t="s">
        <v>81</v>
      </c>
      <c r="H50" s="153">
        <v>1000000</v>
      </c>
      <c r="I50" s="156">
        <v>1424130</v>
      </c>
      <c r="J50" s="157" t="s">
        <v>81</v>
      </c>
      <c r="K50" s="153" t="s">
        <v>78</v>
      </c>
      <c r="L50" s="153" t="s">
        <v>81</v>
      </c>
      <c r="M50" s="153" t="s">
        <v>78</v>
      </c>
      <c r="N50" s="153" t="s">
        <v>81</v>
      </c>
      <c r="O50" s="153">
        <v>0</v>
      </c>
      <c r="P50" s="158" t="s">
        <v>78</v>
      </c>
      <c r="Q50" s="153">
        <v>0</v>
      </c>
      <c r="R50" s="155" t="s">
        <v>78</v>
      </c>
      <c r="S50" s="153">
        <v>0</v>
      </c>
      <c r="T50" s="153" t="s">
        <v>78</v>
      </c>
      <c r="U50" s="153">
        <v>0</v>
      </c>
      <c r="V50" s="159" t="s">
        <v>81</v>
      </c>
      <c r="W50" s="159" t="s">
        <v>78</v>
      </c>
      <c r="X50" s="159" t="s">
        <v>81</v>
      </c>
      <c r="Y50" s="159" t="s">
        <v>78</v>
      </c>
      <c r="Z50" s="159" t="s">
        <v>78</v>
      </c>
      <c r="AA50" s="159" t="s">
        <v>81</v>
      </c>
      <c r="AB50" s="159" t="s">
        <v>81</v>
      </c>
      <c r="AC50" s="159" t="s">
        <v>78</v>
      </c>
      <c r="AD50" s="159" t="s">
        <v>81</v>
      </c>
      <c r="AE50" s="159">
        <v>1</v>
      </c>
    </row>
    <row r="51" spans="1:31" s="149" customFormat="1" ht="25.05" customHeight="1" x14ac:dyDescent="0.3">
      <c r="A51" s="153" t="s">
        <v>835</v>
      </c>
      <c r="B51" s="154" t="s">
        <v>836</v>
      </c>
      <c r="C51" s="155" t="s">
        <v>78</v>
      </c>
      <c r="D51" s="155" t="s">
        <v>549</v>
      </c>
      <c r="E51" s="153" t="s">
        <v>228</v>
      </c>
      <c r="F51" s="153" t="s">
        <v>837</v>
      </c>
      <c r="G51" s="153" t="s">
        <v>81</v>
      </c>
      <c r="H51" s="153">
        <v>7000000</v>
      </c>
      <c r="I51" s="156">
        <v>9968910</v>
      </c>
      <c r="J51" s="157" t="s">
        <v>75</v>
      </c>
      <c r="K51" s="153" t="s">
        <v>838</v>
      </c>
      <c r="L51" s="153" t="s">
        <v>81</v>
      </c>
      <c r="M51" s="153" t="s">
        <v>78</v>
      </c>
      <c r="N51" s="153" t="s">
        <v>75</v>
      </c>
      <c r="O51" s="153">
        <v>0</v>
      </c>
      <c r="P51" s="158" t="s">
        <v>78</v>
      </c>
      <c r="Q51" s="153">
        <v>999</v>
      </c>
      <c r="R51" s="155" t="s">
        <v>839</v>
      </c>
      <c r="S51" s="160">
        <v>999</v>
      </c>
      <c r="T51" s="153" t="s">
        <v>840</v>
      </c>
      <c r="U51" s="153">
        <v>3</v>
      </c>
      <c r="V51" s="159" t="s">
        <v>81</v>
      </c>
      <c r="W51" s="159" t="s">
        <v>78</v>
      </c>
      <c r="X51" s="159" t="s">
        <v>81</v>
      </c>
      <c r="Y51" s="159" t="s">
        <v>78</v>
      </c>
      <c r="Z51" s="159" t="s">
        <v>78</v>
      </c>
      <c r="AA51" s="159" t="s">
        <v>81</v>
      </c>
      <c r="AB51" s="159" t="s">
        <v>81</v>
      </c>
      <c r="AC51" s="159" t="s">
        <v>78</v>
      </c>
      <c r="AD51" s="159" t="s">
        <v>81</v>
      </c>
      <c r="AE51" s="159">
        <v>1</v>
      </c>
    </row>
    <row r="52" spans="1:31" s="149" customFormat="1" ht="25.05" customHeight="1" x14ac:dyDescent="0.3">
      <c r="A52" s="153" t="s">
        <v>841</v>
      </c>
      <c r="B52" s="154" t="s">
        <v>842</v>
      </c>
      <c r="C52" s="155" t="s">
        <v>78</v>
      </c>
      <c r="D52" s="155" t="s">
        <v>552</v>
      </c>
      <c r="E52" s="153" t="s">
        <v>228</v>
      </c>
      <c r="F52" s="153" t="s">
        <v>676</v>
      </c>
      <c r="G52" s="153" t="s">
        <v>81</v>
      </c>
      <c r="H52" s="153">
        <v>10000000</v>
      </c>
      <c r="I52" s="156">
        <v>14241299.999999998</v>
      </c>
      <c r="J52" s="157" t="s">
        <v>81</v>
      </c>
      <c r="K52" s="153" t="s">
        <v>78</v>
      </c>
      <c r="L52" s="153" t="s">
        <v>81</v>
      </c>
      <c r="M52" s="153" t="s">
        <v>78</v>
      </c>
      <c r="N52" s="153" t="s">
        <v>81</v>
      </c>
      <c r="O52" s="153">
        <v>0</v>
      </c>
      <c r="P52" s="158" t="s">
        <v>78</v>
      </c>
      <c r="Q52" s="153">
        <v>0</v>
      </c>
      <c r="R52" s="155" t="s">
        <v>78</v>
      </c>
      <c r="S52" s="153">
        <v>0</v>
      </c>
      <c r="T52" s="153" t="s">
        <v>78</v>
      </c>
      <c r="U52" s="153">
        <v>0</v>
      </c>
      <c r="V52" s="159" t="s">
        <v>75</v>
      </c>
      <c r="W52" s="159" t="s">
        <v>826</v>
      </c>
      <c r="X52" s="159" t="s">
        <v>81</v>
      </c>
      <c r="Y52" s="159" t="s">
        <v>78</v>
      </c>
      <c r="Z52" s="159" t="s">
        <v>78</v>
      </c>
      <c r="AA52" s="159" t="s">
        <v>81</v>
      </c>
      <c r="AB52" s="159" t="s">
        <v>81</v>
      </c>
      <c r="AC52" s="159" t="s">
        <v>78</v>
      </c>
      <c r="AD52" s="159" t="s">
        <v>81</v>
      </c>
      <c r="AE52" s="159">
        <v>1</v>
      </c>
    </row>
    <row r="53" spans="1:31" s="149" customFormat="1" ht="25.05" customHeight="1" x14ac:dyDescent="0.3">
      <c r="A53" s="153" t="s">
        <v>843</v>
      </c>
      <c r="B53" s="154" t="s">
        <v>844</v>
      </c>
      <c r="C53" s="155" t="s">
        <v>78</v>
      </c>
      <c r="D53" s="155" t="s">
        <v>553</v>
      </c>
      <c r="E53" s="153" t="s">
        <v>101</v>
      </c>
      <c r="F53" s="153" t="s">
        <v>689</v>
      </c>
      <c r="G53" s="153" t="s">
        <v>81</v>
      </c>
      <c r="H53" s="153">
        <v>1000000</v>
      </c>
      <c r="I53" s="156">
        <v>1424130</v>
      </c>
      <c r="J53" s="157" t="s">
        <v>81</v>
      </c>
      <c r="K53" s="153" t="s">
        <v>78</v>
      </c>
      <c r="L53" s="153" t="s">
        <v>81</v>
      </c>
      <c r="M53" s="153" t="s">
        <v>78</v>
      </c>
      <c r="N53" s="153" t="s">
        <v>81</v>
      </c>
      <c r="O53" s="153">
        <v>0</v>
      </c>
      <c r="P53" s="158" t="s">
        <v>78</v>
      </c>
      <c r="Q53" s="153">
        <v>0</v>
      </c>
      <c r="R53" s="155" t="s">
        <v>78</v>
      </c>
      <c r="S53" s="153">
        <v>0</v>
      </c>
      <c r="T53" s="153" t="s">
        <v>78</v>
      </c>
      <c r="U53" s="153">
        <v>0</v>
      </c>
      <c r="V53" s="159" t="s">
        <v>81</v>
      </c>
      <c r="W53" s="159" t="s">
        <v>78</v>
      </c>
      <c r="X53" s="159" t="s">
        <v>81</v>
      </c>
      <c r="Y53" s="159" t="s">
        <v>78</v>
      </c>
      <c r="Z53" s="159" t="s">
        <v>78</v>
      </c>
      <c r="AA53" s="159" t="s">
        <v>81</v>
      </c>
      <c r="AB53" s="159" t="s">
        <v>81</v>
      </c>
      <c r="AC53" s="159" t="s">
        <v>78</v>
      </c>
      <c r="AD53" s="159" t="s">
        <v>81</v>
      </c>
      <c r="AE53" s="159">
        <v>1</v>
      </c>
    </row>
    <row r="54" spans="1:31" s="149" customFormat="1" ht="25.05" customHeight="1" x14ac:dyDescent="0.3">
      <c r="A54" s="153" t="s">
        <v>845</v>
      </c>
      <c r="B54" s="154" t="s">
        <v>846</v>
      </c>
      <c r="C54" s="155" t="s">
        <v>78</v>
      </c>
      <c r="D54" s="155" t="s">
        <v>555</v>
      </c>
      <c r="E54" s="153" t="s">
        <v>256</v>
      </c>
      <c r="F54" s="153" t="s">
        <v>676</v>
      </c>
      <c r="G54" s="153" t="s">
        <v>81</v>
      </c>
      <c r="H54" s="153">
        <v>13705168.91</v>
      </c>
      <c r="I54" s="156">
        <v>19517942.199798297</v>
      </c>
      <c r="J54" s="157" t="s">
        <v>75</v>
      </c>
      <c r="K54" s="153" t="s">
        <v>847</v>
      </c>
      <c r="L54" s="153" t="s">
        <v>81</v>
      </c>
      <c r="M54" s="153" t="s">
        <v>78</v>
      </c>
      <c r="N54" s="153" t="s">
        <v>75</v>
      </c>
      <c r="O54" s="153">
        <v>999</v>
      </c>
      <c r="P54" s="158" t="s">
        <v>848</v>
      </c>
      <c r="Q54" s="153">
        <v>999</v>
      </c>
      <c r="R54" s="155" t="s">
        <v>849</v>
      </c>
      <c r="S54" s="160">
        <v>0</v>
      </c>
      <c r="T54" s="153" t="s">
        <v>78</v>
      </c>
      <c r="U54" s="153">
        <v>3</v>
      </c>
      <c r="V54" s="159" t="s">
        <v>75</v>
      </c>
      <c r="W54" s="159" t="s">
        <v>787</v>
      </c>
      <c r="X54" s="159" t="s">
        <v>75</v>
      </c>
      <c r="Y54" s="159" t="s">
        <v>256</v>
      </c>
      <c r="Z54" s="159" t="s">
        <v>796</v>
      </c>
      <c r="AA54" s="159" t="s">
        <v>81</v>
      </c>
      <c r="AB54" s="159" t="s">
        <v>81</v>
      </c>
      <c r="AC54" s="159" t="s">
        <v>78</v>
      </c>
      <c r="AD54" s="159" t="s">
        <v>81</v>
      </c>
      <c r="AE54" s="159">
        <v>1</v>
      </c>
    </row>
    <row r="55" spans="1:31" s="149" customFormat="1" ht="25.05" customHeight="1" x14ac:dyDescent="0.3">
      <c r="A55" s="153" t="s">
        <v>850</v>
      </c>
      <c r="B55" s="154" t="s">
        <v>851</v>
      </c>
      <c r="C55" s="155" t="s">
        <v>78</v>
      </c>
      <c r="D55" s="155" t="s">
        <v>557</v>
      </c>
      <c r="E55" s="153" t="s">
        <v>228</v>
      </c>
      <c r="F55" s="153" t="s">
        <v>689</v>
      </c>
      <c r="G55" s="153" t="s">
        <v>81</v>
      </c>
      <c r="H55" s="153">
        <v>28929116.43</v>
      </c>
      <c r="I55" s="156">
        <v>41198822.581455894</v>
      </c>
      <c r="J55" s="157" t="s">
        <v>81</v>
      </c>
      <c r="K55" s="153" t="s">
        <v>78</v>
      </c>
      <c r="L55" s="153" t="s">
        <v>81</v>
      </c>
      <c r="M55" s="153" t="s">
        <v>78</v>
      </c>
      <c r="N55" s="153" t="s">
        <v>81</v>
      </c>
      <c r="O55" s="153">
        <v>0</v>
      </c>
      <c r="P55" s="158" t="s">
        <v>78</v>
      </c>
      <c r="Q55" s="153">
        <v>0</v>
      </c>
      <c r="R55" s="155" t="s">
        <v>78</v>
      </c>
      <c r="S55" s="153">
        <v>0</v>
      </c>
      <c r="T55" s="153" t="s">
        <v>78</v>
      </c>
      <c r="U55" s="153">
        <v>0</v>
      </c>
      <c r="V55" s="159" t="s">
        <v>81</v>
      </c>
      <c r="W55" s="159" t="s">
        <v>78</v>
      </c>
      <c r="X55" s="159" t="s">
        <v>81</v>
      </c>
      <c r="Y55" s="159" t="s">
        <v>78</v>
      </c>
      <c r="Z55" s="159" t="s">
        <v>78</v>
      </c>
      <c r="AA55" s="159" t="s">
        <v>81</v>
      </c>
      <c r="AB55" s="159" t="s">
        <v>81</v>
      </c>
      <c r="AC55" s="159" t="s">
        <v>78</v>
      </c>
      <c r="AD55" s="159" t="s">
        <v>81</v>
      </c>
      <c r="AE55" s="159">
        <v>1</v>
      </c>
    </row>
    <row r="56" spans="1:31" s="149" customFormat="1" ht="25.05" customHeight="1" x14ac:dyDescent="0.3">
      <c r="A56" s="153" t="s">
        <v>852</v>
      </c>
      <c r="B56" s="154" t="s">
        <v>853</v>
      </c>
      <c r="C56" s="155" t="s">
        <v>78</v>
      </c>
      <c r="D56" s="155" t="s">
        <v>563</v>
      </c>
      <c r="E56" s="153" t="s">
        <v>256</v>
      </c>
      <c r="F56" s="153" t="s">
        <v>689</v>
      </c>
      <c r="G56" s="153" t="s">
        <v>81</v>
      </c>
      <c r="H56" s="155">
        <v>36321518.869999997</v>
      </c>
      <c r="I56" s="156">
        <v>51726564.668333091</v>
      </c>
      <c r="J56" s="157" t="s">
        <v>75</v>
      </c>
      <c r="K56" s="153" t="s">
        <v>854</v>
      </c>
      <c r="L56" s="153" t="s">
        <v>75</v>
      </c>
      <c r="M56" s="153" t="s">
        <v>855</v>
      </c>
      <c r="N56" s="153" t="s">
        <v>75</v>
      </c>
      <c r="O56" s="153">
        <v>0</v>
      </c>
      <c r="P56" s="158" t="s">
        <v>78</v>
      </c>
      <c r="Q56" s="153">
        <v>999</v>
      </c>
      <c r="R56" s="155" t="s">
        <v>856</v>
      </c>
      <c r="S56" s="153">
        <v>999</v>
      </c>
      <c r="T56" s="153" t="s">
        <v>857</v>
      </c>
      <c r="U56" s="153">
        <v>2</v>
      </c>
      <c r="V56" s="159" t="s">
        <v>75</v>
      </c>
      <c r="W56" s="159" t="s">
        <v>826</v>
      </c>
      <c r="X56" s="159" t="s">
        <v>75</v>
      </c>
      <c r="Y56" s="159" t="s">
        <v>795</v>
      </c>
      <c r="Z56" s="159" t="s">
        <v>78</v>
      </c>
      <c r="AA56" s="159" t="s">
        <v>81</v>
      </c>
      <c r="AB56" s="159" t="s">
        <v>81</v>
      </c>
      <c r="AC56" s="159" t="s">
        <v>78</v>
      </c>
      <c r="AD56" s="159" t="s">
        <v>75</v>
      </c>
      <c r="AE56" s="159">
        <v>1</v>
      </c>
    </row>
    <row r="57" spans="1:31" s="149" customFormat="1" ht="25.05" customHeight="1" x14ac:dyDescent="0.3">
      <c r="A57" s="153" t="s">
        <v>858</v>
      </c>
      <c r="B57" s="154" t="s">
        <v>859</v>
      </c>
      <c r="C57" s="155" t="s">
        <v>78</v>
      </c>
      <c r="D57" s="155" t="s">
        <v>570</v>
      </c>
      <c r="E57" s="155" t="s">
        <v>101</v>
      </c>
      <c r="F57" s="155" t="s">
        <v>676</v>
      </c>
      <c r="G57" s="155" t="s">
        <v>81</v>
      </c>
      <c r="H57" s="155">
        <v>1102058</v>
      </c>
      <c r="I57" s="156">
        <v>1569473.8595399999</v>
      </c>
      <c r="J57" s="157" t="s">
        <v>75</v>
      </c>
      <c r="K57" s="155" t="s">
        <v>860</v>
      </c>
      <c r="L57" s="153" t="s">
        <v>81</v>
      </c>
      <c r="M57" s="153" t="s">
        <v>78</v>
      </c>
      <c r="N57" s="153" t="s">
        <v>75</v>
      </c>
      <c r="O57" s="153">
        <v>999</v>
      </c>
      <c r="P57" s="158" t="s">
        <v>861</v>
      </c>
      <c r="Q57" s="153">
        <v>0</v>
      </c>
      <c r="R57" s="155" t="s">
        <v>78</v>
      </c>
      <c r="S57" s="155">
        <v>0</v>
      </c>
      <c r="T57" s="153" t="s">
        <v>78</v>
      </c>
      <c r="U57" s="153">
        <v>1</v>
      </c>
      <c r="V57" s="159" t="s">
        <v>75</v>
      </c>
      <c r="W57" s="159" t="s">
        <v>862</v>
      </c>
      <c r="X57" s="159" t="s">
        <v>75</v>
      </c>
      <c r="Y57" s="159" t="s">
        <v>466</v>
      </c>
      <c r="Z57" s="159" t="s">
        <v>704</v>
      </c>
      <c r="AA57" s="159" t="s">
        <v>81</v>
      </c>
      <c r="AB57" s="159" t="s">
        <v>81</v>
      </c>
      <c r="AC57" s="159" t="s">
        <v>78</v>
      </c>
      <c r="AD57" s="159" t="s">
        <v>81</v>
      </c>
      <c r="AE57" s="159">
        <v>1</v>
      </c>
    </row>
    <row r="58" spans="1:31" s="149" customFormat="1" ht="25.05" customHeight="1" x14ac:dyDescent="0.3">
      <c r="A58" s="153" t="s">
        <v>863</v>
      </c>
      <c r="B58" s="154" t="s">
        <v>864</v>
      </c>
      <c r="C58" s="155" t="s">
        <v>500</v>
      </c>
      <c r="D58" s="155" t="s">
        <v>1848</v>
      </c>
      <c r="E58" s="153" t="s">
        <v>101</v>
      </c>
      <c r="F58" s="153" t="s">
        <v>676</v>
      </c>
      <c r="G58" s="153" t="s">
        <v>81</v>
      </c>
      <c r="H58" s="153">
        <v>62380000</v>
      </c>
      <c r="I58" s="156">
        <v>88837229.399999991</v>
      </c>
      <c r="J58" s="157" t="s">
        <v>81</v>
      </c>
      <c r="K58" s="153" t="s">
        <v>78</v>
      </c>
      <c r="L58" s="153" t="s">
        <v>81</v>
      </c>
      <c r="M58" s="153" t="s">
        <v>78</v>
      </c>
      <c r="N58" s="153" t="s">
        <v>81</v>
      </c>
      <c r="O58" s="153">
        <v>0</v>
      </c>
      <c r="P58" s="158" t="s">
        <v>78</v>
      </c>
      <c r="Q58" s="153">
        <v>0</v>
      </c>
      <c r="R58" s="155" t="s">
        <v>78</v>
      </c>
      <c r="S58" s="153">
        <v>0</v>
      </c>
      <c r="T58" s="153" t="s">
        <v>78</v>
      </c>
      <c r="U58" s="153">
        <v>0</v>
      </c>
      <c r="V58" s="159" t="s">
        <v>81</v>
      </c>
      <c r="W58" s="159" t="s">
        <v>78</v>
      </c>
      <c r="X58" s="159" t="s">
        <v>81</v>
      </c>
      <c r="Y58" s="159" t="s">
        <v>78</v>
      </c>
      <c r="Z58" s="159" t="s">
        <v>78</v>
      </c>
      <c r="AA58" s="159" t="s">
        <v>81</v>
      </c>
      <c r="AB58" s="159" t="s">
        <v>81</v>
      </c>
      <c r="AC58" s="159" t="s">
        <v>78</v>
      </c>
      <c r="AD58" s="159" t="s">
        <v>81</v>
      </c>
      <c r="AE58" s="159">
        <v>1</v>
      </c>
    </row>
    <row r="59" spans="1:31" s="149" customFormat="1" ht="25.05" customHeight="1" x14ac:dyDescent="0.3">
      <c r="A59" s="153" t="s">
        <v>865</v>
      </c>
      <c r="B59" s="154" t="s">
        <v>866</v>
      </c>
      <c r="C59" s="155" t="s">
        <v>867</v>
      </c>
      <c r="D59" s="155" t="s">
        <v>1848</v>
      </c>
      <c r="E59" s="153" t="s">
        <v>115</v>
      </c>
      <c r="F59" s="153" t="s">
        <v>676</v>
      </c>
      <c r="G59" s="153" t="s">
        <v>81</v>
      </c>
      <c r="H59" s="153">
        <v>2500000</v>
      </c>
      <c r="I59" s="156">
        <v>3560324.9999999995</v>
      </c>
      <c r="J59" s="157" t="s">
        <v>81</v>
      </c>
      <c r="K59" s="153" t="s">
        <v>78</v>
      </c>
      <c r="L59" s="153" t="s">
        <v>81</v>
      </c>
      <c r="M59" s="153" t="s">
        <v>78</v>
      </c>
      <c r="N59" s="153" t="s">
        <v>81</v>
      </c>
      <c r="O59" s="153">
        <v>0</v>
      </c>
      <c r="P59" s="158" t="s">
        <v>78</v>
      </c>
      <c r="Q59" s="153">
        <v>0</v>
      </c>
      <c r="R59" s="155" t="s">
        <v>78</v>
      </c>
      <c r="S59" s="153">
        <v>0</v>
      </c>
      <c r="T59" s="153" t="s">
        <v>78</v>
      </c>
      <c r="U59" s="153">
        <v>0</v>
      </c>
      <c r="V59" s="159" t="s">
        <v>81</v>
      </c>
      <c r="W59" s="159" t="s">
        <v>78</v>
      </c>
      <c r="X59" s="159" t="s">
        <v>81</v>
      </c>
      <c r="Y59" s="159" t="s">
        <v>78</v>
      </c>
      <c r="Z59" s="159" t="s">
        <v>78</v>
      </c>
      <c r="AA59" s="159" t="s">
        <v>81</v>
      </c>
      <c r="AB59" s="159" t="s">
        <v>81</v>
      </c>
      <c r="AC59" s="159" t="s">
        <v>78</v>
      </c>
      <c r="AD59" s="159" t="s">
        <v>81</v>
      </c>
      <c r="AE59" s="159">
        <v>1</v>
      </c>
    </row>
    <row r="60" spans="1:31" s="149" customFormat="1" ht="25.05" customHeight="1" x14ac:dyDescent="0.3">
      <c r="A60" s="153" t="s">
        <v>868</v>
      </c>
      <c r="B60" s="154" t="s">
        <v>869</v>
      </c>
      <c r="C60" s="155" t="s">
        <v>870</v>
      </c>
      <c r="D60" s="155" t="s">
        <v>1848</v>
      </c>
      <c r="E60" s="153" t="s">
        <v>115</v>
      </c>
      <c r="F60" s="153" t="s">
        <v>676</v>
      </c>
      <c r="G60" s="153" t="s">
        <v>81</v>
      </c>
      <c r="H60" s="153">
        <v>6740000</v>
      </c>
      <c r="I60" s="156">
        <v>9598636.1999999993</v>
      </c>
      <c r="J60" s="157" t="s">
        <v>81</v>
      </c>
      <c r="K60" s="153" t="s">
        <v>78</v>
      </c>
      <c r="L60" s="153" t="s">
        <v>81</v>
      </c>
      <c r="M60" s="153" t="s">
        <v>78</v>
      </c>
      <c r="N60" s="153" t="s">
        <v>81</v>
      </c>
      <c r="O60" s="153">
        <v>0</v>
      </c>
      <c r="P60" s="158" t="s">
        <v>78</v>
      </c>
      <c r="Q60" s="153">
        <v>0</v>
      </c>
      <c r="R60" s="155" t="s">
        <v>78</v>
      </c>
      <c r="S60" s="153">
        <v>0</v>
      </c>
      <c r="T60" s="153" t="s">
        <v>78</v>
      </c>
      <c r="U60" s="153">
        <v>0</v>
      </c>
      <c r="V60" s="159" t="s">
        <v>81</v>
      </c>
      <c r="W60" s="159" t="s">
        <v>78</v>
      </c>
      <c r="X60" s="159" t="s">
        <v>81</v>
      </c>
      <c r="Y60" s="159" t="s">
        <v>78</v>
      </c>
      <c r="Z60" s="159" t="s">
        <v>78</v>
      </c>
      <c r="AA60" s="159" t="s">
        <v>81</v>
      </c>
      <c r="AB60" s="159" t="s">
        <v>81</v>
      </c>
      <c r="AC60" s="159" t="s">
        <v>78</v>
      </c>
      <c r="AD60" s="159" t="s">
        <v>81</v>
      </c>
      <c r="AE60" s="159">
        <v>1</v>
      </c>
    </row>
    <row r="61" spans="1:31" s="149" customFormat="1" ht="25.05" customHeight="1" x14ac:dyDescent="0.3">
      <c r="A61" s="153" t="s">
        <v>871</v>
      </c>
      <c r="B61" s="154" t="s">
        <v>872</v>
      </c>
      <c r="C61" s="155" t="s">
        <v>873</v>
      </c>
      <c r="D61" s="155" t="s">
        <v>1848</v>
      </c>
      <c r="E61" s="153" t="s">
        <v>101</v>
      </c>
      <c r="F61" s="153" t="s">
        <v>676</v>
      </c>
      <c r="G61" s="153" t="s">
        <v>75</v>
      </c>
      <c r="H61" s="153">
        <v>0</v>
      </c>
      <c r="I61" s="156">
        <v>0</v>
      </c>
      <c r="J61" s="157" t="s">
        <v>75</v>
      </c>
      <c r="K61" s="153" t="s">
        <v>874</v>
      </c>
      <c r="L61" s="153" t="s">
        <v>81</v>
      </c>
      <c r="M61" s="153" t="s">
        <v>78</v>
      </c>
      <c r="N61" s="153" t="s">
        <v>75</v>
      </c>
      <c r="O61" s="153">
        <v>999</v>
      </c>
      <c r="P61" s="158" t="s">
        <v>875</v>
      </c>
      <c r="Q61" s="153">
        <v>0</v>
      </c>
      <c r="R61" s="155" t="s">
        <v>78</v>
      </c>
      <c r="S61" s="153">
        <v>0</v>
      </c>
      <c r="T61" s="153" t="s">
        <v>78</v>
      </c>
      <c r="U61" s="153">
        <v>1</v>
      </c>
      <c r="V61" s="159" t="s">
        <v>81</v>
      </c>
      <c r="W61" s="159" t="s">
        <v>78</v>
      </c>
      <c r="X61" s="159" t="s">
        <v>75</v>
      </c>
      <c r="Y61" s="159" t="s">
        <v>795</v>
      </c>
      <c r="Z61" s="159" t="s">
        <v>78</v>
      </c>
      <c r="AA61" s="159" t="s">
        <v>81</v>
      </c>
      <c r="AB61" s="159" t="s">
        <v>81</v>
      </c>
      <c r="AC61" s="159" t="s">
        <v>78</v>
      </c>
      <c r="AD61" s="159" t="s">
        <v>81</v>
      </c>
      <c r="AE61" s="159">
        <v>1</v>
      </c>
    </row>
    <row r="62" spans="1:31" s="149" customFormat="1" ht="25.05" customHeight="1" x14ac:dyDescent="0.3">
      <c r="A62" s="153" t="s">
        <v>876</v>
      </c>
      <c r="B62" s="154" t="s">
        <v>877</v>
      </c>
      <c r="C62" s="155" t="s">
        <v>184</v>
      </c>
      <c r="D62" s="155" t="s">
        <v>1848</v>
      </c>
      <c r="E62" s="153" t="s">
        <v>101</v>
      </c>
      <c r="F62" s="153" t="s">
        <v>676</v>
      </c>
      <c r="G62" s="153" t="s">
        <v>75</v>
      </c>
      <c r="H62" s="153">
        <v>0</v>
      </c>
      <c r="I62" s="156">
        <v>0</v>
      </c>
      <c r="J62" s="157" t="s">
        <v>81</v>
      </c>
      <c r="K62" s="153" t="s">
        <v>78</v>
      </c>
      <c r="L62" s="153" t="s">
        <v>81</v>
      </c>
      <c r="M62" s="153" t="s">
        <v>78</v>
      </c>
      <c r="N62" s="153" t="s">
        <v>81</v>
      </c>
      <c r="O62" s="153">
        <v>0</v>
      </c>
      <c r="P62" s="158" t="s">
        <v>78</v>
      </c>
      <c r="Q62" s="153">
        <v>0</v>
      </c>
      <c r="R62" s="155" t="s">
        <v>78</v>
      </c>
      <c r="S62" s="153">
        <v>0</v>
      </c>
      <c r="T62" s="153" t="s">
        <v>78</v>
      </c>
      <c r="U62" s="153">
        <v>0</v>
      </c>
      <c r="V62" s="159" t="s">
        <v>81</v>
      </c>
      <c r="W62" s="159" t="s">
        <v>78</v>
      </c>
      <c r="X62" s="159" t="s">
        <v>81</v>
      </c>
      <c r="Y62" s="159" t="s">
        <v>78</v>
      </c>
      <c r="Z62" s="159" t="s">
        <v>78</v>
      </c>
      <c r="AA62" s="159" t="s">
        <v>81</v>
      </c>
      <c r="AB62" s="159" t="s">
        <v>81</v>
      </c>
      <c r="AC62" s="159" t="s">
        <v>78</v>
      </c>
      <c r="AD62" s="159" t="s">
        <v>81</v>
      </c>
      <c r="AE62" s="159">
        <v>1</v>
      </c>
    </row>
    <row r="63" spans="1:31" s="149" customFormat="1" ht="25.05" customHeight="1" x14ac:dyDescent="0.3">
      <c r="A63" s="153" t="s">
        <v>878</v>
      </c>
      <c r="B63" s="154" t="s">
        <v>879</v>
      </c>
      <c r="C63" s="155" t="s">
        <v>880</v>
      </c>
      <c r="D63" s="155" t="s">
        <v>1848</v>
      </c>
      <c r="E63" s="153" t="s">
        <v>256</v>
      </c>
      <c r="F63" s="153" t="s">
        <v>676</v>
      </c>
      <c r="G63" s="153" t="s">
        <v>75</v>
      </c>
      <c r="H63" s="153">
        <v>0</v>
      </c>
      <c r="I63" s="156">
        <v>0</v>
      </c>
      <c r="J63" s="157" t="s">
        <v>81</v>
      </c>
      <c r="K63" s="153" t="s">
        <v>78</v>
      </c>
      <c r="L63" s="153" t="s">
        <v>81</v>
      </c>
      <c r="M63" s="153" t="s">
        <v>78</v>
      </c>
      <c r="N63" s="153" t="s">
        <v>81</v>
      </c>
      <c r="O63" s="153">
        <v>0</v>
      </c>
      <c r="P63" s="158" t="s">
        <v>78</v>
      </c>
      <c r="Q63" s="153">
        <v>0</v>
      </c>
      <c r="R63" s="155" t="s">
        <v>78</v>
      </c>
      <c r="S63" s="153">
        <v>0</v>
      </c>
      <c r="T63" s="153" t="s">
        <v>78</v>
      </c>
      <c r="U63" s="153">
        <v>0</v>
      </c>
      <c r="V63" s="159" t="s">
        <v>81</v>
      </c>
      <c r="W63" s="159" t="s">
        <v>78</v>
      </c>
      <c r="X63" s="159" t="s">
        <v>81</v>
      </c>
      <c r="Y63" s="159" t="s">
        <v>78</v>
      </c>
      <c r="Z63" s="159" t="s">
        <v>78</v>
      </c>
      <c r="AA63" s="159" t="s">
        <v>81</v>
      </c>
      <c r="AB63" s="159" t="s">
        <v>81</v>
      </c>
      <c r="AC63" s="159" t="s">
        <v>78</v>
      </c>
      <c r="AD63" s="159" t="s">
        <v>81</v>
      </c>
      <c r="AE63" s="159">
        <v>1</v>
      </c>
    </row>
    <row r="64" spans="1:31" s="149" customFormat="1" ht="25.05" customHeight="1" x14ac:dyDescent="0.3">
      <c r="A64" s="153" t="s">
        <v>881</v>
      </c>
      <c r="B64" s="154" t="s">
        <v>882</v>
      </c>
      <c r="C64" s="155" t="s">
        <v>883</v>
      </c>
      <c r="D64" s="155" t="s">
        <v>1848</v>
      </c>
      <c r="E64" s="153" t="s">
        <v>101</v>
      </c>
      <c r="F64" s="153" t="s">
        <v>676</v>
      </c>
      <c r="G64" s="153" t="s">
        <v>81</v>
      </c>
      <c r="H64" s="153">
        <v>2000000</v>
      </c>
      <c r="I64" s="156">
        <v>2848260</v>
      </c>
      <c r="J64" s="157" t="s">
        <v>81</v>
      </c>
      <c r="K64" s="153" t="s">
        <v>78</v>
      </c>
      <c r="L64" s="153" t="s">
        <v>81</v>
      </c>
      <c r="M64" s="153" t="s">
        <v>78</v>
      </c>
      <c r="N64" s="153" t="s">
        <v>81</v>
      </c>
      <c r="O64" s="153">
        <v>0</v>
      </c>
      <c r="P64" s="158" t="s">
        <v>78</v>
      </c>
      <c r="Q64" s="153">
        <v>0</v>
      </c>
      <c r="R64" s="155" t="s">
        <v>78</v>
      </c>
      <c r="S64" s="153">
        <v>0</v>
      </c>
      <c r="T64" s="153" t="s">
        <v>78</v>
      </c>
      <c r="U64" s="153">
        <v>0</v>
      </c>
      <c r="V64" s="159" t="s">
        <v>81</v>
      </c>
      <c r="W64" s="159" t="s">
        <v>78</v>
      </c>
      <c r="X64" s="159" t="s">
        <v>81</v>
      </c>
      <c r="Y64" s="159" t="s">
        <v>78</v>
      </c>
      <c r="Z64" s="159" t="s">
        <v>78</v>
      </c>
      <c r="AA64" s="159" t="s">
        <v>81</v>
      </c>
      <c r="AB64" s="159" t="s">
        <v>81</v>
      </c>
      <c r="AC64" s="159" t="s">
        <v>78</v>
      </c>
      <c r="AD64" s="159" t="s">
        <v>81</v>
      </c>
      <c r="AE64" s="159">
        <v>1</v>
      </c>
    </row>
    <row r="65" spans="1:31" s="149" customFormat="1" ht="25.05" customHeight="1" x14ac:dyDescent="0.3">
      <c r="A65" s="153" t="s">
        <v>884</v>
      </c>
      <c r="B65" s="154" t="s">
        <v>885</v>
      </c>
      <c r="C65" s="155" t="s">
        <v>886</v>
      </c>
      <c r="D65" s="155" t="s">
        <v>1848</v>
      </c>
      <c r="E65" s="153" t="s">
        <v>101</v>
      </c>
      <c r="F65" s="153" t="s">
        <v>676</v>
      </c>
      <c r="G65" s="153" t="s">
        <v>81</v>
      </c>
      <c r="H65" s="153">
        <v>1000000</v>
      </c>
      <c r="I65" s="156">
        <v>1424130</v>
      </c>
      <c r="J65" s="157" t="s">
        <v>81</v>
      </c>
      <c r="K65" s="153" t="s">
        <v>78</v>
      </c>
      <c r="L65" s="153" t="s">
        <v>81</v>
      </c>
      <c r="M65" s="153" t="s">
        <v>78</v>
      </c>
      <c r="N65" s="153" t="s">
        <v>81</v>
      </c>
      <c r="O65" s="153">
        <v>0</v>
      </c>
      <c r="P65" s="158" t="s">
        <v>78</v>
      </c>
      <c r="Q65" s="153">
        <v>0</v>
      </c>
      <c r="R65" s="155" t="s">
        <v>78</v>
      </c>
      <c r="S65" s="153">
        <v>0</v>
      </c>
      <c r="T65" s="153" t="s">
        <v>78</v>
      </c>
      <c r="U65" s="153">
        <v>0</v>
      </c>
      <c r="V65" s="159" t="s">
        <v>81</v>
      </c>
      <c r="W65" s="159" t="s">
        <v>78</v>
      </c>
      <c r="X65" s="159" t="s">
        <v>81</v>
      </c>
      <c r="Y65" s="159" t="s">
        <v>78</v>
      </c>
      <c r="Z65" s="159" t="s">
        <v>78</v>
      </c>
      <c r="AA65" s="159" t="s">
        <v>81</v>
      </c>
      <c r="AB65" s="159" t="s">
        <v>81</v>
      </c>
      <c r="AC65" s="159" t="s">
        <v>78</v>
      </c>
      <c r="AD65" s="159" t="s">
        <v>81</v>
      </c>
      <c r="AE65" s="159">
        <v>1</v>
      </c>
    </row>
    <row r="66" spans="1:31" s="149" customFormat="1" ht="25.05" customHeight="1" x14ac:dyDescent="0.3">
      <c r="A66" s="153" t="s">
        <v>887</v>
      </c>
      <c r="B66" s="154" t="s">
        <v>888</v>
      </c>
      <c r="C66" s="155" t="s">
        <v>184</v>
      </c>
      <c r="D66" s="155" t="s">
        <v>1848</v>
      </c>
      <c r="E66" s="153" t="s">
        <v>228</v>
      </c>
      <c r="F66" s="153" t="s">
        <v>676</v>
      </c>
      <c r="G66" s="153" t="s">
        <v>75</v>
      </c>
      <c r="H66" s="153">
        <v>0</v>
      </c>
      <c r="I66" s="156">
        <v>0</v>
      </c>
      <c r="J66" s="157" t="s">
        <v>81</v>
      </c>
      <c r="K66" s="153" t="s">
        <v>78</v>
      </c>
      <c r="L66" s="153" t="s">
        <v>81</v>
      </c>
      <c r="M66" s="153" t="s">
        <v>78</v>
      </c>
      <c r="N66" s="153" t="s">
        <v>81</v>
      </c>
      <c r="O66" s="153">
        <v>0</v>
      </c>
      <c r="P66" s="158" t="s">
        <v>78</v>
      </c>
      <c r="Q66" s="153">
        <v>0</v>
      </c>
      <c r="R66" s="155" t="s">
        <v>78</v>
      </c>
      <c r="S66" s="160">
        <v>0</v>
      </c>
      <c r="T66" s="153" t="s">
        <v>78</v>
      </c>
      <c r="U66" s="153">
        <v>0</v>
      </c>
      <c r="V66" s="159" t="s">
        <v>81</v>
      </c>
      <c r="W66" s="159" t="s">
        <v>78</v>
      </c>
      <c r="X66" s="159" t="s">
        <v>81</v>
      </c>
      <c r="Y66" s="159" t="s">
        <v>78</v>
      </c>
      <c r="Z66" s="159" t="s">
        <v>78</v>
      </c>
      <c r="AA66" s="159" t="s">
        <v>81</v>
      </c>
      <c r="AB66" s="159" t="s">
        <v>81</v>
      </c>
      <c r="AC66" s="159" t="s">
        <v>78</v>
      </c>
      <c r="AD66" s="159" t="s">
        <v>81</v>
      </c>
      <c r="AE66" s="159">
        <v>1</v>
      </c>
    </row>
    <row r="67" spans="1:31" s="149" customFormat="1" ht="25.05" customHeight="1" x14ac:dyDescent="0.3">
      <c r="A67" s="153" t="s">
        <v>889</v>
      </c>
      <c r="B67" s="154" t="s">
        <v>890</v>
      </c>
      <c r="C67" s="155" t="s">
        <v>78</v>
      </c>
      <c r="D67" s="155" t="s">
        <v>538</v>
      </c>
      <c r="E67" s="153" t="s">
        <v>228</v>
      </c>
      <c r="F67" s="153" t="s">
        <v>689</v>
      </c>
      <c r="G67" s="153" t="s">
        <v>81</v>
      </c>
      <c r="H67" s="153">
        <v>108484186.59999999</v>
      </c>
      <c r="I67" s="156">
        <v>154495584.66265798</v>
      </c>
      <c r="J67" s="157" t="s">
        <v>81</v>
      </c>
      <c r="K67" s="153" t="s">
        <v>78</v>
      </c>
      <c r="L67" s="153" t="s">
        <v>81</v>
      </c>
      <c r="M67" s="153" t="s">
        <v>78</v>
      </c>
      <c r="N67" s="153" t="s">
        <v>81</v>
      </c>
      <c r="O67" s="153">
        <v>0</v>
      </c>
      <c r="P67" s="158" t="s">
        <v>78</v>
      </c>
      <c r="Q67" s="153">
        <v>0</v>
      </c>
      <c r="R67" s="155" t="s">
        <v>78</v>
      </c>
      <c r="S67" s="160">
        <v>0</v>
      </c>
      <c r="T67" s="153" t="s">
        <v>78</v>
      </c>
      <c r="U67" s="153">
        <v>0</v>
      </c>
      <c r="V67" s="159" t="s">
        <v>81</v>
      </c>
      <c r="W67" s="159" t="s">
        <v>78</v>
      </c>
      <c r="X67" s="159" t="s">
        <v>81</v>
      </c>
      <c r="Y67" s="159" t="s">
        <v>78</v>
      </c>
      <c r="Z67" s="159" t="s">
        <v>78</v>
      </c>
      <c r="AA67" s="159" t="s">
        <v>81</v>
      </c>
      <c r="AB67" s="159" t="s">
        <v>81</v>
      </c>
      <c r="AC67" s="159" t="s">
        <v>78</v>
      </c>
      <c r="AD67" s="159" t="s">
        <v>81</v>
      </c>
      <c r="AE67" s="159">
        <v>1</v>
      </c>
    </row>
    <row r="68" spans="1:31" s="149" customFormat="1" ht="25.05" customHeight="1" x14ac:dyDescent="0.3">
      <c r="A68" s="153" t="s">
        <v>891</v>
      </c>
      <c r="B68" s="154" t="s">
        <v>892</v>
      </c>
      <c r="C68" s="155" t="s">
        <v>78</v>
      </c>
      <c r="D68" s="155" t="s">
        <v>538</v>
      </c>
      <c r="E68" s="153" t="s">
        <v>228</v>
      </c>
      <c r="F68" s="153" t="s">
        <v>676</v>
      </c>
      <c r="G68" s="153" t="s">
        <v>81</v>
      </c>
      <c r="H68" s="153">
        <v>10000000</v>
      </c>
      <c r="I68" s="156">
        <v>14241299.999999998</v>
      </c>
      <c r="J68" s="157" t="s">
        <v>81</v>
      </c>
      <c r="K68" s="153" t="s">
        <v>78</v>
      </c>
      <c r="L68" s="153" t="s">
        <v>81</v>
      </c>
      <c r="M68" s="153" t="s">
        <v>78</v>
      </c>
      <c r="N68" s="153" t="s">
        <v>81</v>
      </c>
      <c r="O68" s="153">
        <v>0</v>
      </c>
      <c r="P68" s="158" t="s">
        <v>78</v>
      </c>
      <c r="Q68" s="153">
        <v>0</v>
      </c>
      <c r="R68" s="155" t="s">
        <v>78</v>
      </c>
      <c r="S68" s="153">
        <v>0</v>
      </c>
      <c r="T68" s="153" t="s">
        <v>78</v>
      </c>
      <c r="U68" s="153">
        <v>0</v>
      </c>
      <c r="V68" s="159" t="s">
        <v>81</v>
      </c>
      <c r="W68" s="159" t="s">
        <v>78</v>
      </c>
      <c r="X68" s="159" t="s">
        <v>81</v>
      </c>
      <c r="Y68" s="159" t="s">
        <v>78</v>
      </c>
      <c r="Z68" s="159" t="s">
        <v>78</v>
      </c>
      <c r="AA68" s="159" t="s">
        <v>81</v>
      </c>
      <c r="AB68" s="159" t="s">
        <v>81</v>
      </c>
      <c r="AC68" s="159" t="s">
        <v>78</v>
      </c>
      <c r="AD68" s="159" t="s">
        <v>81</v>
      </c>
      <c r="AE68" s="159">
        <v>1</v>
      </c>
    </row>
    <row r="69" spans="1:31" s="149" customFormat="1" ht="25.05" customHeight="1" x14ac:dyDescent="0.3">
      <c r="A69" s="153" t="s">
        <v>893</v>
      </c>
      <c r="B69" s="154" t="s">
        <v>894</v>
      </c>
      <c r="C69" s="155" t="s">
        <v>78</v>
      </c>
      <c r="D69" s="155" t="s">
        <v>554</v>
      </c>
      <c r="E69" s="153" t="s">
        <v>466</v>
      </c>
      <c r="F69" s="153" t="s">
        <v>676</v>
      </c>
      <c r="G69" s="153" t="s">
        <v>81</v>
      </c>
      <c r="H69" s="153">
        <v>3990000</v>
      </c>
      <c r="I69" s="156">
        <v>5682278.6999999993</v>
      </c>
      <c r="J69" s="157" t="s">
        <v>75</v>
      </c>
      <c r="K69" s="153" t="s">
        <v>847</v>
      </c>
      <c r="L69" s="153" t="s">
        <v>81</v>
      </c>
      <c r="M69" s="153" t="s">
        <v>78</v>
      </c>
      <c r="N69" s="153" t="s">
        <v>75</v>
      </c>
      <c r="O69" s="153">
        <v>999</v>
      </c>
      <c r="P69" s="158" t="s">
        <v>895</v>
      </c>
      <c r="Q69" s="153">
        <v>999</v>
      </c>
      <c r="R69" s="155" t="s">
        <v>896</v>
      </c>
      <c r="S69" s="153">
        <v>999</v>
      </c>
      <c r="T69" s="153" t="s">
        <v>897</v>
      </c>
      <c r="U69" s="153">
        <v>4</v>
      </c>
      <c r="V69" s="159" t="s">
        <v>81</v>
      </c>
      <c r="W69" s="159" t="s">
        <v>78</v>
      </c>
      <c r="X69" s="159" t="s">
        <v>75</v>
      </c>
      <c r="Y69" s="159" t="s">
        <v>256</v>
      </c>
      <c r="Z69" s="159" t="s">
        <v>78</v>
      </c>
      <c r="AA69" s="159" t="s">
        <v>81</v>
      </c>
      <c r="AB69" s="159" t="s">
        <v>81</v>
      </c>
      <c r="AC69" s="159" t="s">
        <v>78</v>
      </c>
      <c r="AD69" s="159" t="s">
        <v>81</v>
      </c>
      <c r="AE69" s="159">
        <v>1</v>
      </c>
    </row>
    <row r="70" spans="1:31" s="149" customFormat="1" ht="25.05" customHeight="1" x14ac:dyDescent="0.3">
      <c r="A70" s="153" t="s">
        <v>898</v>
      </c>
      <c r="B70" s="154" t="s">
        <v>899</v>
      </c>
      <c r="C70" s="155" t="s">
        <v>78</v>
      </c>
      <c r="D70" s="155" t="s">
        <v>527</v>
      </c>
      <c r="E70" s="153" t="s">
        <v>101</v>
      </c>
      <c r="F70" s="153" t="s">
        <v>676</v>
      </c>
      <c r="G70" s="153" t="s">
        <v>81</v>
      </c>
      <c r="H70" s="153">
        <v>7000000</v>
      </c>
      <c r="I70" s="156">
        <v>9968910</v>
      </c>
      <c r="J70" s="157" t="s">
        <v>81</v>
      </c>
      <c r="K70" s="153" t="s">
        <v>78</v>
      </c>
      <c r="L70" s="153" t="s">
        <v>81</v>
      </c>
      <c r="M70" s="153" t="s">
        <v>78</v>
      </c>
      <c r="N70" s="153" t="s">
        <v>81</v>
      </c>
      <c r="O70" s="153">
        <v>0</v>
      </c>
      <c r="P70" s="158" t="s">
        <v>78</v>
      </c>
      <c r="Q70" s="153">
        <v>0</v>
      </c>
      <c r="R70" s="155" t="s">
        <v>78</v>
      </c>
      <c r="S70" s="153">
        <v>0</v>
      </c>
      <c r="T70" s="153" t="s">
        <v>78</v>
      </c>
      <c r="U70" s="153">
        <v>0</v>
      </c>
      <c r="V70" s="159" t="s">
        <v>81</v>
      </c>
      <c r="W70" s="159" t="s">
        <v>78</v>
      </c>
      <c r="X70" s="159" t="s">
        <v>81</v>
      </c>
      <c r="Y70" s="159" t="s">
        <v>78</v>
      </c>
      <c r="Z70" s="159" t="s">
        <v>78</v>
      </c>
      <c r="AA70" s="159" t="s">
        <v>81</v>
      </c>
      <c r="AB70" s="159" t="s">
        <v>81</v>
      </c>
      <c r="AC70" s="159" t="s">
        <v>78</v>
      </c>
      <c r="AD70" s="159" t="s">
        <v>81</v>
      </c>
      <c r="AE70" s="159">
        <v>1</v>
      </c>
    </row>
    <row r="71" spans="1:31" s="149" customFormat="1" ht="25.05" customHeight="1" x14ac:dyDescent="0.3">
      <c r="A71" s="153" t="s">
        <v>900</v>
      </c>
      <c r="B71" s="154" t="s">
        <v>901</v>
      </c>
      <c r="C71" s="155" t="s">
        <v>78</v>
      </c>
      <c r="D71" s="155" t="s">
        <v>534</v>
      </c>
      <c r="E71" s="153" t="s">
        <v>256</v>
      </c>
      <c r="F71" s="153" t="s">
        <v>679</v>
      </c>
      <c r="G71" s="153" t="s">
        <v>81</v>
      </c>
      <c r="H71" s="153">
        <v>72322791.079999998</v>
      </c>
      <c r="I71" s="156">
        <v>97225697.7325764</v>
      </c>
      <c r="J71" s="157" t="s">
        <v>75</v>
      </c>
      <c r="K71" s="153" t="s">
        <v>902</v>
      </c>
      <c r="L71" s="153" t="s">
        <v>81</v>
      </c>
      <c r="M71" s="153" t="s">
        <v>78</v>
      </c>
      <c r="N71" s="153" t="s">
        <v>75</v>
      </c>
      <c r="O71" s="153">
        <v>999</v>
      </c>
      <c r="P71" s="158" t="s">
        <v>903</v>
      </c>
      <c r="Q71" s="153">
        <v>999</v>
      </c>
      <c r="R71" s="155" t="s">
        <v>904</v>
      </c>
      <c r="S71" s="153">
        <v>0</v>
      </c>
      <c r="T71" s="153" t="s">
        <v>78</v>
      </c>
      <c r="U71" s="153">
        <v>2</v>
      </c>
      <c r="V71" s="159" t="s">
        <v>81</v>
      </c>
      <c r="W71" s="159" t="s">
        <v>78</v>
      </c>
      <c r="X71" s="159" t="s">
        <v>75</v>
      </c>
      <c r="Y71" s="159" t="s">
        <v>256</v>
      </c>
      <c r="Z71" s="159" t="s">
        <v>78</v>
      </c>
      <c r="AA71" s="159" t="s">
        <v>81</v>
      </c>
      <c r="AB71" s="159" t="s">
        <v>81</v>
      </c>
      <c r="AC71" s="159" t="s">
        <v>78</v>
      </c>
      <c r="AD71" s="159" t="s">
        <v>81</v>
      </c>
      <c r="AE71" s="159">
        <v>1</v>
      </c>
    </row>
    <row r="72" spans="1:31" s="149" customFormat="1" ht="25.05" customHeight="1" x14ac:dyDescent="0.3">
      <c r="A72" s="153" t="s">
        <v>905</v>
      </c>
      <c r="B72" s="154" t="s">
        <v>906</v>
      </c>
      <c r="C72" s="155" t="s">
        <v>78</v>
      </c>
      <c r="D72" s="155" t="s">
        <v>538</v>
      </c>
      <c r="E72" s="153" t="s">
        <v>228</v>
      </c>
      <c r="F72" s="153" t="s">
        <v>676</v>
      </c>
      <c r="G72" s="153" t="s">
        <v>81</v>
      </c>
      <c r="H72" s="153">
        <v>27864750</v>
      </c>
      <c r="I72" s="156">
        <v>37459419.3675</v>
      </c>
      <c r="J72" s="157" t="s">
        <v>75</v>
      </c>
      <c r="K72" s="153" t="s">
        <v>907</v>
      </c>
      <c r="L72" s="153" t="s">
        <v>75</v>
      </c>
      <c r="M72" s="153" t="s">
        <v>908</v>
      </c>
      <c r="N72" s="153" t="s">
        <v>75</v>
      </c>
      <c r="O72" s="153">
        <v>999</v>
      </c>
      <c r="P72" s="158" t="s">
        <v>909</v>
      </c>
      <c r="Q72" s="153">
        <v>999</v>
      </c>
      <c r="R72" s="155" t="s">
        <v>910</v>
      </c>
      <c r="S72" s="153">
        <v>0</v>
      </c>
      <c r="T72" s="153" t="s">
        <v>78</v>
      </c>
      <c r="U72" s="153">
        <v>2</v>
      </c>
      <c r="V72" s="159" t="s">
        <v>75</v>
      </c>
      <c r="W72" s="159" t="s">
        <v>911</v>
      </c>
      <c r="X72" s="159" t="s">
        <v>75</v>
      </c>
      <c r="Y72" s="159" t="s">
        <v>466</v>
      </c>
      <c r="Z72" s="159" t="s">
        <v>78</v>
      </c>
      <c r="AA72" s="159" t="s">
        <v>81</v>
      </c>
      <c r="AB72" s="159" t="s">
        <v>81</v>
      </c>
      <c r="AC72" s="159" t="s">
        <v>78</v>
      </c>
      <c r="AD72" s="159" t="s">
        <v>75</v>
      </c>
      <c r="AE72" s="159">
        <v>1</v>
      </c>
    </row>
    <row r="73" spans="1:31" s="149" customFormat="1" ht="25.05" customHeight="1" x14ac:dyDescent="0.3">
      <c r="A73" s="153" t="s">
        <v>912</v>
      </c>
      <c r="B73" s="154" t="s">
        <v>913</v>
      </c>
      <c r="C73" s="155" t="s">
        <v>914</v>
      </c>
      <c r="D73" s="155" t="s">
        <v>1848</v>
      </c>
      <c r="E73" s="153" t="s">
        <v>228</v>
      </c>
      <c r="F73" s="153" t="s">
        <v>679</v>
      </c>
      <c r="G73" s="153" t="s">
        <v>75</v>
      </c>
      <c r="H73" s="153">
        <v>0</v>
      </c>
      <c r="I73" s="156">
        <v>0</v>
      </c>
      <c r="J73" s="157" t="s">
        <v>81</v>
      </c>
      <c r="K73" s="153" t="s">
        <v>78</v>
      </c>
      <c r="L73" s="153" t="s">
        <v>81</v>
      </c>
      <c r="M73" s="153" t="s">
        <v>78</v>
      </c>
      <c r="N73" s="153" t="s">
        <v>81</v>
      </c>
      <c r="O73" s="153">
        <v>0</v>
      </c>
      <c r="P73" s="158" t="s">
        <v>78</v>
      </c>
      <c r="Q73" s="153">
        <v>0</v>
      </c>
      <c r="R73" s="155" t="s">
        <v>78</v>
      </c>
      <c r="S73" s="153">
        <v>0</v>
      </c>
      <c r="T73" s="153" t="s">
        <v>78</v>
      </c>
      <c r="U73" s="153">
        <v>0</v>
      </c>
      <c r="V73" s="159" t="s">
        <v>81</v>
      </c>
      <c r="W73" s="159" t="s">
        <v>78</v>
      </c>
      <c r="X73" s="159" t="s">
        <v>81</v>
      </c>
      <c r="Y73" s="159" t="s">
        <v>78</v>
      </c>
      <c r="Z73" s="159" t="s">
        <v>78</v>
      </c>
      <c r="AA73" s="159" t="s">
        <v>81</v>
      </c>
      <c r="AB73" s="159" t="s">
        <v>81</v>
      </c>
      <c r="AC73" s="159" t="s">
        <v>78</v>
      </c>
      <c r="AD73" s="159" t="s">
        <v>81</v>
      </c>
      <c r="AE73" s="159">
        <v>1</v>
      </c>
    </row>
    <row r="74" spans="1:31" s="149" customFormat="1" ht="25.05" customHeight="1" x14ac:dyDescent="0.3">
      <c r="A74" s="153" t="s">
        <v>915</v>
      </c>
      <c r="B74" s="154" t="s">
        <v>916</v>
      </c>
      <c r="C74" s="155" t="s">
        <v>78</v>
      </c>
      <c r="D74" s="155" t="s">
        <v>560</v>
      </c>
      <c r="E74" s="153" t="s">
        <v>101</v>
      </c>
      <c r="F74" s="153" t="s">
        <v>676</v>
      </c>
      <c r="G74" s="153" t="s">
        <v>81</v>
      </c>
      <c r="H74" s="153">
        <v>5500000</v>
      </c>
      <c r="I74" s="156">
        <v>7393815</v>
      </c>
      <c r="J74" s="157" t="s">
        <v>81</v>
      </c>
      <c r="K74" s="153" t="s">
        <v>78</v>
      </c>
      <c r="L74" s="153" t="s">
        <v>81</v>
      </c>
      <c r="M74" s="153" t="s">
        <v>78</v>
      </c>
      <c r="N74" s="153" t="s">
        <v>81</v>
      </c>
      <c r="O74" s="153">
        <v>0</v>
      </c>
      <c r="P74" s="158" t="s">
        <v>78</v>
      </c>
      <c r="Q74" s="153">
        <v>0</v>
      </c>
      <c r="R74" s="155" t="s">
        <v>78</v>
      </c>
      <c r="S74" s="153">
        <v>0</v>
      </c>
      <c r="T74" s="153" t="s">
        <v>78</v>
      </c>
      <c r="U74" s="153">
        <v>0</v>
      </c>
      <c r="V74" s="159" t="s">
        <v>81</v>
      </c>
      <c r="W74" s="159" t="s">
        <v>78</v>
      </c>
      <c r="X74" s="159" t="s">
        <v>81</v>
      </c>
      <c r="Y74" s="159" t="s">
        <v>78</v>
      </c>
      <c r="Z74" s="159" t="s">
        <v>78</v>
      </c>
      <c r="AA74" s="159" t="s">
        <v>81</v>
      </c>
      <c r="AB74" s="159" t="s">
        <v>81</v>
      </c>
      <c r="AC74" s="159" t="s">
        <v>78</v>
      </c>
      <c r="AD74" s="159" t="s">
        <v>81</v>
      </c>
      <c r="AE74" s="159">
        <v>1</v>
      </c>
    </row>
    <row r="75" spans="1:31" s="149" customFormat="1" ht="25.05" customHeight="1" x14ac:dyDescent="0.3">
      <c r="A75" s="153" t="s">
        <v>917</v>
      </c>
      <c r="B75" s="154" t="s">
        <v>918</v>
      </c>
      <c r="C75" s="155" t="s">
        <v>78</v>
      </c>
      <c r="D75" s="155" t="s">
        <v>567</v>
      </c>
      <c r="E75" s="153" t="s">
        <v>256</v>
      </c>
      <c r="F75" s="153" t="s">
        <v>676</v>
      </c>
      <c r="G75" s="153" t="s">
        <v>81</v>
      </c>
      <c r="H75" s="153">
        <v>19000000</v>
      </c>
      <c r="I75" s="156">
        <v>25542270</v>
      </c>
      <c r="J75" s="157" t="s">
        <v>81</v>
      </c>
      <c r="K75" s="153" t="s">
        <v>78</v>
      </c>
      <c r="L75" s="153" t="s">
        <v>81</v>
      </c>
      <c r="M75" s="153" t="s">
        <v>78</v>
      </c>
      <c r="N75" s="153" t="s">
        <v>81</v>
      </c>
      <c r="O75" s="153">
        <v>0</v>
      </c>
      <c r="P75" s="158" t="s">
        <v>78</v>
      </c>
      <c r="Q75" s="153">
        <v>0</v>
      </c>
      <c r="R75" s="155" t="s">
        <v>78</v>
      </c>
      <c r="S75" s="153">
        <v>0</v>
      </c>
      <c r="T75" s="153" t="s">
        <v>78</v>
      </c>
      <c r="U75" s="153">
        <v>0</v>
      </c>
      <c r="V75" s="159" t="s">
        <v>81</v>
      </c>
      <c r="W75" s="159" t="s">
        <v>78</v>
      </c>
      <c r="X75" s="159" t="s">
        <v>81</v>
      </c>
      <c r="Y75" s="159" t="s">
        <v>78</v>
      </c>
      <c r="Z75" s="159" t="s">
        <v>78</v>
      </c>
      <c r="AA75" s="159" t="s">
        <v>81</v>
      </c>
      <c r="AB75" s="159" t="s">
        <v>81</v>
      </c>
      <c r="AC75" s="159" t="s">
        <v>78</v>
      </c>
      <c r="AD75" s="159" t="s">
        <v>81</v>
      </c>
      <c r="AE75" s="159">
        <v>1</v>
      </c>
    </row>
    <row r="76" spans="1:31" s="149" customFormat="1" ht="25.05" customHeight="1" x14ac:dyDescent="0.3">
      <c r="A76" s="153" t="s">
        <v>919</v>
      </c>
      <c r="B76" s="154" t="s">
        <v>920</v>
      </c>
      <c r="C76" s="155" t="s">
        <v>78</v>
      </c>
      <c r="D76" s="155" t="s">
        <v>558</v>
      </c>
      <c r="E76" s="153" t="s">
        <v>256</v>
      </c>
      <c r="F76" s="153" t="s">
        <v>679</v>
      </c>
      <c r="G76" s="153" t="s">
        <v>75</v>
      </c>
      <c r="H76" s="153">
        <v>0</v>
      </c>
      <c r="I76" s="156">
        <v>0</v>
      </c>
      <c r="J76" s="157" t="s">
        <v>75</v>
      </c>
      <c r="K76" s="153" t="s">
        <v>921</v>
      </c>
      <c r="L76" s="153" t="s">
        <v>81</v>
      </c>
      <c r="M76" s="153" t="s">
        <v>78</v>
      </c>
      <c r="N76" s="153" t="s">
        <v>81</v>
      </c>
      <c r="O76" s="153">
        <v>0</v>
      </c>
      <c r="P76" s="158" t="s">
        <v>78</v>
      </c>
      <c r="Q76" s="153">
        <v>0</v>
      </c>
      <c r="R76" s="155" t="s">
        <v>78</v>
      </c>
      <c r="S76" s="153">
        <v>0</v>
      </c>
      <c r="T76" s="153" t="s">
        <v>78</v>
      </c>
      <c r="U76" s="153">
        <v>0</v>
      </c>
      <c r="V76" s="159" t="s">
        <v>81</v>
      </c>
      <c r="W76" s="159" t="s">
        <v>78</v>
      </c>
      <c r="X76" s="159" t="s">
        <v>75</v>
      </c>
      <c r="Y76" s="159" t="s">
        <v>466</v>
      </c>
      <c r="Z76" s="159" t="s">
        <v>704</v>
      </c>
      <c r="AA76" s="159" t="s">
        <v>81</v>
      </c>
      <c r="AB76" s="159" t="s">
        <v>81</v>
      </c>
      <c r="AC76" s="159" t="s">
        <v>78</v>
      </c>
      <c r="AD76" s="159" t="s">
        <v>81</v>
      </c>
      <c r="AE76" s="159">
        <v>1</v>
      </c>
    </row>
    <row r="77" spans="1:31" s="149" customFormat="1" ht="25.05" customHeight="1" x14ac:dyDescent="0.3">
      <c r="A77" s="153" t="s">
        <v>922</v>
      </c>
      <c r="B77" s="154" t="s">
        <v>923</v>
      </c>
      <c r="C77" s="155" t="s">
        <v>78</v>
      </c>
      <c r="D77" s="155" t="s">
        <v>567</v>
      </c>
      <c r="E77" s="153" t="s">
        <v>228</v>
      </c>
      <c r="F77" s="153" t="s">
        <v>676</v>
      </c>
      <c r="G77" s="153" t="s">
        <v>81</v>
      </c>
      <c r="H77" s="153">
        <v>57000000</v>
      </c>
      <c r="I77" s="156">
        <v>76626810</v>
      </c>
      <c r="J77" s="157" t="s">
        <v>81</v>
      </c>
      <c r="K77" s="153" t="s">
        <v>78</v>
      </c>
      <c r="L77" s="153" t="s">
        <v>81</v>
      </c>
      <c r="M77" s="153" t="s">
        <v>78</v>
      </c>
      <c r="N77" s="153" t="s">
        <v>81</v>
      </c>
      <c r="O77" s="153">
        <v>0</v>
      </c>
      <c r="P77" s="158" t="s">
        <v>78</v>
      </c>
      <c r="Q77" s="153">
        <v>0</v>
      </c>
      <c r="R77" s="155" t="s">
        <v>78</v>
      </c>
      <c r="S77" s="153">
        <v>0</v>
      </c>
      <c r="T77" s="153" t="s">
        <v>78</v>
      </c>
      <c r="U77" s="153">
        <v>0</v>
      </c>
      <c r="V77" s="159" t="s">
        <v>81</v>
      </c>
      <c r="W77" s="159" t="s">
        <v>78</v>
      </c>
      <c r="X77" s="159" t="s">
        <v>81</v>
      </c>
      <c r="Y77" s="159" t="s">
        <v>78</v>
      </c>
      <c r="Z77" s="159" t="s">
        <v>78</v>
      </c>
      <c r="AA77" s="159" t="s">
        <v>81</v>
      </c>
      <c r="AB77" s="159" t="s">
        <v>81</v>
      </c>
      <c r="AC77" s="159" t="s">
        <v>78</v>
      </c>
      <c r="AD77" s="159" t="s">
        <v>81</v>
      </c>
      <c r="AE77" s="159">
        <v>1</v>
      </c>
    </row>
    <row r="78" spans="1:31" s="149" customFormat="1" ht="25.05" customHeight="1" x14ac:dyDescent="0.3">
      <c r="A78" s="153" t="s">
        <v>924</v>
      </c>
      <c r="B78" s="154" t="s">
        <v>925</v>
      </c>
      <c r="C78" s="155" t="s">
        <v>926</v>
      </c>
      <c r="D78" s="155" t="s">
        <v>1848</v>
      </c>
      <c r="E78" s="153" t="s">
        <v>101</v>
      </c>
      <c r="F78" s="153" t="s">
        <v>676</v>
      </c>
      <c r="G78" s="153" t="s">
        <v>81</v>
      </c>
      <c r="H78" s="153">
        <v>6000000</v>
      </c>
      <c r="I78" s="156">
        <v>8065980</v>
      </c>
      <c r="J78" s="157" t="s">
        <v>81</v>
      </c>
      <c r="K78" s="153" t="s">
        <v>78</v>
      </c>
      <c r="L78" s="153" t="s">
        <v>81</v>
      </c>
      <c r="M78" s="153" t="s">
        <v>78</v>
      </c>
      <c r="N78" s="153" t="s">
        <v>81</v>
      </c>
      <c r="O78" s="153">
        <v>0</v>
      </c>
      <c r="P78" s="158" t="s">
        <v>78</v>
      </c>
      <c r="Q78" s="153">
        <v>0</v>
      </c>
      <c r="R78" s="155" t="s">
        <v>78</v>
      </c>
      <c r="S78" s="153">
        <v>0</v>
      </c>
      <c r="T78" s="153" t="s">
        <v>78</v>
      </c>
      <c r="U78" s="153">
        <v>0</v>
      </c>
      <c r="V78" s="159" t="s">
        <v>81</v>
      </c>
      <c r="W78" s="159" t="s">
        <v>78</v>
      </c>
      <c r="X78" s="159" t="s">
        <v>81</v>
      </c>
      <c r="Y78" s="159" t="s">
        <v>78</v>
      </c>
      <c r="Z78" s="159" t="s">
        <v>78</v>
      </c>
      <c r="AA78" s="159" t="s">
        <v>81</v>
      </c>
      <c r="AB78" s="159" t="s">
        <v>81</v>
      </c>
      <c r="AC78" s="159" t="s">
        <v>78</v>
      </c>
      <c r="AD78" s="159" t="s">
        <v>81</v>
      </c>
      <c r="AE78" s="159">
        <v>1</v>
      </c>
    </row>
    <row r="79" spans="1:31" s="149" customFormat="1" ht="25.05" customHeight="1" x14ac:dyDescent="0.3">
      <c r="A79" s="153" t="s">
        <v>927</v>
      </c>
      <c r="B79" s="154" t="s">
        <v>928</v>
      </c>
      <c r="C79" s="155" t="s">
        <v>78</v>
      </c>
      <c r="D79" s="155" t="s">
        <v>78</v>
      </c>
      <c r="E79" s="153" t="s">
        <v>228</v>
      </c>
      <c r="F79" s="153" t="s">
        <v>689</v>
      </c>
      <c r="G79" s="153" t="s">
        <v>81</v>
      </c>
      <c r="H79" s="153">
        <v>50467582.149999999</v>
      </c>
      <c r="I79" s="156">
        <v>67845084.711709499</v>
      </c>
      <c r="J79" s="157" t="s">
        <v>75</v>
      </c>
      <c r="K79" s="153" t="s">
        <v>929</v>
      </c>
      <c r="L79" s="153" t="s">
        <v>75</v>
      </c>
      <c r="M79" s="153" t="s">
        <v>930</v>
      </c>
      <c r="N79" s="153" t="s">
        <v>75</v>
      </c>
      <c r="O79" s="153">
        <v>999</v>
      </c>
      <c r="P79" s="158" t="s">
        <v>931</v>
      </c>
      <c r="Q79" s="153">
        <v>999</v>
      </c>
      <c r="R79" s="155" t="s">
        <v>932</v>
      </c>
      <c r="S79" s="153">
        <v>0</v>
      </c>
      <c r="T79" s="153" t="s">
        <v>78</v>
      </c>
      <c r="U79" s="153">
        <v>2</v>
      </c>
      <c r="V79" s="159" t="s">
        <v>75</v>
      </c>
      <c r="W79" s="159" t="s">
        <v>933</v>
      </c>
      <c r="X79" s="159" t="s">
        <v>75</v>
      </c>
      <c r="Y79" s="159" t="s">
        <v>228</v>
      </c>
      <c r="Z79" s="159" t="s">
        <v>934</v>
      </c>
      <c r="AA79" s="159" t="s">
        <v>75</v>
      </c>
      <c r="AB79" s="159" t="s">
        <v>81</v>
      </c>
      <c r="AC79" s="159" t="s">
        <v>78</v>
      </c>
      <c r="AD79" s="159" t="s">
        <v>75</v>
      </c>
      <c r="AE79" s="159">
        <v>1</v>
      </c>
    </row>
    <row r="80" spans="1:31" s="149" customFormat="1" ht="25.05" customHeight="1" x14ac:dyDescent="0.3">
      <c r="A80" s="153" t="s">
        <v>935</v>
      </c>
      <c r="B80" s="154" t="s">
        <v>936</v>
      </c>
      <c r="C80" s="155" t="s">
        <v>937</v>
      </c>
      <c r="D80" s="155" t="s">
        <v>1848</v>
      </c>
      <c r="E80" s="153" t="s">
        <v>228</v>
      </c>
      <c r="F80" s="153" t="s">
        <v>676</v>
      </c>
      <c r="G80" s="153" t="s">
        <v>81</v>
      </c>
      <c r="H80" s="153">
        <v>29000000</v>
      </c>
      <c r="I80" s="156">
        <v>38985570</v>
      </c>
      <c r="J80" s="157" t="s">
        <v>81</v>
      </c>
      <c r="K80" s="153" t="s">
        <v>78</v>
      </c>
      <c r="L80" s="153" t="s">
        <v>81</v>
      </c>
      <c r="M80" s="153" t="s">
        <v>78</v>
      </c>
      <c r="N80" s="153" t="s">
        <v>81</v>
      </c>
      <c r="O80" s="153">
        <v>0</v>
      </c>
      <c r="P80" s="158" t="s">
        <v>78</v>
      </c>
      <c r="Q80" s="153">
        <v>0</v>
      </c>
      <c r="R80" s="155" t="s">
        <v>78</v>
      </c>
      <c r="S80" s="153">
        <v>0</v>
      </c>
      <c r="T80" s="153" t="s">
        <v>78</v>
      </c>
      <c r="U80" s="153">
        <v>0</v>
      </c>
      <c r="V80" s="159" t="s">
        <v>81</v>
      </c>
      <c r="W80" s="159" t="s">
        <v>78</v>
      </c>
      <c r="X80" s="159" t="s">
        <v>81</v>
      </c>
      <c r="Y80" s="159" t="s">
        <v>78</v>
      </c>
      <c r="Z80" s="159" t="s">
        <v>78</v>
      </c>
      <c r="AA80" s="159" t="s">
        <v>81</v>
      </c>
      <c r="AB80" s="159" t="s">
        <v>81</v>
      </c>
      <c r="AC80" s="159" t="s">
        <v>78</v>
      </c>
      <c r="AD80" s="159" t="s">
        <v>81</v>
      </c>
      <c r="AE80" s="159">
        <v>1</v>
      </c>
    </row>
    <row r="81" spans="1:31" s="149" customFormat="1" ht="25.05" customHeight="1" x14ac:dyDescent="0.3">
      <c r="A81" s="153" t="s">
        <v>938</v>
      </c>
      <c r="B81" s="154" t="s">
        <v>939</v>
      </c>
      <c r="C81" s="155" t="s">
        <v>78</v>
      </c>
      <c r="D81" s="155" t="s">
        <v>555</v>
      </c>
      <c r="E81" s="153" t="s">
        <v>115</v>
      </c>
      <c r="F81" s="153" t="s">
        <v>676</v>
      </c>
      <c r="G81" s="153" t="s">
        <v>81</v>
      </c>
      <c r="H81" s="153">
        <v>60000000</v>
      </c>
      <c r="I81" s="156">
        <v>80659800</v>
      </c>
      <c r="J81" s="157" t="s">
        <v>75</v>
      </c>
      <c r="K81" s="153" t="s">
        <v>940</v>
      </c>
      <c r="L81" s="153" t="s">
        <v>81</v>
      </c>
      <c r="M81" s="153" t="s">
        <v>78</v>
      </c>
      <c r="N81" s="153" t="s">
        <v>81</v>
      </c>
      <c r="O81" s="153">
        <v>0</v>
      </c>
      <c r="P81" s="158" t="s">
        <v>78</v>
      </c>
      <c r="Q81" s="153">
        <v>0</v>
      </c>
      <c r="R81" s="155" t="s">
        <v>78</v>
      </c>
      <c r="S81" s="153">
        <v>0</v>
      </c>
      <c r="T81" s="153" t="s">
        <v>78</v>
      </c>
      <c r="U81" s="153">
        <v>0</v>
      </c>
      <c r="V81" s="159" t="s">
        <v>81</v>
      </c>
      <c r="W81" s="159" t="s">
        <v>78</v>
      </c>
      <c r="X81" s="159" t="s">
        <v>75</v>
      </c>
      <c r="Y81" s="159" t="s">
        <v>466</v>
      </c>
      <c r="Z81" s="159" t="s">
        <v>941</v>
      </c>
      <c r="AA81" s="159" t="s">
        <v>81</v>
      </c>
      <c r="AB81" s="159" t="s">
        <v>81</v>
      </c>
      <c r="AC81" s="159" t="s">
        <v>78</v>
      </c>
      <c r="AD81" s="159" t="s">
        <v>81</v>
      </c>
      <c r="AE81" s="159">
        <v>1</v>
      </c>
    </row>
    <row r="82" spans="1:31" s="149" customFormat="1" ht="25.05" customHeight="1" x14ac:dyDescent="0.3">
      <c r="A82" s="153" t="s">
        <v>942</v>
      </c>
      <c r="B82" s="154" t="s">
        <v>943</v>
      </c>
      <c r="C82" s="155" t="s">
        <v>78</v>
      </c>
      <c r="D82" s="155" t="s">
        <v>545</v>
      </c>
      <c r="E82" s="153" t="s">
        <v>101</v>
      </c>
      <c r="F82" s="153" t="s">
        <v>676</v>
      </c>
      <c r="G82" s="153" t="s">
        <v>81</v>
      </c>
      <c r="H82" s="153">
        <v>5000000</v>
      </c>
      <c r="I82" s="156">
        <v>6721650</v>
      </c>
      <c r="J82" s="157" t="s">
        <v>81</v>
      </c>
      <c r="K82" s="153" t="s">
        <v>78</v>
      </c>
      <c r="L82" s="153" t="s">
        <v>81</v>
      </c>
      <c r="M82" s="153" t="s">
        <v>78</v>
      </c>
      <c r="N82" s="153" t="s">
        <v>81</v>
      </c>
      <c r="O82" s="153">
        <v>0</v>
      </c>
      <c r="P82" s="158" t="s">
        <v>78</v>
      </c>
      <c r="Q82" s="153">
        <v>0</v>
      </c>
      <c r="R82" s="155" t="s">
        <v>78</v>
      </c>
      <c r="S82" s="153">
        <v>0</v>
      </c>
      <c r="T82" s="153" t="s">
        <v>78</v>
      </c>
      <c r="U82" s="153">
        <v>0</v>
      </c>
      <c r="V82" s="159" t="s">
        <v>81</v>
      </c>
      <c r="W82" s="159" t="s">
        <v>78</v>
      </c>
      <c r="X82" s="159" t="s">
        <v>81</v>
      </c>
      <c r="Y82" s="159" t="s">
        <v>78</v>
      </c>
      <c r="Z82" s="159" t="s">
        <v>78</v>
      </c>
      <c r="AA82" s="159" t="s">
        <v>81</v>
      </c>
      <c r="AB82" s="159" t="s">
        <v>81</v>
      </c>
      <c r="AC82" s="159" t="s">
        <v>78</v>
      </c>
      <c r="AD82" s="159" t="s">
        <v>81</v>
      </c>
      <c r="AE82" s="159">
        <v>1</v>
      </c>
    </row>
    <row r="83" spans="1:31" s="149" customFormat="1" ht="25.05" customHeight="1" x14ac:dyDescent="0.3">
      <c r="A83" s="153" t="s">
        <v>944</v>
      </c>
      <c r="B83" s="154" t="s">
        <v>945</v>
      </c>
      <c r="C83" s="155" t="s">
        <v>78</v>
      </c>
      <c r="D83" s="155" t="s">
        <v>555</v>
      </c>
      <c r="E83" s="153" t="s">
        <v>256</v>
      </c>
      <c r="F83" s="153" t="s">
        <v>679</v>
      </c>
      <c r="G83" s="153" t="s">
        <v>81</v>
      </c>
      <c r="H83" s="153">
        <v>87609659.430000007</v>
      </c>
      <c r="I83" s="156">
        <v>117776293.46153191</v>
      </c>
      <c r="J83" s="157" t="s">
        <v>81</v>
      </c>
      <c r="K83" s="153" t="s">
        <v>78</v>
      </c>
      <c r="L83" s="153" t="s">
        <v>81</v>
      </c>
      <c r="M83" s="153" t="s">
        <v>78</v>
      </c>
      <c r="N83" s="153" t="s">
        <v>81</v>
      </c>
      <c r="O83" s="153">
        <v>0</v>
      </c>
      <c r="P83" s="158" t="s">
        <v>78</v>
      </c>
      <c r="Q83" s="153">
        <v>0</v>
      </c>
      <c r="R83" s="155" t="s">
        <v>78</v>
      </c>
      <c r="S83" s="153">
        <v>0</v>
      </c>
      <c r="T83" s="153" t="s">
        <v>78</v>
      </c>
      <c r="U83" s="153">
        <v>0</v>
      </c>
      <c r="V83" s="159" t="s">
        <v>81</v>
      </c>
      <c r="W83" s="159" t="s">
        <v>78</v>
      </c>
      <c r="X83" s="159" t="s">
        <v>81</v>
      </c>
      <c r="Y83" s="159" t="s">
        <v>78</v>
      </c>
      <c r="Z83" s="159" t="s">
        <v>78</v>
      </c>
      <c r="AA83" s="159" t="s">
        <v>81</v>
      </c>
      <c r="AB83" s="159" t="s">
        <v>81</v>
      </c>
      <c r="AC83" s="159" t="s">
        <v>78</v>
      </c>
      <c r="AD83" s="159" t="s">
        <v>81</v>
      </c>
      <c r="AE83" s="159">
        <v>1</v>
      </c>
    </row>
    <row r="84" spans="1:31" s="149" customFormat="1" ht="25.05" customHeight="1" x14ac:dyDescent="0.3">
      <c r="A84" s="153" t="s">
        <v>946</v>
      </c>
      <c r="B84" s="154" t="s">
        <v>947</v>
      </c>
      <c r="C84" s="155" t="s">
        <v>78</v>
      </c>
      <c r="D84" s="155" t="s">
        <v>557</v>
      </c>
      <c r="E84" s="153" t="s">
        <v>256</v>
      </c>
      <c r="F84" s="153" t="s">
        <v>676</v>
      </c>
      <c r="G84" s="153" t="s">
        <v>81</v>
      </c>
      <c r="H84" s="153">
        <v>15000000</v>
      </c>
      <c r="I84" s="156">
        <v>20164950</v>
      </c>
      <c r="J84" s="157" t="s">
        <v>81</v>
      </c>
      <c r="K84" s="153" t="s">
        <v>78</v>
      </c>
      <c r="L84" s="153" t="s">
        <v>81</v>
      </c>
      <c r="M84" s="153" t="s">
        <v>78</v>
      </c>
      <c r="N84" s="153" t="s">
        <v>81</v>
      </c>
      <c r="O84" s="153">
        <v>0</v>
      </c>
      <c r="P84" s="158" t="s">
        <v>78</v>
      </c>
      <c r="Q84" s="153">
        <v>0</v>
      </c>
      <c r="R84" s="155" t="s">
        <v>78</v>
      </c>
      <c r="S84" s="153">
        <v>0</v>
      </c>
      <c r="T84" s="153" t="s">
        <v>78</v>
      </c>
      <c r="U84" s="153">
        <v>0</v>
      </c>
      <c r="V84" s="159" t="s">
        <v>81</v>
      </c>
      <c r="W84" s="159" t="s">
        <v>78</v>
      </c>
      <c r="X84" s="159" t="s">
        <v>81</v>
      </c>
      <c r="Y84" s="159" t="s">
        <v>78</v>
      </c>
      <c r="Z84" s="159" t="s">
        <v>78</v>
      </c>
      <c r="AA84" s="159" t="s">
        <v>81</v>
      </c>
      <c r="AB84" s="159" t="s">
        <v>81</v>
      </c>
      <c r="AC84" s="159" t="s">
        <v>78</v>
      </c>
      <c r="AD84" s="159" t="s">
        <v>81</v>
      </c>
      <c r="AE84" s="159">
        <v>1</v>
      </c>
    </row>
    <row r="85" spans="1:31" s="149" customFormat="1" ht="25.05" customHeight="1" x14ac:dyDescent="0.3">
      <c r="A85" s="153" t="s">
        <v>948</v>
      </c>
      <c r="B85" s="154" t="s">
        <v>949</v>
      </c>
      <c r="C85" s="155" t="s">
        <v>78</v>
      </c>
      <c r="D85" s="155" t="s">
        <v>558</v>
      </c>
      <c r="E85" s="153" t="s">
        <v>101</v>
      </c>
      <c r="F85" s="153" t="s">
        <v>689</v>
      </c>
      <c r="G85" s="153" t="s">
        <v>81</v>
      </c>
      <c r="H85" s="153">
        <v>723227.91</v>
      </c>
      <c r="I85" s="156">
        <v>972256.97625030007</v>
      </c>
      <c r="J85" s="157" t="s">
        <v>75</v>
      </c>
      <c r="K85" s="153" t="s">
        <v>950</v>
      </c>
      <c r="L85" s="153" t="s">
        <v>81</v>
      </c>
      <c r="M85" s="153" t="s">
        <v>78</v>
      </c>
      <c r="N85" s="153" t="s">
        <v>81</v>
      </c>
      <c r="O85" s="153">
        <v>0</v>
      </c>
      <c r="P85" s="158" t="s">
        <v>78</v>
      </c>
      <c r="Q85" s="153">
        <v>0</v>
      </c>
      <c r="R85" s="155" t="s">
        <v>78</v>
      </c>
      <c r="S85" s="153">
        <v>0</v>
      </c>
      <c r="T85" s="153" t="s">
        <v>78</v>
      </c>
      <c r="U85" s="153">
        <v>0</v>
      </c>
      <c r="V85" s="159" t="s">
        <v>81</v>
      </c>
      <c r="W85" s="159" t="s">
        <v>78</v>
      </c>
      <c r="X85" s="159" t="s">
        <v>75</v>
      </c>
      <c r="Y85" s="159" t="s">
        <v>466</v>
      </c>
      <c r="Z85" s="159" t="s">
        <v>78</v>
      </c>
      <c r="AA85" s="159" t="s">
        <v>81</v>
      </c>
      <c r="AB85" s="159" t="s">
        <v>81</v>
      </c>
      <c r="AC85" s="159" t="s">
        <v>78</v>
      </c>
      <c r="AD85" s="159" t="s">
        <v>81</v>
      </c>
      <c r="AE85" s="159">
        <v>1</v>
      </c>
    </row>
    <row r="86" spans="1:31" s="149" customFormat="1" ht="25.05" customHeight="1" x14ac:dyDescent="0.3">
      <c r="A86" s="153" t="s">
        <v>951</v>
      </c>
      <c r="B86" s="154" t="s">
        <v>952</v>
      </c>
      <c r="C86" s="155" t="s">
        <v>78</v>
      </c>
      <c r="D86" s="155" t="s">
        <v>569</v>
      </c>
      <c r="E86" s="153" t="s">
        <v>228</v>
      </c>
      <c r="F86" s="153" t="s">
        <v>679</v>
      </c>
      <c r="G86" s="153" t="s">
        <v>75</v>
      </c>
      <c r="H86" s="153">
        <v>0</v>
      </c>
      <c r="I86" s="156">
        <v>0</v>
      </c>
      <c r="J86" s="157" t="s">
        <v>81</v>
      </c>
      <c r="K86" s="153" t="s">
        <v>78</v>
      </c>
      <c r="L86" s="153" t="s">
        <v>81</v>
      </c>
      <c r="M86" s="153" t="s">
        <v>78</v>
      </c>
      <c r="N86" s="153" t="s">
        <v>81</v>
      </c>
      <c r="O86" s="153">
        <v>0</v>
      </c>
      <c r="P86" s="158" t="s">
        <v>78</v>
      </c>
      <c r="Q86" s="153">
        <v>0</v>
      </c>
      <c r="R86" s="155" t="s">
        <v>78</v>
      </c>
      <c r="S86" s="153">
        <v>0</v>
      </c>
      <c r="T86" s="153" t="s">
        <v>78</v>
      </c>
      <c r="U86" s="153">
        <v>0</v>
      </c>
      <c r="V86" s="159" t="s">
        <v>81</v>
      </c>
      <c r="W86" s="159" t="s">
        <v>78</v>
      </c>
      <c r="X86" s="159" t="s">
        <v>81</v>
      </c>
      <c r="Y86" s="159" t="s">
        <v>78</v>
      </c>
      <c r="Z86" s="159" t="s">
        <v>78</v>
      </c>
      <c r="AA86" s="159" t="s">
        <v>81</v>
      </c>
      <c r="AB86" s="159" t="s">
        <v>81</v>
      </c>
      <c r="AC86" s="159" t="s">
        <v>78</v>
      </c>
      <c r="AD86" s="159" t="s">
        <v>81</v>
      </c>
      <c r="AE86" s="159">
        <v>1</v>
      </c>
    </row>
    <row r="87" spans="1:31" s="149" customFormat="1" ht="25.05" customHeight="1" x14ac:dyDescent="0.3">
      <c r="A87" s="153" t="s">
        <v>953</v>
      </c>
      <c r="B87" s="154" t="s">
        <v>954</v>
      </c>
      <c r="C87" s="155" t="s">
        <v>955</v>
      </c>
      <c r="D87" s="155" t="s">
        <v>1848</v>
      </c>
      <c r="E87" s="153" t="s">
        <v>228</v>
      </c>
      <c r="F87" s="153" t="s">
        <v>676</v>
      </c>
      <c r="G87" s="153" t="s">
        <v>81</v>
      </c>
      <c r="H87" s="153">
        <v>25000000</v>
      </c>
      <c r="I87" s="156">
        <v>33608250</v>
      </c>
      <c r="J87" s="157" t="s">
        <v>75</v>
      </c>
      <c r="K87" s="153" t="s">
        <v>956</v>
      </c>
      <c r="L87" s="153" t="s">
        <v>75</v>
      </c>
      <c r="M87" s="153" t="s">
        <v>957</v>
      </c>
      <c r="N87" s="153" t="s">
        <v>75</v>
      </c>
      <c r="O87" s="153">
        <v>999</v>
      </c>
      <c r="P87" s="158" t="s">
        <v>958</v>
      </c>
      <c r="Q87" s="153">
        <v>0</v>
      </c>
      <c r="R87" s="155" t="s">
        <v>78</v>
      </c>
      <c r="S87" s="153">
        <v>0</v>
      </c>
      <c r="T87" s="153" t="s">
        <v>78</v>
      </c>
      <c r="U87" s="153">
        <v>1</v>
      </c>
      <c r="V87" s="159" t="s">
        <v>75</v>
      </c>
      <c r="W87" s="159" t="s">
        <v>959</v>
      </c>
      <c r="X87" s="159" t="s">
        <v>75</v>
      </c>
      <c r="Y87" s="159" t="s">
        <v>228</v>
      </c>
      <c r="Z87" s="159" t="s">
        <v>960</v>
      </c>
      <c r="AA87" s="159" t="s">
        <v>75</v>
      </c>
      <c r="AB87" s="159" t="s">
        <v>75</v>
      </c>
      <c r="AC87" s="159" t="s">
        <v>78</v>
      </c>
      <c r="AD87" s="159" t="s">
        <v>75</v>
      </c>
      <c r="AE87" s="159">
        <v>1</v>
      </c>
    </row>
    <row r="88" spans="1:31" s="149" customFormat="1" ht="25.05" customHeight="1" x14ac:dyDescent="0.3">
      <c r="A88" s="153" t="s">
        <v>961</v>
      </c>
      <c r="B88" s="154" t="s">
        <v>962</v>
      </c>
      <c r="C88" s="155" t="s">
        <v>78</v>
      </c>
      <c r="D88" s="155" t="s">
        <v>551</v>
      </c>
      <c r="E88" s="153" t="s">
        <v>101</v>
      </c>
      <c r="F88" s="153" t="s">
        <v>676</v>
      </c>
      <c r="G88" s="153" t="s">
        <v>81</v>
      </c>
      <c r="H88" s="153">
        <v>760000</v>
      </c>
      <c r="I88" s="156">
        <v>1021690.8</v>
      </c>
      <c r="J88" s="157" t="s">
        <v>81</v>
      </c>
      <c r="K88" s="153" t="s">
        <v>78</v>
      </c>
      <c r="L88" s="153" t="s">
        <v>81</v>
      </c>
      <c r="M88" s="153" t="s">
        <v>78</v>
      </c>
      <c r="N88" s="153" t="s">
        <v>81</v>
      </c>
      <c r="O88" s="153">
        <v>0</v>
      </c>
      <c r="P88" s="158" t="s">
        <v>78</v>
      </c>
      <c r="Q88" s="153">
        <v>0</v>
      </c>
      <c r="R88" s="155" t="s">
        <v>78</v>
      </c>
      <c r="S88" s="153">
        <v>0</v>
      </c>
      <c r="T88" s="153" t="s">
        <v>78</v>
      </c>
      <c r="U88" s="153">
        <v>0</v>
      </c>
      <c r="V88" s="159" t="s">
        <v>81</v>
      </c>
      <c r="W88" s="159" t="s">
        <v>78</v>
      </c>
      <c r="X88" s="159" t="s">
        <v>81</v>
      </c>
      <c r="Y88" s="159" t="s">
        <v>78</v>
      </c>
      <c r="Z88" s="159" t="s">
        <v>78</v>
      </c>
      <c r="AA88" s="159" t="s">
        <v>81</v>
      </c>
      <c r="AB88" s="159" t="s">
        <v>81</v>
      </c>
      <c r="AC88" s="159" t="s">
        <v>78</v>
      </c>
      <c r="AD88" s="159" t="s">
        <v>81</v>
      </c>
      <c r="AE88" s="159">
        <v>1</v>
      </c>
    </row>
    <row r="89" spans="1:31" s="149" customFormat="1" ht="25.05" customHeight="1" x14ac:dyDescent="0.3">
      <c r="A89" s="153" t="s">
        <v>963</v>
      </c>
      <c r="B89" s="154" t="s">
        <v>964</v>
      </c>
      <c r="C89" s="155" t="s">
        <v>78</v>
      </c>
      <c r="D89" s="155" t="s">
        <v>543</v>
      </c>
      <c r="E89" s="153" t="s">
        <v>228</v>
      </c>
      <c r="F89" s="153" t="s">
        <v>689</v>
      </c>
      <c r="G89" s="153" t="s">
        <v>81</v>
      </c>
      <c r="H89" s="153">
        <v>723227.91</v>
      </c>
      <c r="I89" s="156">
        <v>972256.97625030007</v>
      </c>
      <c r="J89" s="157" t="s">
        <v>75</v>
      </c>
      <c r="K89" s="153" t="s">
        <v>965</v>
      </c>
      <c r="L89" s="153" t="s">
        <v>75</v>
      </c>
      <c r="M89" s="153" t="s">
        <v>966</v>
      </c>
      <c r="N89" s="153" t="s">
        <v>75</v>
      </c>
      <c r="O89" s="153">
        <v>999</v>
      </c>
      <c r="P89" s="158" t="s">
        <v>967</v>
      </c>
      <c r="Q89" s="153">
        <v>0</v>
      </c>
      <c r="R89" s="155" t="s">
        <v>78</v>
      </c>
      <c r="S89" s="153">
        <v>0</v>
      </c>
      <c r="T89" s="153" t="s">
        <v>78</v>
      </c>
      <c r="U89" s="153">
        <v>1</v>
      </c>
      <c r="V89" s="159" t="s">
        <v>75</v>
      </c>
      <c r="W89" s="159" t="s">
        <v>968</v>
      </c>
      <c r="X89" s="159" t="s">
        <v>75</v>
      </c>
      <c r="Y89" s="159" t="s">
        <v>795</v>
      </c>
      <c r="Z89" s="159" t="s">
        <v>796</v>
      </c>
      <c r="AA89" s="159" t="s">
        <v>81</v>
      </c>
      <c r="AB89" s="159" t="s">
        <v>81</v>
      </c>
      <c r="AC89" s="159" t="s">
        <v>78</v>
      </c>
      <c r="AD89" s="159" t="s">
        <v>75</v>
      </c>
      <c r="AE89" s="159">
        <v>1</v>
      </c>
    </row>
    <row r="90" spans="1:31" s="149" customFormat="1" ht="25.05" customHeight="1" x14ac:dyDescent="0.3">
      <c r="A90" s="153" t="s">
        <v>969</v>
      </c>
      <c r="B90" s="154" t="s">
        <v>970</v>
      </c>
      <c r="C90" s="155" t="s">
        <v>937</v>
      </c>
      <c r="D90" s="155" t="s">
        <v>1848</v>
      </c>
      <c r="E90" s="153" t="s">
        <v>228</v>
      </c>
      <c r="F90" s="153" t="s">
        <v>689</v>
      </c>
      <c r="G90" s="153" t="s">
        <v>81</v>
      </c>
      <c r="H90" s="153">
        <v>72322791.079999998</v>
      </c>
      <c r="I90" s="156">
        <v>97225697.7325764</v>
      </c>
      <c r="J90" s="157" t="s">
        <v>81</v>
      </c>
      <c r="K90" s="153" t="s">
        <v>78</v>
      </c>
      <c r="L90" s="153" t="s">
        <v>81</v>
      </c>
      <c r="M90" s="153" t="s">
        <v>78</v>
      </c>
      <c r="N90" s="153" t="s">
        <v>81</v>
      </c>
      <c r="O90" s="153">
        <v>0</v>
      </c>
      <c r="P90" s="158" t="s">
        <v>78</v>
      </c>
      <c r="Q90" s="153">
        <v>0</v>
      </c>
      <c r="R90" s="155" t="s">
        <v>78</v>
      </c>
      <c r="S90" s="153">
        <v>0</v>
      </c>
      <c r="T90" s="153" t="s">
        <v>78</v>
      </c>
      <c r="U90" s="153">
        <v>0</v>
      </c>
      <c r="V90" s="159" t="s">
        <v>81</v>
      </c>
      <c r="W90" s="159" t="s">
        <v>78</v>
      </c>
      <c r="X90" s="159" t="s">
        <v>81</v>
      </c>
      <c r="Y90" s="159" t="s">
        <v>78</v>
      </c>
      <c r="Z90" s="159" t="s">
        <v>78</v>
      </c>
      <c r="AA90" s="159" t="s">
        <v>81</v>
      </c>
      <c r="AB90" s="159" t="s">
        <v>81</v>
      </c>
      <c r="AC90" s="159" t="s">
        <v>78</v>
      </c>
      <c r="AD90" s="159" t="s">
        <v>81</v>
      </c>
      <c r="AE90" s="159">
        <v>1</v>
      </c>
    </row>
    <row r="91" spans="1:31" s="149" customFormat="1" ht="25.05" customHeight="1" x14ac:dyDescent="0.3">
      <c r="A91" s="153" t="s">
        <v>971</v>
      </c>
      <c r="B91" s="154" t="s">
        <v>972</v>
      </c>
      <c r="C91" s="155" t="s">
        <v>78</v>
      </c>
      <c r="D91" s="155" t="s">
        <v>552</v>
      </c>
      <c r="E91" s="153" t="s">
        <v>101</v>
      </c>
      <c r="F91" s="153" t="s">
        <v>679</v>
      </c>
      <c r="G91" s="153" t="s">
        <v>75</v>
      </c>
      <c r="H91" s="153">
        <v>0</v>
      </c>
      <c r="I91" s="156">
        <v>0</v>
      </c>
      <c r="J91" s="157" t="s">
        <v>81</v>
      </c>
      <c r="K91" s="153" t="s">
        <v>78</v>
      </c>
      <c r="L91" s="153" t="s">
        <v>81</v>
      </c>
      <c r="M91" s="153" t="s">
        <v>78</v>
      </c>
      <c r="N91" s="153" t="s">
        <v>81</v>
      </c>
      <c r="O91" s="153">
        <v>0</v>
      </c>
      <c r="P91" s="158" t="s">
        <v>78</v>
      </c>
      <c r="Q91" s="153">
        <v>0</v>
      </c>
      <c r="R91" s="155" t="s">
        <v>78</v>
      </c>
      <c r="S91" s="153">
        <v>0</v>
      </c>
      <c r="T91" s="153" t="s">
        <v>78</v>
      </c>
      <c r="U91" s="153">
        <v>0</v>
      </c>
      <c r="V91" s="159" t="s">
        <v>81</v>
      </c>
      <c r="W91" s="159" t="s">
        <v>78</v>
      </c>
      <c r="X91" s="159" t="s">
        <v>81</v>
      </c>
      <c r="Y91" s="159" t="s">
        <v>78</v>
      </c>
      <c r="Z91" s="159" t="s">
        <v>78</v>
      </c>
      <c r="AA91" s="159" t="s">
        <v>81</v>
      </c>
      <c r="AB91" s="159" t="s">
        <v>81</v>
      </c>
      <c r="AC91" s="159" t="s">
        <v>78</v>
      </c>
      <c r="AD91" s="159" t="s">
        <v>81</v>
      </c>
      <c r="AE91" s="159">
        <v>1</v>
      </c>
    </row>
    <row r="92" spans="1:31" s="149" customFormat="1" ht="25.05" customHeight="1" x14ac:dyDescent="0.3">
      <c r="A92" s="153" t="s">
        <v>973</v>
      </c>
      <c r="B92" s="154" t="s">
        <v>974</v>
      </c>
      <c r="C92" s="155" t="s">
        <v>78</v>
      </c>
      <c r="D92" s="155" t="s">
        <v>554</v>
      </c>
      <c r="E92" s="153" t="s">
        <v>466</v>
      </c>
      <c r="F92" s="153" t="s">
        <v>689</v>
      </c>
      <c r="G92" s="153" t="s">
        <v>81</v>
      </c>
      <c r="H92" s="153">
        <v>740000</v>
      </c>
      <c r="I92" s="156">
        <v>994804.20000000007</v>
      </c>
      <c r="J92" s="157" t="s">
        <v>81</v>
      </c>
      <c r="K92" s="153" t="s">
        <v>78</v>
      </c>
      <c r="L92" s="153" t="s">
        <v>81</v>
      </c>
      <c r="M92" s="153" t="s">
        <v>78</v>
      </c>
      <c r="N92" s="153" t="s">
        <v>81</v>
      </c>
      <c r="O92" s="153">
        <v>0</v>
      </c>
      <c r="P92" s="158" t="s">
        <v>78</v>
      </c>
      <c r="Q92" s="153">
        <v>0</v>
      </c>
      <c r="R92" s="155" t="s">
        <v>78</v>
      </c>
      <c r="S92" s="160">
        <v>0</v>
      </c>
      <c r="T92" s="153" t="s">
        <v>78</v>
      </c>
      <c r="U92" s="153">
        <v>0</v>
      </c>
      <c r="V92" s="159" t="s">
        <v>81</v>
      </c>
      <c r="W92" s="159" t="s">
        <v>78</v>
      </c>
      <c r="X92" s="159" t="s">
        <v>81</v>
      </c>
      <c r="Y92" s="159" t="s">
        <v>78</v>
      </c>
      <c r="Z92" s="159" t="s">
        <v>78</v>
      </c>
      <c r="AA92" s="159" t="s">
        <v>81</v>
      </c>
      <c r="AB92" s="159" t="s">
        <v>81</v>
      </c>
      <c r="AC92" s="159" t="s">
        <v>78</v>
      </c>
      <c r="AD92" s="159" t="s">
        <v>81</v>
      </c>
      <c r="AE92" s="159">
        <v>1</v>
      </c>
    </row>
    <row r="93" spans="1:31" s="149" customFormat="1" ht="25.05" customHeight="1" x14ac:dyDescent="0.3">
      <c r="A93" s="153" t="s">
        <v>975</v>
      </c>
      <c r="B93" s="154" t="s">
        <v>976</v>
      </c>
      <c r="C93" s="155" t="s">
        <v>78</v>
      </c>
      <c r="D93" s="155" t="s">
        <v>551</v>
      </c>
      <c r="E93" s="153" t="s">
        <v>101</v>
      </c>
      <c r="F93" s="153" t="s">
        <v>679</v>
      </c>
      <c r="G93" s="153" t="s">
        <v>75</v>
      </c>
      <c r="H93" s="153">
        <v>0</v>
      </c>
      <c r="I93" s="156">
        <v>0</v>
      </c>
      <c r="J93" s="157" t="s">
        <v>81</v>
      </c>
      <c r="K93" s="153" t="s">
        <v>78</v>
      </c>
      <c r="L93" s="153" t="s">
        <v>81</v>
      </c>
      <c r="M93" s="153" t="s">
        <v>78</v>
      </c>
      <c r="N93" s="153" t="s">
        <v>81</v>
      </c>
      <c r="O93" s="153">
        <v>0</v>
      </c>
      <c r="P93" s="158" t="s">
        <v>78</v>
      </c>
      <c r="Q93" s="153">
        <v>0</v>
      </c>
      <c r="R93" s="155" t="s">
        <v>78</v>
      </c>
      <c r="S93" s="153">
        <v>0</v>
      </c>
      <c r="T93" s="153" t="s">
        <v>78</v>
      </c>
      <c r="U93" s="153">
        <v>0</v>
      </c>
      <c r="V93" s="159" t="s">
        <v>81</v>
      </c>
      <c r="W93" s="159" t="s">
        <v>78</v>
      </c>
      <c r="X93" s="159" t="s">
        <v>81</v>
      </c>
      <c r="Y93" s="159" t="s">
        <v>78</v>
      </c>
      <c r="Z93" s="159" t="s">
        <v>78</v>
      </c>
      <c r="AA93" s="159" t="s">
        <v>81</v>
      </c>
      <c r="AB93" s="159" t="s">
        <v>81</v>
      </c>
      <c r="AC93" s="159" t="s">
        <v>78</v>
      </c>
      <c r="AD93" s="159" t="s">
        <v>81</v>
      </c>
      <c r="AE93" s="159">
        <v>1</v>
      </c>
    </row>
    <row r="94" spans="1:31" s="149" customFormat="1" ht="25.05" customHeight="1" x14ac:dyDescent="0.3">
      <c r="A94" s="153" t="s">
        <v>977</v>
      </c>
      <c r="B94" s="154" t="s">
        <v>978</v>
      </c>
      <c r="C94" s="155" t="s">
        <v>78</v>
      </c>
      <c r="D94" s="155" t="s">
        <v>78</v>
      </c>
      <c r="E94" s="153" t="s">
        <v>101</v>
      </c>
      <c r="F94" s="153" t="s">
        <v>689</v>
      </c>
      <c r="G94" s="153" t="s">
        <v>81</v>
      </c>
      <c r="H94" s="153">
        <v>151402746.5</v>
      </c>
      <c r="I94" s="156">
        <v>203535254.20234501</v>
      </c>
      <c r="J94" s="157" t="s">
        <v>81</v>
      </c>
      <c r="K94" s="153" t="s">
        <v>78</v>
      </c>
      <c r="L94" s="153" t="s">
        <v>81</v>
      </c>
      <c r="M94" s="153" t="s">
        <v>78</v>
      </c>
      <c r="N94" s="153" t="s">
        <v>81</v>
      </c>
      <c r="O94" s="153">
        <v>0</v>
      </c>
      <c r="P94" s="158" t="s">
        <v>78</v>
      </c>
      <c r="Q94" s="153">
        <v>0</v>
      </c>
      <c r="R94" s="155" t="s">
        <v>78</v>
      </c>
      <c r="S94" s="153">
        <v>0</v>
      </c>
      <c r="T94" s="153" t="s">
        <v>78</v>
      </c>
      <c r="U94" s="153">
        <v>0</v>
      </c>
      <c r="V94" s="159" t="s">
        <v>81</v>
      </c>
      <c r="W94" s="159" t="s">
        <v>78</v>
      </c>
      <c r="X94" s="159" t="s">
        <v>81</v>
      </c>
      <c r="Y94" s="159" t="s">
        <v>78</v>
      </c>
      <c r="Z94" s="159" t="s">
        <v>78</v>
      </c>
      <c r="AA94" s="159" t="s">
        <v>81</v>
      </c>
      <c r="AB94" s="159" t="s">
        <v>81</v>
      </c>
      <c r="AC94" s="159" t="s">
        <v>78</v>
      </c>
      <c r="AD94" s="159" t="s">
        <v>81</v>
      </c>
      <c r="AE94" s="159">
        <v>1</v>
      </c>
    </row>
    <row r="95" spans="1:31" s="149" customFormat="1" ht="25.05" customHeight="1" x14ac:dyDescent="0.3">
      <c r="A95" s="153" t="s">
        <v>979</v>
      </c>
      <c r="B95" s="154" t="s">
        <v>980</v>
      </c>
      <c r="C95" s="155" t="s">
        <v>78</v>
      </c>
      <c r="D95" s="155" t="s">
        <v>560</v>
      </c>
      <c r="E95" s="153" t="s">
        <v>115</v>
      </c>
      <c r="F95" s="153" t="s">
        <v>689</v>
      </c>
      <c r="G95" s="153" t="s">
        <v>81</v>
      </c>
      <c r="H95" s="153">
        <v>723227.91</v>
      </c>
      <c r="I95" s="156">
        <v>972256.97625030007</v>
      </c>
      <c r="J95" s="157" t="s">
        <v>75</v>
      </c>
      <c r="K95" s="153" t="s">
        <v>981</v>
      </c>
      <c r="L95" s="153" t="s">
        <v>75</v>
      </c>
      <c r="M95" s="153" t="s">
        <v>982</v>
      </c>
      <c r="N95" s="153" t="s">
        <v>75</v>
      </c>
      <c r="O95" s="153">
        <v>999</v>
      </c>
      <c r="P95" s="158" t="s">
        <v>983</v>
      </c>
      <c r="Q95" s="153">
        <v>0</v>
      </c>
      <c r="R95" s="155" t="s">
        <v>78</v>
      </c>
      <c r="S95" s="153">
        <v>0</v>
      </c>
      <c r="T95" s="153" t="s">
        <v>78</v>
      </c>
      <c r="U95" s="153">
        <v>1</v>
      </c>
      <c r="V95" s="159" t="s">
        <v>75</v>
      </c>
      <c r="W95" s="159" t="s">
        <v>984</v>
      </c>
      <c r="X95" s="159" t="s">
        <v>75</v>
      </c>
      <c r="Y95" s="159" t="s">
        <v>795</v>
      </c>
      <c r="Z95" s="159" t="s">
        <v>704</v>
      </c>
      <c r="AA95" s="159" t="s">
        <v>81</v>
      </c>
      <c r="AB95" s="159" t="s">
        <v>81</v>
      </c>
      <c r="AC95" s="159" t="s">
        <v>78</v>
      </c>
      <c r="AD95" s="159" t="s">
        <v>75</v>
      </c>
      <c r="AE95" s="159">
        <v>1</v>
      </c>
    </row>
    <row r="96" spans="1:31" s="149" customFormat="1" ht="25.05" customHeight="1" x14ac:dyDescent="0.3">
      <c r="A96" s="153" t="s">
        <v>985</v>
      </c>
      <c r="B96" s="154" t="s">
        <v>986</v>
      </c>
      <c r="C96" s="155" t="s">
        <v>78</v>
      </c>
      <c r="D96" s="155" t="s">
        <v>561</v>
      </c>
      <c r="E96" s="153" t="s">
        <v>101</v>
      </c>
      <c r="F96" s="153" t="s">
        <v>676</v>
      </c>
      <c r="G96" s="153" t="s">
        <v>81</v>
      </c>
      <c r="H96" s="153">
        <v>13379999.720000001</v>
      </c>
      <c r="I96" s="156">
        <v>17987135.023587599</v>
      </c>
      <c r="J96" s="157" t="s">
        <v>81</v>
      </c>
      <c r="K96" s="153" t="s">
        <v>78</v>
      </c>
      <c r="L96" s="153" t="s">
        <v>81</v>
      </c>
      <c r="M96" s="153" t="s">
        <v>78</v>
      </c>
      <c r="N96" s="153" t="s">
        <v>81</v>
      </c>
      <c r="O96" s="153">
        <v>0</v>
      </c>
      <c r="P96" s="158" t="s">
        <v>78</v>
      </c>
      <c r="Q96" s="153">
        <v>0</v>
      </c>
      <c r="R96" s="155" t="s">
        <v>78</v>
      </c>
      <c r="S96" s="153">
        <v>0</v>
      </c>
      <c r="T96" s="153" t="s">
        <v>78</v>
      </c>
      <c r="U96" s="153">
        <v>0</v>
      </c>
      <c r="V96" s="159" t="s">
        <v>81</v>
      </c>
      <c r="W96" s="159" t="s">
        <v>78</v>
      </c>
      <c r="X96" s="159" t="s">
        <v>81</v>
      </c>
      <c r="Y96" s="159" t="s">
        <v>78</v>
      </c>
      <c r="Z96" s="159" t="s">
        <v>78</v>
      </c>
      <c r="AA96" s="159" t="s">
        <v>81</v>
      </c>
      <c r="AB96" s="159" t="s">
        <v>81</v>
      </c>
      <c r="AC96" s="159" t="s">
        <v>78</v>
      </c>
      <c r="AD96" s="159" t="s">
        <v>81</v>
      </c>
      <c r="AE96" s="159">
        <v>1</v>
      </c>
    </row>
    <row r="97" spans="1:31" s="149" customFormat="1" ht="25.05" customHeight="1" x14ac:dyDescent="0.3">
      <c r="A97" s="153" t="s">
        <v>987</v>
      </c>
      <c r="B97" s="154" t="s">
        <v>988</v>
      </c>
      <c r="C97" s="155" t="s">
        <v>78</v>
      </c>
      <c r="D97" s="155" t="s">
        <v>536</v>
      </c>
      <c r="E97" s="153" t="s">
        <v>256</v>
      </c>
      <c r="F97" s="153" t="s">
        <v>676</v>
      </c>
      <c r="G97" s="153" t="s">
        <v>81</v>
      </c>
      <c r="H97" s="153">
        <v>4120000</v>
      </c>
      <c r="I97" s="156">
        <v>5538639.6000000006</v>
      </c>
      <c r="J97" s="157" t="s">
        <v>75</v>
      </c>
      <c r="K97" s="153" t="s">
        <v>989</v>
      </c>
      <c r="L97" s="153" t="s">
        <v>81</v>
      </c>
      <c r="M97" s="153" t="s">
        <v>78</v>
      </c>
      <c r="N97" s="153" t="s">
        <v>75</v>
      </c>
      <c r="O97" s="153">
        <v>999</v>
      </c>
      <c r="P97" s="158" t="s">
        <v>990</v>
      </c>
      <c r="Q97" s="153">
        <v>999</v>
      </c>
      <c r="R97" s="155" t="s">
        <v>991</v>
      </c>
      <c r="S97" s="153">
        <v>0</v>
      </c>
      <c r="T97" s="153" t="s">
        <v>78</v>
      </c>
      <c r="U97" s="153">
        <v>2</v>
      </c>
      <c r="V97" s="159" t="s">
        <v>75</v>
      </c>
      <c r="W97" s="159" t="s">
        <v>992</v>
      </c>
      <c r="X97" s="159" t="s">
        <v>75</v>
      </c>
      <c r="Y97" s="159" t="s">
        <v>466</v>
      </c>
      <c r="Z97" s="159" t="s">
        <v>796</v>
      </c>
      <c r="AA97" s="159" t="s">
        <v>81</v>
      </c>
      <c r="AB97" s="159" t="s">
        <v>81</v>
      </c>
      <c r="AC97" s="159" t="s">
        <v>78</v>
      </c>
      <c r="AD97" s="159" t="s">
        <v>81</v>
      </c>
      <c r="AE97" s="159">
        <v>1</v>
      </c>
    </row>
    <row r="98" spans="1:31" s="149" customFormat="1" ht="25.05" customHeight="1" x14ac:dyDescent="0.3">
      <c r="A98" s="153" t="s">
        <v>993</v>
      </c>
      <c r="B98" s="154" t="s">
        <v>994</v>
      </c>
      <c r="C98" s="155" t="s">
        <v>78</v>
      </c>
      <c r="D98" s="155" t="s">
        <v>539</v>
      </c>
      <c r="E98" s="153" t="s">
        <v>101</v>
      </c>
      <c r="F98" s="153" t="s">
        <v>676</v>
      </c>
      <c r="G98" s="153" t="s">
        <v>81</v>
      </c>
      <c r="H98" s="153">
        <v>3665000</v>
      </c>
      <c r="I98" s="156">
        <v>4926969.45</v>
      </c>
      <c r="J98" s="157" t="s">
        <v>81</v>
      </c>
      <c r="K98" s="153" t="s">
        <v>78</v>
      </c>
      <c r="L98" s="153" t="s">
        <v>81</v>
      </c>
      <c r="M98" s="153" t="s">
        <v>78</v>
      </c>
      <c r="N98" s="153" t="s">
        <v>81</v>
      </c>
      <c r="O98" s="153">
        <v>0</v>
      </c>
      <c r="P98" s="158" t="s">
        <v>78</v>
      </c>
      <c r="Q98" s="153">
        <v>0</v>
      </c>
      <c r="R98" s="155" t="s">
        <v>78</v>
      </c>
      <c r="S98" s="153">
        <v>0</v>
      </c>
      <c r="T98" s="153" t="s">
        <v>78</v>
      </c>
      <c r="U98" s="153">
        <v>0</v>
      </c>
      <c r="V98" s="159" t="s">
        <v>81</v>
      </c>
      <c r="W98" s="159" t="s">
        <v>78</v>
      </c>
      <c r="X98" s="159" t="s">
        <v>81</v>
      </c>
      <c r="Y98" s="159" t="s">
        <v>78</v>
      </c>
      <c r="Z98" s="159" t="s">
        <v>78</v>
      </c>
      <c r="AA98" s="159" t="s">
        <v>81</v>
      </c>
      <c r="AB98" s="159" t="s">
        <v>81</v>
      </c>
      <c r="AC98" s="159" t="s">
        <v>78</v>
      </c>
      <c r="AD98" s="159" t="s">
        <v>81</v>
      </c>
      <c r="AE98" s="159">
        <v>1</v>
      </c>
    </row>
    <row r="99" spans="1:31" s="149" customFormat="1" ht="25.05" customHeight="1" x14ac:dyDescent="0.3">
      <c r="A99" s="153" t="s">
        <v>995</v>
      </c>
      <c r="B99" s="154" t="s">
        <v>996</v>
      </c>
      <c r="C99" s="155" t="s">
        <v>78</v>
      </c>
      <c r="D99" s="155" t="s">
        <v>554</v>
      </c>
      <c r="E99" s="153" t="s">
        <v>228</v>
      </c>
      <c r="F99" s="153" t="s">
        <v>676</v>
      </c>
      <c r="G99" s="153" t="s">
        <v>81</v>
      </c>
      <c r="H99" s="153">
        <v>8000000</v>
      </c>
      <c r="I99" s="156">
        <v>10754640</v>
      </c>
      <c r="J99" s="157" t="s">
        <v>81</v>
      </c>
      <c r="K99" s="153" t="s">
        <v>78</v>
      </c>
      <c r="L99" s="153" t="s">
        <v>81</v>
      </c>
      <c r="M99" s="153" t="s">
        <v>78</v>
      </c>
      <c r="N99" s="153" t="s">
        <v>81</v>
      </c>
      <c r="O99" s="153">
        <v>0</v>
      </c>
      <c r="P99" s="158" t="s">
        <v>78</v>
      </c>
      <c r="Q99" s="153">
        <v>0</v>
      </c>
      <c r="R99" s="155" t="s">
        <v>78</v>
      </c>
      <c r="S99" s="153">
        <v>0</v>
      </c>
      <c r="T99" s="153" t="s">
        <v>78</v>
      </c>
      <c r="U99" s="153">
        <v>0</v>
      </c>
      <c r="V99" s="159" t="s">
        <v>81</v>
      </c>
      <c r="W99" s="159" t="s">
        <v>78</v>
      </c>
      <c r="X99" s="159" t="s">
        <v>81</v>
      </c>
      <c r="Y99" s="159" t="s">
        <v>78</v>
      </c>
      <c r="Z99" s="159" t="s">
        <v>78</v>
      </c>
      <c r="AA99" s="159" t="s">
        <v>81</v>
      </c>
      <c r="AB99" s="159" t="s">
        <v>81</v>
      </c>
      <c r="AC99" s="159" t="s">
        <v>78</v>
      </c>
      <c r="AD99" s="159" t="s">
        <v>81</v>
      </c>
      <c r="AE99" s="159">
        <v>1</v>
      </c>
    </row>
    <row r="100" spans="1:31" s="149" customFormat="1" ht="25.05" customHeight="1" x14ac:dyDescent="0.3">
      <c r="A100" s="153" t="s">
        <v>997</v>
      </c>
      <c r="B100" s="154" t="s">
        <v>998</v>
      </c>
      <c r="C100" s="155" t="s">
        <v>78</v>
      </c>
      <c r="D100" s="155" t="s">
        <v>558</v>
      </c>
      <c r="E100" s="153" t="s">
        <v>256</v>
      </c>
      <c r="F100" s="153" t="s">
        <v>676</v>
      </c>
      <c r="G100" s="153" t="s">
        <v>81</v>
      </c>
      <c r="H100" s="153">
        <v>740000</v>
      </c>
      <c r="I100" s="156">
        <v>994804.20000000007</v>
      </c>
      <c r="J100" s="157" t="s">
        <v>75</v>
      </c>
      <c r="K100" s="153" t="s">
        <v>999</v>
      </c>
      <c r="L100" s="153" t="s">
        <v>81</v>
      </c>
      <c r="M100" s="153" t="s">
        <v>78</v>
      </c>
      <c r="N100" s="153" t="s">
        <v>81</v>
      </c>
      <c r="O100" s="153">
        <v>0</v>
      </c>
      <c r="P100" s="158" t="s">
        <v>78</v>
      </c>
      <c r="Q100" s="153">
        <v>0</v>
      </c>
      <c r="R100" s="155" t="s">
        <v>78</v>
      </c>
      <c r="S100" s="153">
        <v>0</v>
      </c>
      <c r="T100" s="153" t="s">
        <v>78</v>
      </c>
      <c r="U100" s="153">
        <v>0</v>
      </c>
      <c r="V100" s="159" t="s">
        <v>81</v>
      </c>
      <c r="W100" s="159" t="s">
        <v>78</v>
      </c>
      <c r="X100" s="159" t="s">
        <v>75</v>
      </c>
      <c r="Y100" s="159" t="s">
        <v>466</v>
      </c>
      <c r="Z100" s="159" t="s">
        <v>704</v>
      </c>
      <c r="AA100" s="159" t="s">
        <v>81</v>
      </c>
      <c r="AB100" s="159" t="s">
        <v>81</v>
      </c>
      <c r="AC100" s="159" t="s">
        <v>78</v>
      </c>
      <c r="AD100" s="159" t="s">
        <v>81</v>
      </c>
      <c r="AE100" s="159">
        <v>1</v>
      </c>
    </row>
    <row r="101" spans="1:31" s="149" customFormat="1" ht="25.05" customHeight="1" x14ac:dyDescent="0.3">
      <c r="A101" s="153" t="s">
        <v>1000</v>
      </c>
      <c r="B101" s="154" t="s">
        <v>1001</v>
      </c>
      <c r="C101" s="155" t="s">
        <v>78</v>
      </c>
      <c r="D101" s="155" t="s">
        <v>561</v>
      </c>
      <c r="E101" s="153" t="s">
        <v>228</v>
      </c>
      <c r="F101" s="153" t="s">
        <v>689</v>
      </c>
      <c r="G101" s="153" t="s">
        <v>81</v>
      </c>
      <c r="H101" s="153">
        <v>723227.91</v>
      </c>
      <c r="I101" s="156">
        <v>972256.97625030007</v>
      </c>
      <c r="J101" s="157" t="s">
        <v>75</v>
      </c>
      <c r="K101" s="153" t="s">
        <v>1002</v>
      </c>
      <c r="L101" s="153" t="s">
        <v>75</v>
      </c>
      <c r="M101" s="153" t="s">
        <v>1003</v>
      </c>
      <c r="N101" s="153" t="s">
        <v>75</v>
      </c>
      <c r="O101" s="153">
        <v>999</v>
      </c>
      <c r="P101" s="158" t="s">
        <v>1004</v>
      </c>
      <c r="Q101" s="153">
        <v>0</v>
      </c>
      <c r="R101" s="155" t="s">
        <v>78</v>
      </c>
      <c r="S101" s="153">
        <v>0</v>
      </c>
      <c r="T101" s="153" t="s">
        <v>78</v>
      </c>
      <c r="U101" s="153">
        <v>1</v>
      </c>
      <c r="V101" s="159" t="s">
        <v>75</v>
      </c>
      <c r="W101" s="159" t="s">
        <v>1005</v>
      </c>
      <c r="X101" s="159" t="s">
        <v>75</v>
      </c>
      <c r="Y101" s="159" t="s">
        <v>795</v>
      </c>
      <c r="Z101" s="159" t="s">
        <v>704</v>
      </c>
      <c r="AA101" s="159" t="s">
        <v>81</v>
      </c>
      <c r="AB101" s="159" t="s">
        <v>81</v>
      </c>
      <c r="AC101" s="159" t="s">
        <v>78</v>
      </c>
      <c r="AD101" s="159" t="s">
        <v>75</v>
      </c>
      <c r="AE101" s="159">
        <v>1</v>
      </c>
    </row>
    <row r="102" spans="1:31" s="149" customFormat="1" ht="25.05" customHeight="1" x14ac:dyDescent="0.3">
      <c r="A102" s="153" t="s">
        <v>1006</v>
      </c>
      <c r="B102" s="154" t="s">
        <v>1007</v>
      </c>
      <c r="C102" s="155" t="s">
        <v>78</v>
      </c>
      <c r="D102" s="155" t="s">
        <v>561</v>
      </c>
      <c r="E102" s="153" t="s">
        <v>101</v>
      </c>
      <c r="F102" s="153" t="s">
        <v>676</v>
      </c>
      <c r="G102" s="153" t="s">
        <v>81</v>
      </c>
      <c r="H102" s="153">
        <v>10650000</v>
      </c>
      <c r="I102" s="156">
        <v>14317114.5</v>
      </c>
      <c r="J102" s="157" t="s">
        <v>81</v>
      </c>
      <c r="K102" s="153" t="s">
        <v>78</v>
      </c>
      <c r="L102" s="153" t="s">
        <v>81</v>
      </c>
      <c r="M102" s="153" t="s">
        <v>78</v>
      </c>
      <c r="N102" s="153" t="s">
        <v>81</v>
      </c>
      <c r="O102" s="153">
        <v>0</v>
      </c>
      <c r="P102" s="158" t="s">
        <v>78</v>
      </c>
      <c r="Q102" s="153">
        <v>0</v>
      </c>
      <c r="R102" s="155" t="s">
        <v>78</v>
      </c>
      <c r="S102" s="153">
        <v>0</v>
      </c>
      <c r="T102" s="153" t="s">
        <v>78</v>
      </c>
      <c r="U102" s="153">
        <v>0</v>
      </c>
      <c r="V102" s="159" t="s">
        <v>81</v>
      </c>
      <c r="W102" s="159" t="s">
        <v>78</v>
      </c>
      <c r="X102" s="159" t="s">
        <v>81</v>
      </c>
      <c r="Y102" s="159" t="s">
        <v>78</v>
      </c>
      <c r="Z102" s="159" t="s">
        <v>78</v>
      </c>
      <c r="AA102" s="159" t="s">
        <v>81</v>
      </c>
      <c r="AB102" s="159" t="s">
        <v>81</v>
      </c>
      <c r="AC102" s="159" t="s">
        <v>78</v>
      </c>
      <c r="AD102" s="159" t="s">
        <v>81</v>
      </c>
      <c r="AE102" s="159">
        <v>1</v>
      </c>
    </row>
    <row r="103" spans="1:31" s="149" customFormat="1" ht="25.05" customHeight="1" x14ac:dyDescent="0.3">
      <c r="A103" s="153" t="s">
        <v>1008</v>
      </c>
      <c r="B103" s="154" t="s">
        <v>1009</v>
      </c>
      <c r="C103" s="155" t="s">
        <v>78</v>
      </c>
      <c r="D103" s="155" t="s">
        <v>566</v>
      </c>
      <c r="E103" s="153" t="s">
        <v>101</v>
      </c>
      <c r="F103" s="153" t="s">
        <v>676</v>
      </c>
      <c r="G103" s="153" t="s">
        <v>81</v>
      </c>
      <c r="H103" s="153">
        <v>19580000</v>
      </c>
      <c r="I103" s="156">
        <v>26321981.400000002</v>
      </c>
      <c r="J103" s="157" t="s">
        <v>81</v>
      </c>
      <c r="K103" s="153" t="s">
        <v>78</v>
      </c>
      <c r="L103" s="153" t="s">
        <v>81</v>
      </c>
      <c r="M103" s="153" t="s">
        <v>78</v>
      </c>
      <c r="N103" s="153" t="s">
        <v>81</v>
      </c>
      <c r="O103" s="153">
        <v>0</v>
      </c>
      <c r="P103" s="158" t="s">
        <v>78</v>
      </c>
      <c r="Q103" s="153">
        <v>0</v>
      </c>
      <c r="R103" s="155" t="s">
        <v>78</v>
      </c>
      <c r="S103" s="153">
        <v>0</v>
      </c>
      <c r="T103" s="153" t="s">
        <v>78</v>
      </c>
      <c r="U103" s="153">
        <v>0</v>
      </c>
      <c r="V103" s="159" t="s">
        <v>81</v>
      </c>
      <c r="W103" s="159" t="s">
        <v>78</v>
      </c>
      <c r="X103" s="159" t="s">
        <v>81</v>
      </c>
      <c r="Y103" s="159" t="s">
        <v>78</v>
      </c>
      <c r="Z103" s="159" t="s">
        <v>78</v>
      </c>
      <c r="AA103" s="159" t="s">
        <v>81</v>
      </c>
      <c r="AB103" s="159" t="s">
        <v>81</v>
      </c>
      <c r="AC103" s="159" t="s">
        <v>78</v>
      </c>
      <c r="AD103" s="159" t="s">
        <v>81</v>
      </c>
      <c r="AE103" s="159">
        <v>1</v>
      </c>
    </row>
    <row r="104" spans="1:31" s="149" customFormat="1" ht="25.05" customHeight="1" x14ac:dyDescent="0.3">
      <c r="A104" s="153" t="s">
        <v>1010</v>
      </c>
      <c r="B104" s="154" t="s">
        <v>1011</v>
      </c>
      <c r="C104" s="155" t="s">
        <v>78</v>
      </c>
      <c r="D104" s="155" t="s">
        <v>538</v>
      </c>
      <c r="E104" s="153" t="s">
        <v>256</v>
      </c>
      <c r="F104" s="153" t="s">
        <v>676</v>
      </c>
      <c r="G104" s="153" t="s">
        <v>81</v>
      </c>
      <c r="H104" s="153">
        <v>35950000</v>
      </c>
      <c r="I104" s="156">
        <v>48328663.5</v>
      </c>
      <c r="J104" s="157" t="s">
        <v>75</v>
      </c>
      <c r="K104" s="153" t="s">
        <v>1012</v>
      </c>
      <c r="L104" s="153" t="s">
        <v>81</v>
      </c>
      <c r="M104" s="153" t="s">
        <v>78</v>
      </c>
      <c r="N104" s="153" t="s">
        <v>75</v>
      </c>
      <c r="O104" s="153">
        <v>999</v>
      </c>
      <c r="P104" s="158" t="s">
        <v>990</v>
      </c>
      <c r="Q104" s="153">
        <v>999</v>
      </c>
      <c r="R104" s="155" t="s">
        <v>1013</v>
      </c>
      <c r="S104" s="153">
        <v>0</v>
      </c>
      <c r="T104" s="153" t="s">
        <v>78</v>
      </c>
      <c r="U104" s="153">
        <v>2</v>
      </c>
      <c r="V104" s="159" t="s">
        <v>75</v>
      </c>
      <c r="W104" s="159" t="s">
        <v>1014</v>
      </c>
      <c r="X104" s="159" t="s">
        <v>75</v>
      </c>
      <c r="Y104" s="159" t="s">
        <v>256</v>
      </c>
      <c r="Z104" s="159" t="s">
        <v>704</v>
      </c>
      <c r="AA104" s="159" t="s">
        <v>81</v>
      </c>
      <c r="AB104" s="159" t="s">
        <v>81</v>
      </c>
      <c r="AC104" s="159" t="s">
        <v>78</v>
      </c>
      <c r="AD104" s="159" t="s">
        <v>81</v>
      </c>
      <c r="AE104" s="159">
        <v>1</v>
      </c>
    </row>
    <row r="105" spans="1:31" s="149" customFormat="1" ht="25.05" customHeight="1" x14ac:dyDescent="0.3">
      <c r="A105" s="153" t="s">
        <v>1015</v>
      </c>
      <c r="B105" s="154" t="s">
        <v>1016</v>
      </c>
      <c r="C105" s="155" t="s">
        <v>78</v>
      </c>
      <c r="D105" s="155" t="s">
        <v>539</v>
      </c>
      <c r="E105" s="153" t="s">
        <v>256</v>
      </c>
      <c r="F105" s="153" t="s">
        <v>679</v>
      </c>
      <c r="G105" s="153" t="s">
        <v>75</v>
      </c>
      <c r="H105" s="153">
        <v>0</v>
      </c>
      <c r="I105" s="156">
        <v>0</v>
      </c>
      <c r="J105" s="157" t="s">
        <v>75</v>
      </c>
      <c r="K105" s="153" t="s">
        <v>1017</v>
      </c>
      <c r="L105" s="153" t="s">
        <v>81</v>
      </c>
      <c r="M105" s="153" t="s">
        <v>78</v>
      </c>
      <c r="N105" s="153" t="s">
        <v>81</v>
      </c>
      <c r="O105" s="153">
        <v>0</v>
      </c>
      <c r="P105" s="158" t="s">
        <v>78</v>
      </c>
      <c r="Q105" s="153">
        <v>0</v>
      </c>
      <c r="R105" s="155" t="s">
        <v>78</v>
      </c>
      <c r="S105" s="153">
        <v>0</v>
      </c>
      <c r="T105" s="153" t="s">
        <v>78</v>
      </c>
      <c r="U105" s="153">
        <v>0</v>
      </c>
      <c r="V105" s="159" t="s">
        <v>75</v>
      </c>
      <c r="W105" s="159">
        <v>0</v>
      </c>
      <c r="X105" s="159" t="s">
        <v>75</v>
      </c>
      <c r="Y105" s="159" t="s">
        <v>466</v>
      </c>
      <c r="Z105" s="159" t="s">
        <v>78</v>
      </c>
      <c r="AA105" s="159" t="s">
        <v>81</v>
      </c>
      <c r="AB105" s="159" t="s">
        <v>81</v>
      </c>
      <c r="AC105" s="159" t="s">
        <v>78</v>
      </c>
      <c r="AD105" s="159" t="s">
        <v>81</v>
      </c>
      <c r="AE105" s="159">
        <v>1</v>
      </c>
    </row>
    <row r="106" spans="1:31" s="149" customFormat="1" ht="25.05" customHeight="1" x14ac:dyDescent="0.3">
      <c r="A106" s="153" t="s">
        <v>1018</v>
      </c>
      <c r="B106" s="154" t="s">
        <v>1019</v>
      </c>
      <c r="C106" s="155" t="s">
        <v>78</v>
      </c>
      <c r="D106" s="155" t="s">
        <v>544</v>
      </c>
      <c r="E106" s="153" t="s">
        <v>101</v>
      </c>
      <c r="F106" s="153" t="s">
        <v>676</v>
      </c>
      <c r="G106" s="153" t="s">
        <v>81</v>
      </c>
      <c r="H106" s="153">
        <v>6263000</v>
      </c>
      <c r="I106" s="156">
        <v>8419538.790000001</v>
      </c>
      <c r="J106" s="157" t="s">
        <v>81</v>
      </c>
      <c r="K106" s="153" t="s">
        <v>78</v>
      </c>
      <c r="L106" s="153" t="s">
        <v>81</v>
      </c>
      <c r="M106" s="153" t="s">
        <v>78</v>
      </c>
      <c r="N106" s="153" t="s">
        <v>81</v>
      </c>
      <c r="O106" s="153">
        <v>0</v>
      </c>
      <c r="P106" s="158" t="s">
        <v>78</v>
      </c>
      <c r="Q106" s="153">
        <v>0</v>
      </c>
      <c r="R106" s="155" t="s">
        <v>78</v>
      </c>
      <c r="S106" s="153">
        <v>0</v>
      </c>
      <c r="T106" s="153" t="s">
        <v>78</v>
      </c>
      <c r="U106" s="153">
        <v>0</v>
      </c>
      <c r="V106" s="159" t="s">
        <v>81</v>
      </c>
      <c r="W106" s="159" t="s">
        <v>78</v>
      </c>
      <c r="X106" s="159" t="s">
        <v>81</v>
      </c>
      <c r="Y106" s="159" t="s">
        <v>78</v>
      </c>
      <c r="Z106" s="159" t="s">
        <v>78</v>
      </c>
      <c r="AA106" s="159" t="s">
        <v>81</v>
      </c>
      <c r="AB106" s="159" t="s">
        <v>81</v>
      </c>
      <c r="AC106" s="159" t="s">
        <v>78</v>
      </c>
      <c r="AD106" s="159" t="s">
        <v>81</v>
      </c>
      <c r="AE106" s="159">
        <v>1</v>
      </c>
    </row>
    <row r="107" spans="1:31" s="149" customFormat="1" ht="25.05" customHeight="1" x14ac:dyDescent="0.3">
      <c r="A107" s="153" t="s">
        <v>1020</v>
      </c>
      <c r="B107" s="154" t="s">
        <v>1021</v>
      </c>
      <c r="C107" s="155" t="s">
        <v>78</v>
      </c>
      <c r="D107" s="155" t="s">
        <v>535</v>
      </c>
      <c r="E107" s="153" t="s">
        <v>228</v>
      </c>
      <c r="F107" s="153" t="s">
        <v>676</v>
      </c>
      <c r="G107" s="153" t="s">
        <v>81</v>
      </c>
      <c r="H107" s="153">
        <v>5310000</v>
      </c>
      <c r="I107" s="156">
        <v>7138392.2999999998</v>
      </c>
      <c r="J107" s="157" t="s">
        <v>75</v>
      </c>
      <c r="K107" s="153" t="s">
        <v>1022</v>
      </c>
      <c r="L107" s="153" t="s">
        <v>75</v>
      </c>
      <c r="M107" s="153" t="s">
        <v>1023</v>
      </c>
      <c r="N107" s="153" t="s">
        <v>75</v>
      </c>
      <c r="O107" s="153">
        <v>0</v>
      </c>
      <c r="P107" s="158" t="s">
        <v>78</v>
      </c>
      <c r="Q107" s="153">
        <v>999</v>
      </c>
      <c r="R107" s="155" t="s">
        <v>1024</v>
      </c>
      <c r="S107" s="160">
        <v>0</v>
      </c>
      <c r="T107" s="153" t="s">
        <v>78</v>
      </c>
      <c r="U107" s="153">
        <v>1</v>
      </c>
      <c r="V107" s="159" t="s">
        <v>75</v>
      </c>
      <c r="W107" s="159" t="s">
        <v>1025</v>
      </c>
      <c r="X107" s="159" t="s">
        <v>75</v>
      </c>
      <c r="Y107" s="159" t="s">
        <v>228</v>
      </c>
      <c r="Z107" s="159" t="s">
        <v>704</v>
      </c>
      <c r="AA107" s="159" t="s">
        <v>81</v>
      </c>
      <c r="AB107" s="159" t="s">
        <v>81</v>
      </c>
      <c r="AC107" s="159" t="s">
        <v>78</v>
      </c>
      <c r="AD107" s="159" t="s">
        <v>75</v>
      </c>
      <c r="AE107" s="159">
        <v>1</v>
      </c>
    </row>
    <row r="108" spans="1:31" s="149" customFormat="1" ht="25.05" customHeight="1" x14ac:dyDescent="0.3">
      <c r="A108" s="153" t="s">
        <v>1026</v>
      </c>
      <c r="B108" s="154" t="s">
        <v>1027</v>
      </c>
      <c r="C108" s="155" t="s">
        <v>78</v>
      </c>
      <c r="D108" s="155" t="s">
        <v>554</v>
      </c>
      <c r="E108" s="153" t="s">
        <v>101</v>
      </c>
      <c r="F108" s="153" t="s">
        <v>689</v>
      </c>
      <c r="G108" s="153" t="s">
        <v>81</v>
      </c>
      <c r="H108" s="153">
        <v>795789</v>
      </c>
      <c r="I108" s="156">
        <v>1069803.0263700001</v>
      </c>
      <c r="J108" s="157" t="s">
        <v>81</v>
      </c>
      <c r="K108" s="153" t="s">
        <v>78</v>
      </c>
      <c r="L108" s="153" t="s">
        <v>81</v>
      </c>
      <c r="M108" s="153" t="s">
        <v>78</v>
      </c>
      <c r="N108" s="153" t="s">
        <v>81</v>
      </c>
      <c r="O108" s="153">
        <v>0</v>
      </c>
      <c r="P108" s="158" t="s">
        <v>78</v>
      </c>
      <c r="Q108" s="153">
        <v>0</v>
      </c>
      <c r="R108" s="155" t="s">
        <v>78</v>
      </c>
      <c r="S108" s="160">
        <v>0</v>
      </c>
      <c r="T108" s="153" t="s">
        <v>78</v>
      </c>
      <c r="U108" s="153">
        <v>0</v>
      </c>
      <c r="V108" s="159" t="s">
        <v>81</v>
      </c>
      <c r="W108" s="159" t="s">
        <v>78</v>
      </c>
      <c r="X108" s="159" t="s">
        <v>81</v>
      </c>
      <c r="Y108" s="159" t="s">
        <v>78</v>
      </c>
      <c r="Z108" s="159" t="s">
        <v>78</v>
      </c>
      <c r="AA108" s="159" t="s">
        <v>81</v>
      </c>
      <c r="AB108" s="159" t="s">
        <v>81</v>
      </c>
      <c r="AC108" s="159" t="s">
        <v>78</v>
      </c>
      <c r="AD108" s="159" t="s">
        <v>81</v>
      </c>
      <c r="AE108" s="159">
        <v>1</v>
      </c>
    </row>
    <row r="109" spans="1:31" s="149" customFormat="1" ht="25.05" customHeight="1" x14ac:dyDescent="0.3">
      <c r="A109" s="153" t="s">
        <v>1028</v>
      </c>
      <c r="B109" s="154" t="s">
        <v>1029</v>
      </c>
      <c r="C109" s="155" t="s">
        <v>78</v>
      </c>
      <c r="D109" s="155" t="s">
        <v>570</v>
      </c>
      <c r="E109" s="153" t="s">
        <v>101</v>
      </c>
      <c r="F109" s="153" t="s">
        <v>676</v>
      </c>
      <c r="G109" s="153" t="s">
        <v>81</v>
      </c>
      <c r="H109" s="153">
        <v>3000000</v>
      </c>
      <c r="I109" s="156">
        <v>4032990</v>
      </c>
      <c r="J109" s="157" t="s">
        <v>81</v>
      </c>
      <c r="K109" s="153" t="s">
        <v>78</v>
      </c>
      <c r="L109" s="153" t="s">
        <v>81</v>
      </c>
      <c r="M109" s="153" t="s">
        <v>78</v>
      </c>
      <c r="N109" s="153" t="s">
        <v>81</v>
      </c>
      <c r="O109" s="153">
        <v>0</v>
      </c>
      <c r="P109" s="158" t="s">
        <v>78</v>
      </c>
      <c r="Q109" s="153">
        <v>0</v>
      </c>
      <c r="R109" s="155" t="s">
        <v>78</v>
      </c>
      <c r="S109" s="160">
        <v>0</v>
      </c>
      <c r="T109" s="153" t="s">
        <v>78</v>
      </c>
      <c r="U109" s="153">
        <v>0</v>
      </c>
      <c r="V109" s="159" t="s">
        <v>81</v>
      </c>
      <c r="W109" s="159" t="s">
        <v>78</v>
      </c>
      <c r="X109" s="159" t="s">
        <v>81</v>
      </c>
      <c r="Y109" s="159" t="s">
        <v>78</v>
      </c>
      <c r="Z109" s="159" t="s">
        <v>78</v>
      </c>
      <c r="AA109" s="159" t="s">
        <v>81</v>
      </c>
      <c r="AB109" s="159" t="s">
        <v>81</v>
      </c>
      <c r="AC109" s="159" t="s">
        <v>78</v>
      </c>
      <c r="AD109" s="159" t="s">
        <v>81</v>
      </c>
      <c r="AE109" s="159">
        <v>1</v>
      </c>
    </row>
    <row r="110" spans="1:31" s="149" customFormat="1" ht="25.05" customHeight="1" x14ac:dyDescent="0.3">
      <c r="A110" s="153" t="s">
        <v>1030</v>
      </c>
      <c r="B110" s="154" t="s">
        <v>1031</v>
      </c>
      <c r="C110" s="155" t="s">
        <v>1032</v>
      </c>
      <c r="D110" s="155" t="s">
        <v>1848</v>
      </c>
      <c r="E110" s="153" t="s">
        <v>228</v>
      </c>
      <c r="F110" s="153" t="s">
        <v>689</v>
      </c>
      <c r="G110" s="153" t="s">
        <v>81</v>
      </c>
      <c r="H110" s="153">
        <v>14464558.220000001</v>
      </c>
      <c r="I110" s="156">
        <v>19445139.551892601</v>
      </c>
      <c r="J110" s="157" t="s">
        <v>81</v>
      </c>
      <c r="K110" s="153" t="s">
        <v>78</v>
      </c>
      <c r="L110" s="153" t="s">
        <v>81</v>
      </c>
      <c r="M110" s="153" t="s">
        <v>78</v>
      </c>
      <c r="N110" s="153" t="s">
        <v>81</v>
      </c>
      <c r="O110" s="153">
        <v>0</v>
      </c>
      <c r="P110" s="158" t="s">
        <v>78</v>
      </c>
      <c r="Q110" s="153">
        <v>0</v>
      </c>
      <c r="R110" s="155" t="s">
        <v>78</v>
      </c>
      <c r="S110" s="153">
        <v>0</v>
      </c>
      <c r="T110" s="153" t="s">
        <v>78</v>
      </c>
      <c r="U110" s="153">
        <v>0</v>
      </c>
      <c r="V110" s="159" t="s">
        <v>81</v>
      </c>
      <c r="W110" s="159" t="s">
        <v>78</v>
      </c>
      <c r="X110" s="159" t="s">
        <v>81</v>
      </c>
      <c r="Y110" s="159" t="s">
        <v>78</v>
      </c>
      <c r="Z110" s="159" t="s">
        <v>78</v>
      </c>
      <c r="AA110" s="159" t="s">
        <v>81</v>
      </c>
      <c r="AB110" s="159" t="s">
        <v>81</v>
      </c>
      <c r="AC110" s="159" t="s">
        <v>78</v>
      </c>
      <c r="AD110" s="159" t="s">
        <v>81</v>
      </c>
      <c r="AE110" s="159">
        <v>1</v>
      </c>
    </row>
    <row r="111" spans="1:31" s="149" customFormat="1" ht="25.05" customHeight="1" x14ac:dyDescent="0.3">
      <c r="A111" s="153" t="s">
        <v>1033</v>
      </c>
      <c r="B111" s="154" t="s">
        <v>1034</v>
      </c>
      <c r="C111" s="155" t="s">
        <v>78</v>
      </c>
      <c r="D111" s="155" t="s">
        <v>566</v>
      </c>
      <c r="E111" s="153" t="s">
        <v>101</v>
      </c>
      <c r="F111" s="153" t="s">
        <v>689</v>
      </c>
      <c r="G111" s="153" t="s">
        <v>81</v>
      </c>
      <c r="H111" s="153">
        <v>723227.91</v>
      </c>
      <c r="I111" s="156">
        <v>972256.97625030007</v>
      </c>
      <c r="J111" s="157" t="s">
        <v>81</v>
      </c>
      <c r="K111" s="153" t="s">
        <v>78</v>
      </c>
      <c r="L111" s="153" t="s">
        <v>81</v>
      </c>
      <c r="M111" s="153" t="s">
        <v>78</v>
      </c>
      <c r="N111" s="153" t="s">
        <v>81</v>
      </c>
      <c r="O111" s="153">
        <v>0</v>
      </c>
      <c r="P111" s="158" t="s">
        <v>78</v>
      </c>
      <c r="Q111" s="153">
        <v>0</v>
      </c>
      <c r="R111" s="155" t="s">
        <v>78</v>
      </c>
      <c r="S111" s="153">
        <v>0</v>
      </c>
      <c r="T111" s="153" t="s">
        <v>78</v>
      </c>
      <c r="U111" s="153">
        <v>0</v>
      </c>
      <c r="V111" s="159" t="s">
        <v>81</v>
      </c>
      <c r="W111" s="159" t="s">
        <v>78</v>
      </c>
      <c r="X111" s="159" t="s">
        <v>81</v>
      </c>
      <c r="Y111" s="159" t="s">
        <v>78</v>
      </c>
      <c r="Z111" s="159" t="s">
        <v>78</v>
      </c>
      <c r="AA111" s="159" t="s">
        <v>81</v>
      </c>
      <c r="AB111" s="159" t="s">
        <v>81</v>
      </c>
      <c r="AC111" s="159" t="s">
        <v>78</v>
      </c>
      <c r="AD111" s="159" t="s">
        <v>81</v>
      </c>
      <c r="AE111" s="159">
        <v>1</v>
      </c>
    </row>
    <row r="112" spans="1:31" s="149" customFormat="1" ht="25.05" customHeight="1" x14ac:dyDescent="0.3">
      <c r="A112" s="153" t="s">
        <v>1035</v>
      </c>
      <c r="B112" s="154" t="s">
        <v>1036</v>
      </c>
      <c r="C112" s="155" t="s">
        <v>1037</v>
      </c>
      <c r="D112" s="155" t="s">
        <v>1848</v>
      </c>
      <c r="E112" s="153" t="s">
        <v>228</v>
      </c>
      <c r="F112" s="153" t="s">
        <v>689</v>
      </c>
      <c r="G112" s="153" t="s">
        <v>81</v>
      </c>
      <c r="H112" s="153">
        <v>77385386.459999993</v>
      </c>
      <c r="I112" s="156">
        <v>104031496.57977179</v>
      </c>
      <c r="J112" s="157" t="s">
        <v>81</v>
      </c>
      <c r="K112" s="153" t="s">
        <v>78</v>
      </c>
      <c r="L112" s="153" t="s">
        <v>81</v>
      </c>
      <c r="M112" s="153" t="s">
        <v>78</v>
      </c>
      <c r="N112" s="153" t="s">
        <v>81</v>
      </c>
      <c r="O112" s="153">
        <v>0</v>
      </c>
      <c r="P112" s="158" t="s">
        <v>78</v>
      </c>
      <c r="Q112" s="153">
        <v>0</v>
      </c>
      <c r="R112" s="155" t="s">
        <v>78</v>
      </c>
      <c r="S112" s="160">
        <v>0</v>
      </c>
      <c r="T112" s="153" t="s">
        <v>78</v>
      </c>
      <c r="U112" s="153">
        <v>0</v>
      </c>
      <c r="V112" s="159" t="s">
        <v>81</v>
      </c>
      <c r="W112" s="159" t="s">
        <v>78</v>
      </c>
      <c r="X112" s="159" t="s">
        <v>81</v>
      </c>
      <c r="Y112" s="159" t="s">
        <v>78</v>
      </c>
      <c r="Z112" s="159" t="s">
        <v>78</v>
      </c>
      <c r="AA112" s="159" t="s">
        <v>81</v>
      </c>
      <c r="AB112" s="159" t="s">
        <v>81</v>
      </c>
      <c r="AC112" s="159" t="s">
        <v>78</v>
      </c>
      <c r="AD112" s="159" t="s">
        <v>81</v>
      </c>
      <c r="AE112" s="159">
        <v>1</v>
      </c>
    </row>
    <row r="113" spans="1:31" s="149" customFormat="1" ht="25.05" customHeight="1" x14ac:dyDescent="0.3">
      <c r="A113" s="153" t="s">
        <v>1038</v>
      </c>
      <c r="B113" s="154" t="s">
        <v>1039</v>
      </c>
      <c r="C113" s="155" t="s">
        <v>78</v>
      </c>
      <c r="D113" s="155" t="s">
        <v>546</v>
      </c>
      <c r="E113" s="153" t="s">
        <v>101</v>
      </c>
      <c r="F113" s="153" t="s">
        <v>676</v>
      </c>
      <c r="G113" s="153" t="s">
        <v>81</v>
      </c>
      <c r="H113" s="153">
        <v>144645582.19999999</v>
      </c>
      <c r="I113" s="156">
        <v>194451395.51892599</v>
      </c>
      <c r="J113" s="157" t="s">
        <v>81</v>
      </c>
      <c r="K113" s="153" t="s">
        <v>78</v>
      </c>
      <c r="L113" s="153" t="s">
        <v>81</v>
      </c>
      <c r="M113" s="153" t="s">
        <v>78</v>
      </c>
      <c r="N113" s="153" t="s">
        <v>81</v>
      </c>
      <c r="O113" s="153">
        <v>0</v>
      </c>
      <c r="P113" s="158" t="s">
        <v>78</v>
      </c>
      <c r="Q113" s="153">
        <v>0</v>
      </c>
      <c r="R113" s="155" t="s">
        <v>78</v>
      </c>
      <c r="S113" s="153">
        <v>0</v>
      </c>
      <c r="T113" s="153" t="s">
        <v>78</v>
      </c>
      <c r="U113" s="153">
        <v>0</v>
      </c>
      <c r="V113" s="159" t="s">
        <v>81</v>
      </c>
      <c r="W113" s="159" t="s">
        <v>78</v>
      </c>
      <c r="X113" s="159" t="s">
        <v>81</v>
      </c>
      <c r="Y113" s="159" t="s">
        <v>78</v>
      </c>
      <c r="Z113" s="159" t="s">
        <v>78</v>
      </c>
      <c r="AA113" s="159" t="s">
        <v>81</v>
      </c>
      <c r="AB113" s="159" t="s">
        <v>81</v>
      </c>
      <c r="AC113" s="159" t="s">
        <v>78</v>
      </c>
      <c r="AD113" s="159" t="s">
        <v>81</v>
      </c>
      <c r="AE113" s="159">
        <v>1</v>
      </c>
    </row>
    <row r="114" spans="1:31" s="149" customFormat="1" ht="25.05" customHeight="1" x14ac:dyDescent="0.3">
      <c r="A114" s="153" t="s">
        <v>1040</v>
      </c>
      <c r="B114" s="154" t="s">
        <v>1041</v>
      </c>
      <c r="C114" s="155" t="s">
        <v>78</v>
      </c>
      <c r="D114" s="155" t="s">
        <v>546</v>
      </c>
      <c r="E114" s="153" t="s">
        <v>72</v>
      </c>
      <c r="F114" s="153" t="s">
        <v>689</v>
      </c>
      <c r="G114" s="153" t="s">
        <v>81</v>
      </c>
      <c r="H114" s="153">
        <v>97382638.189999998</v>
      </c>
      <c r="I114" s="156">
        <v>130914401.9979627</v>
      </c>
      <c r="J114" s="157" t="s">
        <v>81</v>
      </c>
      <c r="K114" s="153" t="s">
        <v>1042</v>
      </c>
      <c r="L114" s="153" t="s">
        <v>81</v>
      </c>
      <c r="M114" s="153" t="s">
        <v>78</v>
      </c>
      <c r="N114" s="153" t="s">
        <v>81</v>
      </c>
      <c r="O114" s="153">
        <v>0</v>
      </c>
      <c r="P114" s="158" t="s">
        <v>78</v>
      </c>
      <c r="Q114" s="153">
        <v>0</v>
      </c>
      <c r="R114" s="155" t="s">
        <v>78</v>
      </c>
      <c r="S114" s="153">
        <v>0</v>
      </c>
      <c r="T114" s="153" t="s">
        <v>78</v>
      </c>
      <c r="U114" s="153">
        <v>0</v>
      </c>
      <c r="V114" s="159" t="s">
        <v>81</v>
      </c>
      <c r="W114" s="159" t="s">
        <v>78</v>
      </c>
      <c r="X114" s="159" t="s">
        <v>81</v>
      </c>
      <c r="Y114" s="159" t="s">
        <v>78</v>
      </c>
      <c r="Z114" s="159" t="s">
        <v>78</v>
      </c>
      <c r="AA114" s="159" t="s">
        <v>81</v>
      </c>
      <c r="AB114" s="159" t="s">
        <v>81</v>
      </c>
      <c r="AC114" s="159" t="s">
        <v>78</v>
      </c>
      <c r="AD114" s="159" t="s">
        <v>81</v>
      </c>
      <c r="AE114" s="159">
        <v>1</v>
      </c>
    </row>
    <row r="115" spans="1:31" s="149" customFormat="1" ht="25.05" customHeight="1" x14ac:dyDescent="0.3">
      <c r="A115" s="153" t="s">
        <v>1043</v>
      </c>
      <c r="B115" s="154" t="s">
        <v>1044</v>
      </c>
      <c r="C115" s="155" t="s">
        <v>78</v>
      </c>
      <c r="D115" s="155" t="s">
        <v>546</v>
      </c>
      <c r="E115" s="153" t="s">
        <v>228</v>
      </c>
      <c r="F115" s="153" t="s">
        <v>689</v>
      </c>
      <c r="G115" s="153" t="s">
        <v>81</v>
      </c>
      <c r="H115" s="153">
        <v>63685280.140000001</v>
      </c>
      <c r="I115" s="156">
        <v>85614032.6506062</v>
      </c>
      <c r="J115" s="157" t="s">
        <v>81</v>
      </c>
      <c r="K115" s="153" t="s">
        <v>78</v>
      </c>
      <c r="L115" s="153" t="s">
        <v>81</v>
      </c>
      <c r="M115" s="153" t="s">
        <v>78</v>
      </c>
      <c r="N115" s="153" t="s">
        <v>81</v>
      </c>
      <c r="O115" s="153">
        <v>0</v>
      </c>
      <c r="P115" s="158" t="s">
        <v>78</v>
      </c>
      <c r="Q115" s="153">
        <v>0</v>
      </c>
      <c r="R115" s="155" t="s">
        <v>78</v>
      </c>
      <c r="S115" s="153">
        <v>0</v>
      </c>
      <c r="T115" s="153" t="s">
        <v>78</v>
      </c>
      <c r="U115" s="153">
        <v>0</v>
      </c>
      <c r="V115" s="159" t="s">
        <v>81</v>
      </c>
      <c r="W115" s="159" t="s">
        <v>78</v>
      </c>
      <c r="X115" s="159" t="s">
        <v>81</v>
      </c>
      <c r="Y115" s="159" t="s">
        <v>78</v>
      </c>
      <c r="Z115" s="159" t="s">
        <v>78</v>
      </c>
      <c r="AA115" s="159" t="s">
        <v>81</v>
      </c>
      <c r="AB115" s="159" t="s">
        <v>81</v>
      </c>
      <c r="AC115" s="159" t="s">
        <v>78</v>
      </c>
      <c r="AD115" s="159" t="s">
        <v>81</v>
      </c>
      <c r="AE115" s="159">
        <v>1</v>
      </c>
    </row>
    <row r="116" spans="1:31" s="149" customFormat="1" ht="25.05" customHeight="1" x14ac:dyDescent="0.3">
      <c r="A116" s="153" t="s">
        <v>1045</v>
      </c>
      <c r="B116" s="154" t="s">
        <v>1046</v>
      </c>
      <c r="C116" s="155" t="s">
        <v>78</v>
      </c>
      <c r="D116" s="155" t="s">
        <v>565</v>
      </c>
      <c r="E116" s="153" t="s">
        <v>466</v>
      </c>
      <c r="F116" s="153" t="s">
        <v>689</v>
      </c>
      <c r="G116" s="153" t="s">
        <v>81</v>
      </c>
      <c r="H116" s="153">
        <v>100065616.8</v>
      </c>
      <c r="I116" s="156">
        <v>134521210.63274398</v>
      </c>
      <c r="J116" s="157" t="s">
        <v>81</v>
      </c>
      <c r="K116" s="153" t="s">
        <v>78</v>
      </c>
      <c r="L116" s="153" t="s">
        <v>81</v>
      </c>
      <c r="M116" s="153" t="s">
        <v>78</v>
      </c>
      <c r="N116" s="153" t="s">
        <v>81</v>
      </c>
      <c r="O116" s="153">
        <v>0</v>
      </c>
      <c r="P116" s="158" t="s">
        <v>78</v>
      </c>
      <c r="Q116" s="153">
        <v>0</v>
      </c>
      <c r="R116" s="155" t="s">
        <v>78</v>
      </c>
      <c r="S116" s="153">
        <v>0</v>
      </c>
      <c r="T116" s="153" t="s">
        <v>78</v>
      </c>
      <c r="U116" s="153">
        <v>0</v>
      </c>
      <c r="V116" s="159" t="s">
        <v>81</v>
      </c>
      <c r="W116" s="159" t="s">
        <v>78</v>
      </c>
      <c r="X116" s="159" t="s">
        <v>81</v>
      </c>
      <c r="Y116" s="159" t="s">
        <v>78</v>
      </c>
      <c r="Z116" s="159" t="s">
        <v>78</v>
      </c>
      <c r="AA116" s="159" t="s">
        <v>81</v>
      </c>
      <c r="AB116" s="159" t="s">
        <v>81</v>
      </c>
      <c r="AC116" s="159" t="s">
        <v>78</v>
      </c>
      <c r="AD116" s="159" t="s">
        <v>81</v>
      </c>
      <c r="AE116" s="159">
        <v>1</v>
      </c>
    </row>
    <row r="117" spans="1:31" s="149" customFormat="1" ht="25.05" customHeight="1" x14ac:dyDescent="0.3">
      <c r="A117" s="153" t="s">
        <v>1047</v>
      </c>
      <c r="B117" s="154" t="s">
        <v>1048</v>
      </c>
      <c r="C117" s="155" t="s">
        <v>78</v>
      </c>
      <c r="D117" s="155" t="s">
        <v>565</v>
      </c>
      <c r="E117" s="153" t="s">
        <v>228</v>
      </c>
      <c r="F117" s="153" t="s">
        <v>689</v>
      </c>
      <c r="G117" s="153" t="s">
        <v>81</v>
      </c>
      <c r="H117" s="153">
        <v>23127460.629999999</v>
      </c>
      <c r="I117" s="156">
        <v>31090939.148727898</v>
      </c>
      <c r="J117" s="157" t="s">
        <v>81</v>
      </c>
      <c r="K117" s="153" t="s">
        <v>78</v>
      </c>
      <c r="L117" s="153" t="s">
        <v>81</v>
      </c>
      <c r="M117" s="153" t="s">
        <v>78</v>
      </c>
      <c r="N117" s="153" t="s">
        <v>81</v>
      </c>
      <c r="O117" s="153">
        <v>0</v>
      </c>
      <c r="P117" s="158" t="s">
        <v>78</v>
      </c>
      <c r="Q117" s="153">
        <v>0</v>
      </c>
      <c r="R117" s="155" t="s">
        <v>78</v>
      </c>
      <c r="S117" s="153">
        <v>0</v>
      </c>
      <c r="T117" s="153" t="s">
        <v>78</v>
      </c>
      <c r="U117" s="153">
        <v>0</v>
      </c>
      <c r="V117" s="159" t="s">
        <v>81</v>
      </c>
      <c r="W117" s="159" t="s">
        <v>78</v>
      </c>
      <c r="X117" s="159" t="s">
        <v>81</v>
      </c>
      <c r="Y117" s="159" t="s">
        <v>78</v>
      </c>
      <c r="Z117" s="159" t="s">
        <v>78</v>
      </c>
      <c r="AA117" s="159" t="s">
        <v>81</v>
      </c>
      <c r="AB117" s="159" t="s">
        <v>81</v>
      </c>
      <c r="AC117" s="159" t="s">
        <v>78</v>
      </c>
      <c r="AD117" s="159" t="s">
        <v>81</v>
      </c>
      <c r="AE117" s="159">
        <v>1</v>
      </c>
    </row>
    <row r="118" spans="1:31" s="149" customFormat="1" ht="25.05" customHeight="1" x14ac:dyDescent="0.3">
      <c r="A118" s="153" t="s">
        <v>1049</v>
      </c>
      <c r="B118" s="154" t="s">
        <v>1050</v>
      </c>
      <c r="C118" s="155" t="s">
        <v>78</v>
      </c>
      <c r="D118" s="155" t="s">
        <v>565</v>
      </c>
      <c r="E118" s="153" t="s">
        <v>256</v>
      </c>
      <c r="F118" s="153" t="s">
        <v>676</v>
      </c>
      <c r="G118" s="153" t="s">
        <v>81</v>
      </c>
      <c r="H118" s="153">
        <v>61515748.030000001</v>
      </c>
      <c r="I118" s="156">
        <v>82697465.549169898</v>
      </c>
      <c r="J118" s="157" t="s">
        <v>75</v>
      </c>
      <c r="K118" s="153" t="s">
        <v>1051</v>
      </c>
      <c r="L118" s="153" t="s">
        <v>81</v>
      </c>
      <c r="M118" s="153" t="s">
        <v>78</v>
      </c>
      <c r="N118" s="153" t="s">
        <v>75</v>
      </c>
      <c r="O118" s="153">
        <v>0</v>
      </c>
      <c r="P118" s="158" t="s">
        <v>78</v>
      </c>
      <c r="Q118" s="153">
        <v>999</v>
      </c>
      <c r="R118" s="155" t="s">
        <v>1052</v>
      </c>
      <c r="S118" s="153">
        <v>0</v>
      </c>
      <c r="T118" s="153" t="s">
        <v>78</v>
      </c>
      <c r="U118" s="153">
        <v>1</v>
      </c>
      <c r="V118" s="159" t="s">
        <v>81</v>
      </c>
      <c r="W118" s="159" t="s">
        <v>78</v>
      </c>
      <c r="X118" s="159" t="s">
        <v>75</v>
      </c>
      <c r="Y118" s="159" t="s">
        <v>256</v>
      </c>
      <c r="Z118" s="159" t="s">
        <v>78</v>
      </c>
      <c r="AA118" s="159" t="s">
        <v>81</v>
      </c>
      <c r="AB118" s="159" t="s">
        <v>81</v>
      </c>
      <c r="AC118" s="159" t="s">
        <v>78</v>
      </c>
      <c r="AD118" s="159" t="s">
        <v>81</v>
      </c>
      <c r="AE118" s="159">
        <v>1</v>
      </c>
    </row>
    <row r="119" spans="1:31" s="149" customFormat="1" ht="25.05" customHeight="1" x14ac:dyDescent="0.3">
      <c r="A119" s="153" t="s">
        <v>1053</v>
      </c>
      <c r="B119" s="154" t="s">
        <v>1054</v>
      </c>
      <c r="C119" s="155" t="s">
        <v>78</v>
      </c>
      <c r="D119" s="155" t="s">
        <v>528</v>
      </c>
      <c r="E119" s="153" t="s">
        <v>115</v>
      </c>
      <c r="F119" s="153" t="s">
        <v>689</v>
      </c>
      <c r="G119" s="153" t="s">
        <v>81</v>
      </c>
      <c r="H119" s="153">
        <v>4000000</v>
      </c>
      <c r="I119" s="156">
        <v>5377320</v>
      </c>
      <c r="J119" s="157" t="s">
        <v>75</v>
      </c>
      <c r="K119" s="153" t="s">
        <v>1055</v>
      </c>
      <c r="L119" s="153" t="s">
        <v>81</v>
      </c>
      <c r="M119" s="153" t="s">
        <v>78</v>
      </c>
      <c r="N119" s="153" t="s">
        <v>75</v>
      </c>
      <c r="O119" s="153">
        <v>0</v>
      </c>
      <c r="P119" s="158" t="s">
        <v>78</v>
      </c>
      <c r="Q119" s="153">
        <v>999</v>
      </c>
      <c r="R119" s="155" t="s">
        <v>1056</v>
      </c>
      <c r="S119" s="153">
        <v>0</v>
      </c>
      <c r="T119" s="153" t="s">
        <v>78</v>
      </c>
      <c r="U119" s="153">
        <v>2</v>
      </c>
      <c r="V119" s="159" t="s">
        <v>81</v>
      </c>
      <c r="W119" s="159" t="s">
        <v>78</v>
      </c>
      <c r="X119" s="159" t="s">
        <v>75</v>
      </c>
      <c r="Y119" s="159" t="s">
        <v>795</v>
      </c>
      <c r="Z119" s="159" t="s">
        <v>78</v>
      </c>
      <c r="AA119" s="159" t="s">
        <v>81</v>
      </c>
      <c r="AB119" s="159" t="s">
        <v>81</v>
      </c>
      <c r="AC119" s="159" t="s">
        <v>78</v>
      </c>
      <c r="AD119" s="159" t="s">
        <v>81</v>
      </c>
      <c r="AE119" s="159">
        <v>1</v>
      </c>
    </row>
    <row r="120" spans="1:31" s="149" customFormat="1" ht="25.05" customHeight="1" x14ac:dyDescent="0.3">
      <c r="A120" s="153" t="s">
        <v>1057</v>
      </c>
      <c r="B120" s="154" t="s">
        <v>1058</v>
      </c>
      <c r="C120" s="155" t="s">
        <v>78</v>
      </c>
      <c r="D120" s="155" t="s">
        <v>537</v>
      </c>
      <c r="E120" s="153" t="s">
        <v>228</v>
      </c>
      <c r="F120" s="153" t="s">
        <v>689</v>
      </c>
      <c r="G120" s="153" t="s">
        <v>81</v>
      </c>
      <c r="H120" s="153">
        <v>80824311.019999996</v>
      </c>
      <c r="I120" s="156">
        <v>108654546.0335166</v>
      </c>
      <c r="J120" s="157" t="s">
        <v>81</v>
      </c>
      <c r="K120" s="153" t="s">
        <v>1042</v>
      </c>
      <c r="L120" s="153" t="s">
        <v>81</v>
      </c>
      <c r="M120" s="153" t="s">
        <v>78</v>
      </c>
      <c r="N120" s="153" t="s">
        <v>81</v>
      </c>
      <c r="O120" s="153">
        <v>0</v>
      </c>
      <c r="P120" s="158" t="s">
        <v>78</v>
      </c>
      <c r="Q120" s="153">
        <v>0</v>
      </c>
      <c r="R120" s="155" t="s">
        <v>78</v>
      </c>
      <c r="S120" s="153">
        <v>0</v>
      </c>
      <c r="T120" s="153" t="s">
        <v>78</v>
      </c>
      <c r="U120" s="153">
        <v>0</v>
      </c>
      <c r="V120" s="159" t="s">
        <v>81</v>
      </c>
      <c r="W120" s="159" t="s">
        <v>78</v>
      </c>
      <c r="X120" s="159" t="s">
        <v>81</v>
      </c>
      <c r="Y120" s="159" t="s">
        <v>78</v>
      </c>
      <c r="Z120" s="159" t="s">
        <v>78</v>
      </c>
      <c r="AA120" s="159" t="s">
        <v>81</v>
      </c>
      <c r="AB120" s="159" t="s">
        <v>81</v>
      </c>
      <c r="AC120" s="159" t="s">
        <v>78</v>
      </c>
      <c r="AD120" s="159" t="s">
        <v>81</v>
      </c>
      <c r="AE120" s="159">
        <v>1</v>
      </c>
    </row>
    <row r="121" spans="1:31" s="149" customFormat="1" ht="25.05" customHeight="1" x14ac:dyDescent="0.3">
      <c r="A121" s="153" t="s">
        <v>1059</v>
      </c>
      <c r="B121" s="154" t="s">
        <v>1060</v>
      </c>
      <c r="C121" s="155" t="s">
        <v>78</v>
      </c>
      <c r="D121" s="155" t="s">
        <v>537</v>
      </c>
      <c r="E121" s="153" t="s">
        <v>228</v>
      </c>
      <c r="F121" s="153" t="s">
        <v>689</v>
      </c>
      <c r="G121" s="153" t="s">
        <v>81</v>
      </c>
      <c r="H121" s="153">
        <v>991095</v>
      </c>
      <c r="I121" s="156">
        <v>1332358.74135</v>
      </c>
      <c r="J121" s="157" t="s">
        <v>81</v>
      </c>
      <c r="K121" s="153" t="s">
        <v>78</v>
      </c>
      <c r="L121" s="153" t="s">
        <v>81</v>
      </c>
      <c r="M121" s="153" t="s">
        <v>78</v>
      </c>
      <c r="N121" s="153" t="s">
        <v>81</v>
      </c>
      <c r="O121" s="153">
        <v>0</v>
      </c>
      <c r="P121" s="158" t="s">
        <v>78</v>
      </c>
      <c r="Q121" s="153">
        <v>0</v>
      </c>
      <c r="R121" s="155" t="s">
        <v>78</v>
      </c>
      <c r="S121" s="153">
        <v>0</v>
      </c>
      <c r="T121" s="153" t="s">
        <v>78</v>
      </c>
      <c r="U121" s="153">
        <v>0</v>
      </c>
      <c r="V121" s="159" t="s">
        <v>81</v>
      </c>
      <c r="W121" s="159" t="s">
        <v>78</v>
      </c>
      <c r="X121" s="159" t="s">
        <v>81</v>
      </c>
      <c r="Y121" s="159" t="s">
        <v>78</v>
      </c>
      <c r="Z121" s="159" t="s">
        <v>78</v>
      </c>
      <c r="AA121" s="159" t="s">
        <v>81</v>
      </c>
      <c r="AB121" s="159" t="s">
        <v>81</v>
      </c>
      <c r="AC121" s="159" t="s">
        <v>78</v>
      </c>
      <c r="AD121" s="159" t="s">
        <v>81</v>
      </c>
      <c r="AE121" s="159">
        <v>1</v>
      </c>
    </row>
    <row r="122" spans="1:31" s="149" customFormat="1" ht="25.05" customHeight="1" x14ac:dyDescent="0.3">
      <c r="A122" s="153" t="s">
        <v>1061</v>
      </c>
      <c r="B122" s="154" t="s">
        <v>1062</v>
      </c>
      <c r="C122" s="155" t="s">
        <v>78</v>
      </c>
      <c r="D122" s="155" t="s">
        <v>537</v>
      </c>
      <c r="E122" s="153" t="s">
        <v>466</v>
      </c>
      <c r="F122" s="153" t="s">
        <v>689</v>
      </c>
      <c r="G122" s="153" t="s">
        <v>81</v>
      </c>
      <c r="H122" s="153">
        <v>69414370.079999998</v>
      </c>
      <c r="I122" s="156">
        <v>93315820.129646406</v>
      </c>
      <c r="J122" s="157" t="s">
        <v>75</v>
      </c>
      <c r="K122" s="153" t="s">
        <v>1063</v>
      </c>
      <c r="L122" s="153" t="s">
        <v>81</v>
      </c>
      <c r="M122" s="153" t="s">
        <v>78</v>
      </c>
      <c r="N122" s="153" t="s">
        <v>81</v>
      </c>
      <c r="O122" s="153">
        <v>0</v>
      </c>
      <c r="P122" s="158" t="s">
        <v>78</v>
      </c>
      <c r="Q122" s="153">
        <v>0</v>
      </c>
      <c r="R122" s="155" t="s">
        <v>78</v>
      </c>
      <c r="S122" s="153">
        <v>0</v>
      </c>
      <c r="T122" s="153" t="s">
        <v>78</v>
      </c>
      <c r="U122" s="153">
        <v>0</v>
      </c>
      <c r="V122" s="159" t="s">
        <v>81</v>
      </c>
      <c r="W122" s="159" t="s">
        <v>78</v>
      </c>
      <c r="X122" s="159" t="s">
        <v>75</v>
      </c>
      <c r="Y122" s="159" t="s">
        <v>72</v>
      </c>
      <c r="Z122" s="159" t="s">
        <v>1064</v>
      </c>
      <c r="AA122" s="159" t="s">
        <v>75</v>
      </c>
      <c r="AB122" s="159" t="s">
        <v>81</v>
      </c>
      <c r="AC122" s="159" t="s">
        <v>78</v>
      </c>
      <c r="AD122" s="159" t="s">
        <v>81</v>
      </c>
      <c r="AE122" s="159">
        <v>1</v>
      </c>
    </row>
    <row r="123" spans="1:31" s="149" customFormat="1" ht="25.05" customHeight="1" x14ac:dyDescent="0.3">
      <c r="A123" s="153" t="s">
        <v>1065</v>
      </c>
      <c r="B123" s="154" t="s">
        <v>1066</v>
      </c>
      <c r="C123" s="155" t="s">
        <v>78</v>
      </c>
      <c r="D123" s="155" t="s">
        <v>537</v>
      </c>
      <c r="E123" s="153" t="s">
        <v>256</v>
      </c>
      <c r="F123" s="153" t="s">
        <v>689</v>
      </c>
      <c r="G123" s="153" t="s">
        <v>81</v>
      </c>
      <c r="H123" s="153">
        <v>96292650.920000002</v>
      </c>
      <c r="I123" s="156">
        <v>129449099.41128361</v>
      </c>
      <c r="J123" s="157" t="s">
        <v>75</v>
      </c>
      <c r="K123" s="153" t="s">
        <v>1067</v>
      </c>
      <c r="L123" s="153" t="s">
        <v>81</v>
      </c>
      <c r="M123" s="153" t="s">
        <v>78</v>
      </c>
      <c r="N123" s="153" t="s">
        <v>75</v>
      </c>
      <c r="O123" s="153">
        <v>999</v>
      </c>
      <c r="P123" s="158" t="s">
        <v>1068</v>
      </c>
      <c r="Q123" s="153">
        <v>999</v>
      </c>
      <c r="R123" s="155" t="s">
        <v>1069</v>
      </c>
      <c r="S123" s="153">
        <v>0</v>
      </c>
      <c r="T123" s="153" t="s">
        <v>78</v>
      </c>
      <c r="U123" s="153">
        <v>2</v>
      </c>
      <c r="V123" s="159" t="s">
        <v>81</v>
      </c>
      <c r="W123" s="159" t="s">
        <v>78</v>
      </c>
      <c r="X123" s="159" t="s">
        <v>81</v>
      </c>
      <c r="Y123" s="159" t="s">
        <v>78</v>
      </c>
      <c r="Z123" s="159" t="s">
        <v>78</v>
      </c>
      <c r="AA123" s="159" t="s">
        <v>81</v>
      </c>
      <c r="AB123" s="159" t="s">
        <v>81</v>
      </c>
      <c r="AC123" s="159" t="s">
        <v>78</v>
      </c>
      <c r="AD123" s="159" t="s">
        <v>81</v>
      </c>
      <c r="AE123" s="159">
        <v>1</v>
      </c>
    </row>
    <row r="124" spans="1:31" s="149" customFormat="1" ht="25.05" customHeight="1" x14ac:dyDescent="0.3">
      <c r="A124" s="153" t="s">
        <v>1070</v>
      </c>
      <c r="B124" s="154" t="s">
        <v>1071</v>
      </c>
      <c r="C124" s="155" t="s">
        <v>78</v>
      </c>
      <c r="D124" s="155" t="s">
        <v>564</v>
      </c>
      <c r="E124" s="153" t="s">
        <v>101</v>
      </c>
      <c r="F124" s="153" t="s">
        <v>676</v>
      </c>
      <c r="G124" s="153" t="s">
        <v>81</v>
      </c>
      <c r="H124" s="153">
        <v>9530000</v>
      </c>
      <c r="I124" s="156">
        <v>12811464.9</v>
      </c>
      <c r="J124" s="157" t="s">
        <v>81</v>
      </c>
      <c r="K124" s="153" t="s">
        <v>78</v>
      </c>
      <c r="L124" s="153" t="s">
        <v>81</v>
      </c>
      <c r="M124" s="153" t="s">
        <v>78</v>
      </c>
      <c r="N124" s="153" t="s">
        <v>81</v>
      </c>
      <c r="O124" s="153">
        <v>0</v>
      </c>
      <c r="P124" s="158" t="s">
        <v>78</v>
      </c>
      <c r="Q124" s="153">
        <v>0</v>
      </c>
      <c r="R124" s="155" t="s">
        <v>78</v>
      </c>
      <c r="S124" s="153">
        <v>0</v>
      </c>
      <c r="T124" s="153" t="s">
        <v>78</v>
      </c>
      <c r="U124" s="153">
        <v>0</v>
      </c>
      <c r="V124" s="159" t="s">
        <v>81</v>
      </c>
      <c r="W124" s="159" t="s">
        <v>78</v>
      </c>
      <c r="X124" s="159" t="s">
        <v>81</v>
      </c>
      <c r="Y124" s="159" t="s">
        <v>78</v>
      </c>
      <c r="Z124" s="159" t="s">
        <v>78</v>
      </c>
      <c r="AA124" s="159" t="s">
        <v>81</v>
      </c>
      <c r="AB124" s="159" t="s">
        <v>81</v>
      </c>
      <c r="AC124" s="159" t="s">
        <v>78</v>
      </c>
      <c r="AD124" s="159" t="s">
        <v>81</v>
      </c>
      <c r="AE124" s="159">
        <v>1</v>
      </c>
    </row>
    <row r="125" spans="1:31" s="149" customFormat="1" ht="25.05" customHeight="1" x14ac:dyDescent="0.3">
      <c r="A125" s="153" t="s">
        <v>1072</v>
      </c>
      <c r="B125" s="154" t="s">
        <v>1073</v>
      </c>
      <c r="C125" s="155" t="s">
        <v>78</v>
      </c>
      <c r="D125" s="155" t="s">
        <v>547</v>
      </c>
      <c r="E125" s="153" t="s">
        <v>101</v>
      </c>
      <c r="F125" s="153" t="s">
        <v>676</v>
      </c>
      <c r="G125" s="153" t="s">
        <v>81</v>
      </c>
      <c r="H125" s="153">
        <v>10000000</v>
      </c>
      <c r="I125" s="156">
        <v>13443300</v>
      </c>
      <c r="J125" s="157" t="s">
        <v>75</v>
      </c>
      <c r="K125" s="153" t="s">
        <v>1074</v>
      </c>
      <c r="L125" s="153" t="s">
        <v>81</v>
      </c>
      <c r="M125" s="153" t="s">
        <v>78</v>
      </c>
      <c r="N125" s="153" t="s">
        <v>81</v>
      </c>
      <c r="O125" s="153">
        <v>0</v>
      </c>
      <c r="P125" s="158" t="s">
        <v>78</v>
      </c>
      <c r="Q125" s="153">
        <v>0</v>
      </c>
      <c r="R125" s="155" t="s">
        <v>78</v>
      </c>
      <c r="S125" s="153">
        <v>0</v>
      </c>
      <c r="T125" s="153" t="s">
        <v>78</v>
      </c>
      <c r="U125" s="153">
        <v>0</v>
      </c>
      <c r="V125" s="159" t="s">
        <v>81</v>
      </c>
      <c r="W125" s="159" t="s">
        <v>78</v>
      </c>
      <c r="X125" s="159" t="s">
        <v>75</v>
      </c>
      <c r="Y125" s="159" t="s">
        <v>256</v>
      </c>
      <c r="Z125" s="159" t="s">
        <v>78</v>
      </c>
      <c r="AA125" s="159" t="s">
        <v>81</v>
      </c>
      <c r="AB125" s="159" t="s">
        <v>81</v>
      </c>
      <c r="AC125" s="159" t="s">
        <v>78</v>
      </c>
      <c r="AD125" s="159" t="s">
        <v>81</v>
      </c>
      <c r="AE125" s="159">
        <v>1</v>
      </c>
    </row>
    <row r="126" spans="1:31" s="149" customFormat="1" ht="25.05" customHeight="1" x14ac:dyDescent="0.3">
      <c r="A126" s="153" t="s">
        <v>1075</v>
      </c>
      <c r="B126" s="154" t="s">
        <v>1076</v>
      </c>
      <c r="C126" s="155" t="s">
        <v>78</v>
      </c>
      <c r="D126" s="155" t="s">
        <v>548</v>
      </c>
      <c r="E126" s="153" t="s">
        <v>256</v>
      </c>
      <c r="F126" s="153" t="s">
        <v>676</v>
      </c>
      <c r="G126" s="153" t="s">
        <v>81</v>
      </c>
      <c r="H126" s="153">
        <v>30000000</v>
      </c>
      <c r="I126" s="156">
        <v>40329900</v>
      </c>
      <c r="J126" s="157" t="s">
        <v>75</v>
      </c>
      <c r="K126" s="153" t="s">
        <v>1077</v>
      </c>
      <c r="L126" s="153" t="s">
        <v>81</v>
      </c>
      <c r="M126" s="153" t="s">
        <v>78</v>
      </c>
      <c r="N126" s="153" t="s">
        <v>75</v>
      </c>
      <c r="O126" s="153">
        <v>999</v>
      </c>
      <c r="P126" s="158" t="s">
        <v>1078</v>
      </c>
      <c r="Q126" s="153">
        <v>999</v>
      </c>
      <c r="R126" s="155" t="s">
        <v>1079</v>
      </c>
      <c r="S126" s="160">
        <v>0</v>
      </c>
      <c r="T126" s="153" t="s">
        <v>78</v>
      </c>
      <c r="U126" s="153">
        <v>2</v>
      </c>
      <c r="V126" s="159" t="s">
        <v>81</v>
      </c>
      <c r="W126" s="159" t="s">
        <v>78</v>
      </c>
      <c r="X126" s="159" t="s">
        <v>75</v>
      </c>
      <c r="Y126" s="159" t="s">
        <v>256</v>
      </c>
      <c r="Z126" s="159" t="s">
        <v>78</v>
      </c>
      <c r="AA126" s="159" t="s">
        <v>81</v>
      </c>
      <c r="AB126" s="159" t="s">
        <v>81</v>
      </c>
      <c r="AC126" s="159" t="s">
        <v>78</v>
      </c>
      <c r="AD126" s="159" t="s">
        <v>81</v>
      </c>
      <c r="AE126" s="159">
        <v>1</v>
      </c>
    </row>
    <row r="127" spans="1:31" s="149" customFormat="1" ht="25.05" customHeight="1" x14ac:dyDescent="0.3">
      <c r="A127" s="153" t="s">
        <v>1080</v>
      </c>
      <c r="B127" s="154" t="s">
        <v>1081</v>
      </c>
      <c r="C127" s="155" t="s">
        <v>78</v>
      </c>
      <c r="D127" s="155" t="s">
        <v>548</v>
      </c>
      <c r="E127" s="153" t="s">
        <v>101</v>
      </c>
      <c r="F127" s="153" t="s">
        <v>676</v>
      </c>
      <c r="G127" s="153" t="s">
        <v>81</v>
      </c>
      <c r="H127" s="153">
        <v>1000000</v>
      </c>
      <c r="I127" s="156">
        <v>1344330</v>
      </c>
      <c r="J127" s="157" t="s">
        <v>81</v>
      </c>
      <c r="K127" s="153" t="s">
        <v>78</v>
      </c>
      <c r="L127" s="153" t="s">
        <v>81</v>
      </c>
      <c r="M127" s="153" t="s">
        <v>78</v>
      </c>
      <c r="N127" s="153" t="s">
        <v>81</v>
      </c>
      <c r="O127" s="153">
        <v>0</v>
      </c>
      <c r="P127" s="158" t="s">
        <v>78</v>
      </c>
      <c r="Q127" s="153">
        <v>0</v>
      </c>
      <c r="R127" s="155" t="s">
        <v>78</v>
      </c>
      <c r="S127" s="160">
        <v>0</v>
      </c>
      <c r="T127" s="153" t="s">
        <v>78</v>
      </c>
      <c r="U127" s="153">
        <v>0</v>
      </c>
      <c r="V127" s="159" t="s">
        <v>81</v>
      </c>
      <c r="W127" s="159" t="s">
        <v>78</v>
      </c>
      <c r="X127" s="159" t="s">
        <v>81</v>
      </c>
      <c r="Y127" s="159" t="s">
        <v>78</v>
      </c>
      <c r="Z127" s="159" t="s">
        <v>78</v>
      </c>
      <c r="AA127" s="159" t="s">
        <v>81</v>
      </c>
      <c r="AB127" s="159" t="s">
        <v>81</v>
      </c>
      <c r="AC127" s="159" t="s">
        <v>78</v>
      </c>
      <c r="AD127" s="159" t="s">
        <v>81</v>
      </c>
      <c r="AE127" s="159">
        <v>1</v>
      </c>
    </row>
    <row r="128" spans="1:31" s="149" customFormat="1" ht="25.05" customHeight="1" x14ac:dyDescent="0.3">
      <c r="A128" s="153" t="s">
        <v>1082</v>
      </c>
      <c r="B128" s="154" t="s">
        <v>1083</v>
      </c>
      <c r="C128" s="155" t="s">
        <v>78</v>
      </c>
      <c r="D128" s="155" t="s">
        <v>548</v>
      </c>
      <c r="E128" s="153" t="s">
        <v>256</v>
      </c>
      <c r="F128" s="153" t="s">
        <v>676</v>
      </c>
      <c r="G128" s="153" t="s">
        <v>75</v>
      </c>
      <c r="H128" s="153">
        <v>0</v>
      </c>
      <c r="I128" s="156">
        <v>0</v>
      </c>
      <c r="J128" s="157" t="s">
        <v>81</v>
      </c>
      <c r="K128" s="153" t="s">
        <v>78</v>
      </c>
      <c r="L128" s="153" t="s">
        <v>81</v>
      </c>
      <c r="M128" s="153" t="s">
        <v>78</v>
      </c>
      <c r="N128" s="153" t="s">
        <v>81</v>
      </c>
      <c r="O128" s="153">
        <v>0</v>
      </c>
      <c r="P128" s="158" t="s">
        <v>78</v>
      </c>
      <c r="Q128" s="153">
        <v>0</v>
      </c>
      <c r="R128" s="155" t="s">
        <v>78</v>
      </c>
      <c r="S128" s="160">
        <v>0</v>
      </c>
      <c r="T128" s="153" t="s">
        <v>78</v>
      </c>
      <c r="U128" s="153">
        <v>0</v>
      </c>
      <c r="V128" s="159" t="s">
        <v>75</v>
      </c>
      <c r="W128" s="159" t="s">
        <v>1084</v>
      </c>
      <c r="X128" s="159" t="s">
        <v>81</v>
      </c>
      <c r="Y128" s="159" t="s">
        <v>78</v>
      </c>
      <c r="Z128" s="159" t="s">
        <v>78</v>
      </c>
      <c r="AA128" s="159" t="s">
        <v>81</v>
      </c>
      <c r="AB128" s="159" t="s">
        <v>81</v>
      </c>
      <c r="AC128" s="159" t="s">
        <v>78</v>
      </c>
      <c r="AD128" s="159" t="s">
        <v>81</v>
      </c>
      <c r="AE128" s="159">
        <v>1</v>
      </c>
    </row>
    <row r="129" spans="1:31" s="149" customFormat="1" ht="25.05" customHeight="1" x14ac:dyDescent="0.3">
      <c r="A129" s="153" t="s">
        <v>1085</v>
      </c>
      <c r="B129" s="154" t="s">
        <v>1086</v>
      </c>
      <c r="C129" s="155" t="s">
        <v>1087</v>
      </c>
      <c r="D129" s="155" t="s">
        <v>1848</v>
      </c>
      <c r="E129" s="153" t="s">
        <v>256</v>
      </c>
      <c r="F129" s="153" t="s">
        <v>676</v>
      </c>
      <c r="G129" s="153" t="s">
        <v>75</v>
      </c>
      <c r="H129" s="153">
        <v>0</v>
      </c>
      <c r="I129" s="156">
        <v>0</v>
      </c>
      <c r="J129" s="157" t="s">
        <v>81</v>
      </c>
      <c r="K129" s="153" t="s">
        <v>78</v>
      </c>
      <c r="L129" s="153" t="s">
        <v>81</v>
      </c>
      <c r="M129" s="153" t="s">
        <v>78</v>
      </c>
      <c r="N129" s="153" t="s">
        <v>81</v>
      </c>
      <c r="O129" s="153">
        <v>0</v>
      </c>
      <c r="P129" s="158" t="s">
        <v>78</v>
      </c>
      <c r="Q129" s="153">
        <v>0</v>
      </c>
      <c r="R129" s="155" t="s">
        <v>78</v>
      </c>
      <c r="S129" s="153">
        <v>0</v>
      </c>
      <c r="T129" s="153" t="s">
        <v>78</v>
      </c>
      <c r="U129" s="153">
        <v>0</v>
      </c>
      <c r="V129" s="159" t="s">
        <v>81</v>
      </c>
      <c r="W129" s="159" t="s">
        <v>78</v>
      </c>
      <c r="X129" s="159" t="s">
        <v>81</v>
      </c>
      <c r="Y129" s="159" t="s">
        <v>78</v>
      </c>
      <c r="Z129" s="159" t="s">
        <v>78</v>
      </c>
      <c r="AA129" s="159" t="s">
        <v>81</v>
      </c>
      <c r="AB129" s="159" t="s">
        <v>81</v>
      </c>
      <c r="AC129" s="159" t="s">
        <v>78</v>
      </c>
      <c r="AD129" s="159" t="s">
        <v>81</v>
      </c>
      <c r="AE129" s="159">
        <v>1</v>
      </c>
    </row>
    <row r="130" spans="1:31" s="149" customFormat="1" ht="25.05" customHeight="1" x14ac:dyDescent="0.3">
      <c r="A130" s="153" t="s">
        <v>1088</v>
      </c>
      <c r="B130" s="154" t="s">
        <v>1089</v>
      </c>
      <c r="C130" s="155" t="s">
        <v>1090</v>
      </c>
      <c r="D130" s="155" t="s">
        <v>1848</v>
      </c>
      <c r="E130" s="153" t="s">
        <v>101</v>
      </c>
      <c r="F130" s="153" t="s">
        <v>676</v>
      </c>
      <c r="G130" s="153" t="s">
        <v>81</v>
      </c>
      <c r="H130" s="153">
        <v>479000</v>
      </c>
      <c r="I130" s="156">
        <v>643934.07000000007</v>
      </c>
      <c r="J130" s="157" t="s">
        <v>81</v>
      </c>
      <c r="K130" s="153" t="s">
        <v>78</v>
      </c>
      <c r="L130" s="153" t="s">
        <v>81</v>
      </c>
      <c r="M130" s="153" t="s">
        <v>78</v>
      </c>
      <c r="N130" s="153" t="s">
        <v>81</v>
      </c>
      <c r="O130" s="153">
        <v>0</v>
      </c>
      <c r="P130" s="158" t="s">
        <v>78</v>
      </c>
      <c r="Q130" s="153">
        <v>0</v>
      </c>
      <c r="R130" s="155" t="s">
        <v>78</v>
      </c>
      <c r="S130" s="153">
        <v>0</v>
      </c>
      <c r="T130" s="153" t="s">
        <v>78</v>
      </c>
      <c r="U130" s="153">
        <v>0</v>
      </c>
      <c r="V130" s="159" t="s">
        <v>81</v>
      </c>
      <c r="W130" s="159" t="s">
        <v>78</v>
      </c>
      <c r="X130" s="159" t="s">
        <v>81</v>
      </c>
      <c r="Y130" s="159" t="s">
        <v>78</v>
      </c>
      <c r="Z130" s="159" t="s">
        <v>78</v>
      </c>
      <c r="AA130" s="159" t="s">
        <v>81</v>
      </c>
      <c r="AB130" s="159" t="s">
        <v>81</v>
      </c>
      <c r="AC130" s="159" t="s">
        <v>78</v>
      </c>
      <c r="AD130" s="159" t="s">
        <v>81</v>
      </c>
      <c r="AE130" s="159">
        <v>1</v>
      </c>
    </row>
    <row r="131" spans="1:31" s="149" customFormat="1" ht="25.05" customHeight="1" x14ac:dyDescent="0.3">
      <c r="A131" s="153" t="s">
        <v>1091</v>
      </c>
      <c r="B131" s="154" t="s">
        <v>1092</v>
      </c>
      <c r="C131" s="155" t="s">
        <v>78</v>
      </c>
      <c r="D131" s="155" t="s">
        <v>542</v>
      </c>
      <c r="E131" s="153" t="s">
        <v>101</v>
      </c>
      <c r="F131" s="153" t="s">
        <v>676</v>
      </c>
      <c r="G131" s="153" t="s">
        <v>81</v>
      </c>
      <c r="H131" s="153">
        <v>1256450</v>
      </c>
      <c r="I131" s="156">
        <v>1689083.4284999999</v>
      </c>
      <c r="J131" s="157" t="s">
        <v>81</v>
      </c>
      <c r="K131" s="153" t="s">
        <v>78</v>
      </c>
      <c r="L131" s="153" t="s">
        <v>81</v>
      </c>
      <c r="M131" s="153" t="s">
        <v>78</v>
      </c>
      <c r="N131" s="153" t="s">
        <v>81</v>
      </c>
      <c r="O131" s="153">
        <v>0</v>
      </c>
      <c r="P131" s="158" t="s">
        <v>78</v>
      </c>
      <c r="Q131" s="153">
        <v>0</v>
      </c>
      <c r="R131" s="155" t="s">
        <v>78</v>
      </c>
      <c r="S131" s="160">
        <v>0</v>
      </c>
      <c r="T131" s="153" t="s">
        <v>78</v>
      </c>
      <c r="U131" s="153">
        <v>0</v>
      </c>
      <c r="V131" s="159" t="s">
        <v>81</v>
      </c>
      <c r="W131" s="159" t="s">
        <v>78</v>
      </c>
      <c r="X131" s="159" t="s">
        <v>81</v>
      </c>
      <c r="Y131" s="159" t="s">
        <v>78</v>
      </c>
      <c r="Z131" s="159" t="s">
        <v>78</v>
      </c>
      <c r="AA131" s="159" t="s">
        <v>81</v>
      </c>
      <c r="AB131" s="159" t="s">
        <v>81</v>
      </c>
      <c r="AC131" s="159" t="s">
        <v>78</v>
      </c>
      <c r="AD131" s="159" t="s">
        <v>81</v>
      </c>
      <c r="AE131" s="159">
        <v>1</v>
      </c>
    </row>
    <row r="132" spans="1:31" s="149" customFormat="1" ht="25.05" customHeight="1" x14ac:dyDescent="0.3">
      <c r="A132" s="153" t="s">
        <v>1093</v>
      </c>
      <c r="B132" s="154" t="s">
        <v>1094</v>
      </c>
      <c r="C132" s="155" t="s">
        <v>78</v>
      </c>
      <c r="D132" s="155" t="s">
        <v>538</v>
      </c>
      <c r="E132" s="153" t="s">
        <v>101</v>
      </c>
      <c r="F132" s="153" t="s">
        <v>676</v>
      </c>
      <c r="G132" s="153" t="s">
        <v>81</v>
      </c>
      <c r="H132" s="153">
        <v>35000000</v>
      </c>
      <c r="I132" s="156">
        <v>48500550</v>
      </c>
      <c r="J132" s="157" t="s">
        <v>81</v>
      </c>
      <c r="K132" s="153" t="s">
        <v>78</v>
      </c>
      <c r="L132" s="153" t="s">
        <v>81</v>
      </c>
      <c r="M132" s="153" t="s">
        <v>78</v>
      </c>
      <c r="N132" s="153" t="s">
        <v>81</v>
      </c>
      <c r="O132" s="153">
        <v>0</v>
      </c>
      <c r="P132" s="158" t="s">
        <v>78</v>
      </c>
      <c r="Q132" s="153">
        <v>0</v>
      </c>
      <c r="R132" s="155" t="s">
        <v>78</v>
      </c>
      <c r="S132" s="153">
        <v>0</v>
      </c>
      <c r="T132" s="153" t="s">
        <v>78</v>
      </c>
      <c r="U132" s="153">
        <v>0</v>
      </c>
      <c r="V132" s="159" t="s">
        <v>81</v>
      </c>
      <c r="W132" s="159" t="s">
        <v>78</v>
      </c>
      <c r="X132" s="159" t="s">
        <v>81</v>
      </c>
      <c r="Y132" s="159" t="s">
        <v>78</v>
      </c>
      <c r="Z132" s="159" t="s">
        <v>78</v>
      </c>
      <c r="AA132" s="159" t="s">
        <v>81</v>
      </c>
      <c r="AB132" s="159" t="s">
        <v>81</v>
      </c>
      <c r="AC132" s="159" t="s">
        <v>78</v>
      </c>
      <c r="AD132" s="159" t="s">
        <v>81</v>
      </c>
      <c r="AE132" s="159">
        <v>1</v>
      </c>
    </row>
    <row r="133" spans="1:31" s="149" customFormat="1" ht="25.05" customHeight="1" x14ac:dyDescent="0.3">
      <c r="A133" s="153" t="s">
        <v>1095</v>
      </c>
      <c r="B133" s="154" t="s">
        <v>1096</v>
      </c>
      <c r="C133" s="155" t="s">
        <v>78</v>
      </c>
      <c r="D133" s="155" t="s">
        <v>545</v>
      </c>
      <c r="E133" s="153" t="s">
        <v>101</v>
      </c>
      <c r="F133" s="153" t="s">
        <v>676</v>
      </c>
      <c r="G133" s="153" t="s">
        <v>81</v>
      </c>
      <c r="H133" s="153">
        <v>7220000</v>
      </c>
      <c r="I133" s="156">
        <v>10004970.6</v>
      </c>
      <c r="J133" s="157" t="s">
        <v>81</v>
      </c>
      <c r="K133" s="153" t="s">
        <v>78</v>
      </c>
      <c r="L133" s="153" t="s">
        <v>81</v>
      </c>
      <c r="M133" s="153" t="s">
        <v>78</v>
      </c>
      <c r="N133" s="153" t="s">
        <v>81</v>
      </c>
      <c r="O133" s="153">
        <v>0</v>
      </c>
      <c r="P133" s="158" t="s">
        <v>78</v>
      </c>
      <c r="Q133" s="153">
        <v>0</v>
      </c>
      <c r="R133" s="155" t="s">
        <v>78</v>
      </c>
      <c r="S133" s="153">
        <v>0</v>
      </c>
      <c r="T133" s="153" t="s">
        <v>78</v>
      </c>
      <c r="U133" s="153">
        <v>0</v>
      </c>
      <c r="V133" s="159" t="s">
        <v>81</v>
      </c>
      <c r="W133" s="159" t="s">
        <v>78</v>
      </c>
      <c r="X133" s="159" t="s">
        <v>81</v>
      </c>
      <c r="Y133" s="159" t="s">
        <v>78</v>
      </c>
      <c r="Z133" s="159" t="s">
        <v>78</v>
      </c>
      <c r="AA133" s="159" t="s">
        <v>81</v>
      </c>
      <c r="AB133" s="159" t="s">
        <v>81</v>
      </c>
      <c r="AC133" s="159" t="s">
        <v>78</v>
      </c>
      <c r="AD133" s="159" t="s">
        <v>81</v>
      </c>
      <c r="AE133" s="159">
        <v>1</v>
      </c>
    </row>
    <row r="134" spans="1:31" s="149" customFormat="1" ht="25.05" customHeight="1" x14ac:dyDescent="0.3">
      <c r="A134" s="153" t="s">
        <v>1097</v>
      </c>
      <c r="B134" s="154" t="s">
        <v>1098</v>
      </c>
      <c r="C134" s="155" t="s">
        <v>78</v>
      </c>
      <c r="D134" s="155" t="s">
        <v>560</v>
      </c>
      <c r="E134" s="153" t="s">
        <v>256</v>
      </c>
      <c r="F134" s="153" t="s">
        <v>676</v>
      </c>
      <c r="G134" s="153" t="s">
        <v>81</v>
      </c>
      <c r="H134" s="153">
        <v>7589000</v>
      </c>
      <c r="I134" s="156">
        <v>10516304.969999999</v>
      </c>
      <c r="J134" s="157" t="s">
        <v>81</v>
      </c>
      <c r="K134" s="153" t="s">
        <v>78</v>
      </c>
      <c r="L134" s="153" t="s">
        <v>81</v>
      </c>
      <c r="M134" s="153" t="s">
        <v>78</v>
      </c>
      <c r="N134" s="153" t="s">
        <v>81</v>
      </c>
      <c r="O134" s="153">
        <v>0</v>
      </c>
      <c r="P134" s="158" t="s">
        <v>78</v>
      </c>
      <c r="Q134" s="153">
        <v>0</v>
      </c>
      <c r="R134" s="155" t="s">
        <v>78</v>
      </c>
      <c r="S134" s="153">
        <v>0</v>
      </c>
      <c r="T134" s="153" t="s">
        <v>78</v>
      </c>
      <c r="U134" s="153">
        <v>0</v>
      </c>
      <c r="V134" s="159" t="s">
        <v>81</v>
      </c>
      <c r="W134" s="159" t="s">
        <v>78</v>
      </c>
      <c r="X134" s="159" t="s">
        <v>81</v>
      </c>
      <c r="Y134" s="159" t="s">
        <v>78</v>
      </c>
      <c r="Z134" s="159" t="s">
        <v>78</v>
      </c>
      <c r="AA134" s="159" t="s">
        <v>81</v>
      </c>
      <c r="AB134" s="159" t="s">
        <v>81</v>
      </c>
      <c r="AC134" s="159" t="s">
        <v>78</v>
      </c>
      <c r="AD134" s="159" t="s">
        <v>81</v>
      </c>
      <c r="AE134" s="159">
        <v>1</v>
      </c>
    </row>
    <row r="135" spans="1:31" s="149" customFormat="1" ht="25.05" customHeight="1" x14ac:dyDescent="0.3">
      <c r="A135" s="153" t="s">
        <v>1099</v>
      </c>
      <c r="B135" s="154" t="s">
        <v>1100</v>
      </c>
      <c r="C135" s="155" t="s">
        <v>1101</v>
      </c>
      <c r="D135" s="155" t="s">
        <v>1848</v>
      </c>
      <c r="E135" s="153" t="s">
        <v>228</v>
      </c>
      <c r="F135" s="153" t="s">
        <v>679</v>
      </c>
      <c r="G135" s="153" t="s">
        <v>75</v>
      </c>
      <c r="H135" s="153">
        <v>0</v>
      </c>
      <c r="I135" s="156">
        <v>0</v>
      </c>
      <c r="J135" s="157" t="s">
        <v>81</v>
      </c>
      <c r="K135" s="153" t="s">
        <v>78</v>
      </c>
      <c r="L135" s="153" t="s">
        <v>81</v>
      </c>
      <c r="M135" s="153" t="s">
        <v>78</v>
      </c>
      <c r="N135" s="153" t="s">
        <v>81</v>
      </c>
      <c r="O135" s="153">
        <v>0</v>
      </c>
      <c r="P135" s="158" t="s">
        <v>78</v>
      </c>
      <c r="Q135" s="153">
        <v>0</v>
      </c>
      <c r="R135" s="155" t="s">
        <v>78</v>
      </c>
      <c r="S135" s="153">
        <v>0</v>
      </c>
      <c r="T135" s="153" t="s">
        <v>78</v>
      </c>
      <c r="U135" s="153">
        <v>0</v>
      </c>
      <c r="V135" s="159" t="s">
        <v>81</v>
      </c>
      <c r="W135" s="159" t="s">
        <v>78</v>
      </c>
      <c r="X135" s="159" t="s">
        <v>81</v>
      </c>
      <c r="Y135" s="159" t="s">
        <v>78</v>
      </c>
      <c r="Z135" s="159" t="s">
        <v>78</v>
      </c>
      <c r="AA135" s="159" t="s">
        <v>81</v>
      </c>
      <c r="AB135" s="159" t="s">
        <v>81</v>
      </c>
      <c r="AC135" s="159" t="s">
        <v>78</v>
      </c>
      <c r="AD135" s="159" t="s">
        <v>81</v>
      </c>
      <c r="AE135" s="159">
        <v>1</v>
      </c>
    </row>
    <row r="136" spans="1:31" s="149" customFormat="1" ht="25.05" customHeight="1" x14ac:dyDescent="0.3">
      <c r="A136" s="153" t="s">
        <v>1102</v>
      </c>
      <c r="B136" s="154" t="s">
        <v>1103</v>
      </c>
      <c r="C136" s="155" t="s">
        <v>1101</v>
      </c>
      <c r="D136" s="155" t="s">
        <v>1848</v>
      </c>
      <c r="E136" s="153" t="s">
        <v>228</v>
      </c>
      <c r="F136" s="153" t="s">
        <v>679</v>
      </c>
      <c r="G136" s="153" t="s">
        <v>75</v>
      </c>
      <c r="H136" s="153">
        <v>0</v>
      </c>
      <c r="I136" s="156">
        <v>0</v>
      </c>
      <c r="J136" s="157" t="s">
        <v>81</v>
      </c>
      <c r="K136" s="153" t="s">
        <v>78</v>
      </c>
      <c r="L136" s="153" t="s">
        <v>81</v>
      </c>
      <c r="M136" s="153" t="s">
        <v>78</v>
      </c>
      <c r="N136" s="153" t="s">
        <v>81</v>
      </c>
      <c r="O136" s="153">
        <v>0</v>
      </c>
      <c r="P136" s="158" t="s">
        <v>78</v>
      </c>
      <c r="Q136" s="153">
        <v>0</v>
      </c>
      <c r="R136" s="155" t="s">
        <v>78</v>
      </c>
      <c r="S136" s="153">
        <v>0</v>
      </c>
      <c r="T136" s="153" t="s">
        <v>78</v>
      </c>
      <c r="U136" s="153">
        <v>0</v>
      </c>
      <c r="V136" s="159" t="s">
        <v>81</v>
      </c>
      <c r="W136" s="159" t="s">
        <v>78</v>
      </c>
      <c r="X136" s="159" t="s">
        <v>81</v>
      </c>
      <c r="Y136" s="159" t="s">
        <v>78</v>
      </c>
      <c r="Z136" s="159" t="s">
        <v>78</v>
      </c>
      <c r="AA136" s="159" t="s">
        <v>81</v>
      </c>
      <c r="AB136" s="159" t="s">
        <v>81</v>
      </c>
      <c r="AC136" s="159" t="s">
        <v>78</v>
      </c>
      <c r="AD136" s="159" t="s">
        <v>81</v>
      </c>
      <c r="AE136" s="159">
        <v>1</v>
      </c>
    </row>
    <row r="137" spans="1:31" s="149" customFormat="1" ht="25.05" customHeight="1" x14ac:dyDescent="0.3">
      <c r="A137" s="153" t="s">
        <v>1104</v>
      </c>
      <c r="B137" s="154" t="s">
        <v>1105</v>
      </c>
      <c r="C137" s="155" t="s">
        <v>78</v>
      </c>
      <c r="D137" s="155" t="s">
        <v>554</v>
      </c>
      <c r="E137" s="153" t="s">
        <v>115</v>
      </c>
      <c r="F137" s="153" t="s">
        <v>676</v>
      </c>
      <c r="G137" s="153" t="s">
        <v>81</v>
      </c>
      <c r="H137" s="153">
        <v>180252117.59999999</v>
      </c>
      <c r="I137" s="156">
        <v>249780766.92184797</v>
      </c>
      <c r="J137" s="157" t="s">
        <v>75</v>
      </c>
      <c r="K137" s="153" t="s">
        <v>1849</v>
      </c>
      <c r="L137" s="153" t="s">
        <v>75</v>
      </c>
      <c r="M137" s="153" t="s">
        <v>1850</v>
      </c>
      <c r="N137" s="153" t="s">
        <v>75</v>
      </c>
      <c r="O137" s="153">
        <v>999</v>
      </c>
      <c r="P137" s="158">
        <v>0</v>
      </c>
      <c r="Q137" s="153">
        <v>2</v>
      </c>
      <c r="R137" s="155" t="s">
        <v>1851</v>
      </c>
      <c r="S137" s="153">
        <v>3</v>
      </c>
      <c r="T137" s="153" t="s">
        <v>1852</v>
      </c>
      <c r="U137" s="153">
        <v>6</v>
      </c>
      <c r="V137" s="159" t="s">
        <v>75</v>
      </c>
      <c r="W137" s="159" t="s">
        <v>1853</v>
      </c>
      <c r="X137" s="159" t="s">
        <v>75</v>
      </c>
      <c r="Y137" s="159" t="s">
        <v>1854</v>
      </c>
      <c r="Z137" s="159" t="s">
        <v>934</v>
      </c>
      <c r="AA137" s="159" t="s">
        <v>75</v>
      </c>
      <c r="AB137" s="159" t="s">
        <v>75</v>
      </c>
      <c r="AC137" s="159" t="s">
        <v>78</v>
      </c>
      <c r="AD137" s="159" t="s">
        <v>75</v>
      </c>
      <c r="AE137" s="159">
        <v>1</v>
      </c>
    </row>
    <row r="138" spans="1:31" s="149" customFormat="1" ht="25.05" customHeight="1" x14ac:dyDescent="0.3">
      <c r="A138" s="153" t="s">
        <v>1109</v>
      </c>
      <c r="B138" s="154" t="s">
        <v>1110</v>
      </c>
      <c r="C138" s="155" t="s">
        <v>78</v>
      </c>
      <c r="D138" s="155" t="s">
        <v>554</v>
      </c>
      <c r="E138" s="153" t="s">
        <v>228</v>
      </c>
      <c r="F138" s="153" t="s">
        <v>679</v>
      </c>
      <c r="G138" s="153" t="s">
        <v>81</v>
      </c>
      <c r="H138" s="153">
        <v>180806977.69999999</v>
      </c>
      <c r="I138" s="156">
        <v>250549653.20822096</v>
      </c>
      <c r="J138" s="157" t="s">
        <v>81</v>
      </c>
      <c r="K138" s="153" t="s">
        <v>78</v>
      </c>
      <c r="L138" s="153" t="s">
        <v>81</v>
      </c>
      <c r="M138" s="153" t="s">
        <v>78</v>
      </c>
      <c r="N138" s="153" t="s">
        <v>81</v>
      </c>
      <c r="O138" s="153">
        <v>0</v>
      </c>
      <c r="P138" s="158" t="s">
        <v>78</v>
      </c>
      <c r="Q138" s="153">
        <v>0</v>
      </c>
      <c r="R138" s="155" t="s">
        <v>78</v>
      </c>
      <c r="S138" s="153">
        <v>999</v>
      </c>
      <c r="T138" s="153" t="s">
        <v>78</v>
      </c>
      <c r="U138" s="153">
        <v>0</v>
      </c>
      <c r="V138" s="159" t="s">
        <v>81</v>
      </c>
      <c r="W138" s="159" t="s">
        <v>78</v>
      </c>
      <c r="X138" s="159" t="s">
        <v>81</v>
      </c>
      <c r="Y138" s="159" t="s">
        <v>78</v>
      </c>
      <c r="Z138" s="159" t="s">
        <v>78</v>
      </c>
      <c r="AA138" s="159" t="s">
        <v>81</v>
      </c>
      <c r="AB138" s="159" t="s">
        <v>81</v>
      </c>
      <c r="AC138" s="159" t="s">
        <v>78</v>
      </c>
      <c r="AD138" s="159" t="s">
        <v>81</v>
      </c>
      <c r="AE138" s="159">
        <v>1</v>
      </c>
    </row>
    <row r="139" spans="1:31" s="149" customFormat="1" ht="25.05" customHeight="1" x14ac:dyDescent="0.3">
      <c r="A139" s="153" t="s">
        <v>1111</v>
      </c>
      <c r="B139" s="154" t="s">
        <v>1112</v>
      </c>
      <c r="C139" s="155" t="s">
        <v>78</v>
      </c>
      <c r="D139" s="155" t="s">
        <v>534</v>
      </c>
      <c r="E139" s="153" t="s">
        <v>101</v>
      </c>
      <c r="F139" s="153" t="s">
        <v>689</v>
      </c>
      <c r="G139" s="153" t="s">
        <v>81</v>
      </c>
      <c r="H139" s="153">
        <v>361613955.39999998</v>
      </c>
      <c r="I139" s="156">
        <v>501099306.41644192</v>
      </c>
      <c r="J139" s="157" t="s">
        <v>81</v>
      </c>
      <c r="K139" s="153" t="s">
        <v>78</v>
      </c>
      <c r="L139" s="153" t="s">
        <v>81</v>
      </c>
      <c r="M139" s="153" t="s">
        <v>78</v>
      </c>
      <c r="N139" s="153" t="s">
        <v>81</v>
      </c>
      <c r="O139" s="153">
        <v>0</v>
      </c>
      <c r="P139" s="158" t="s">
        <v>78</v>
      </c>
      <c r="Q139" s="153">
        <v>0</v>
      </c>
      <c r="R139" s="155" t="s">
        <v>78</v>
      </c>
      <c r="S139" s="153">
        <v>999</v>
      </c>
      <c r="T139" s="153" t="s">
        <v>78</v>
      </c>
      <c r="U139" s="153">
        <v>0</v>
      </c>
      <c r="V139" s="159" t="s">
        <v>81</v>
      </c>
      <c r="W139" s="159" t="s">
        <v>78</v>
      </c>
      <c r="X139" s="159" t="s">
        <v>81</v>
      </c>
      <c r="Y139" s="159" t="s">
        <v>78</v>
      </c>
      <c r="Z139" s="159" t="s">
        <v>78</v>
      </c>
      <c r="AA139" s="159" t="s">
        <v>81</v>
      </c>
      <c r="AB139" s="159" t="s">
        <v>81</v>
      </c>
      <c r="AC139" s="159" t="s">
        <v>78</v>
      </c>
      <c r="AD139" s="159" t="s">
        <v>81</v>
      </c>
      <c r="AE139" s="159">
        <v>1</v>
      </c>
    </row>
    <row r="140" spans="1:31" s="149" customFormat="1" ht="25.05" customHeight="1" x14ac:dyDescent="0.3">
      <c r="A140" s="153" t="s">
        <v>1113</v>
      </c>
      <c r="B140" s="154" t="s">
        <v>1114</v>
      </c>
      <c r="C140" s="155" t="s">
        <v>78</v>
      </c>
      <c r="D140" s="155" t="s">
        <v>566</v>
      </c>
      <c r="E140" s="153" t="s">
        <v>228</v>
      </c>
      <c r="F140" s="153" t="s">
        <v>676</v>
      </c>
      <c r="G140" s="153" t="s">
        <v>81</v>
      </c>
      <c r="H140" s="153">
        <v>67270000</v>
      </c>
      <c r="I140" s="156">
        <v>93218057.099999994</v>
      </c>
      <c r="J140" s="157" t="s">
        <v>81</v>
      </c>
      <c r="K140" s="153" t="s">
        <v>78</v>
      </c>
      <c r="L140" s="153" t="s">
        <v>81</v>
      </c>
      <c r="M140" s="153" t="s">
        <v>78</v>
      </c>
      <c r="N140" s="153" t="s">
        <v>81</v>
      </c>
      <c r="O140" s="153">
        <v>0</v>
      </c>
      <c r="P140" s="158" t="s">
        <v>78</v>
      </c>
      <c r="Q140" s="153">
        <v>0</v>
      </c>
      <c r="R140" s="155" t="s">
        <v>78</v>
      </c>
      <c r="S140" s="153">
        <v>0</v>
      </c>
      <c r="T140" s="153" t="s">
        <v>78</v>
      </c>
      <c r="U140" s="153">
        <v>0</v>
      </c>
      <c r="V140" s="159" t="s">
        <v>81</v>
      </c>
      <c r="W140" s="159" t="s">
        <v>78</v>
      </c>
      <c r="X140" s="159" t="s">
        <v>81</v>
      </c>
      <c r="Y140" s="159" t="s">
        <v>78</v>
      </c>
      <c r="Z140" s="159" t="s">
        <v>78</v>
      </c>
      <c r="AA140" s="159" t="s">
        <v>81</v>
      </c>
      <c r="AB140" s="159" t="s">
        <v>81</v>
      </c>
      <c r="AC140" s="159" t="s">
        <v>78</v>
      </c>
      <c r="AD140" s="159" t="s">
        <v>81</v>
      </c>
      <c r="AE140" s="159">
        <v>1</v>
      </c>
    </row>
    <row r="141" spans="1:31" s="149" customFormat="1" ht="25.05" customHeight="1" x14ac:dyDescent="0.3">
      <c r="A141" s="153" t="s">
        <v>1115</v>
      </c>
      <c r="B141" s="154" t="s">
        <v>1116</v>
      </c>
      <c r="C141" s="155" t="s">
        <v>78</v>
      </c>
      <c r="D141" s="155" t="s">
        <v>551</v>
      </c>
      <c r="E141" s="153" t="s">
        <v>466</v>
      </c>
      <c r="F141" s="153" t="s">
        <v>676</v>
      </c>
      <c r="G141" s="153" t="s">
        <v>81</v>
      </c>
      <c r="H141" s="153">
        <v>8770071</v>
      </c>
      <c r="I141" s="156">
        <v>12152950.48683</v>
      </c>
      <c r="J141" s="157" t="s">
        <v>81</v>
      </c>
      <c r="K141" s="153" t="s">
        <v>78</v>
      </c>
      <c r="L141" s="153" t="s">
        <v>81</v>
      </c>
      <c r="M141" s="153" t="s">
        <v>78</v>
      </c>
      <c r="N141" s="153" t="s">
        <v>81</v>
      </c>
      <c r="O141" s="153">
        <v>0</v>
      </c>
      <c r="P141" s="158" t="s">
        <v>78</v>
      </c>
      <c r="Q141" s="153">
        <v>0</v>
      </c>
      <c r="R141" s="155" t="s">
        <v>78</v>
      </c>
      <c r="S141" s="153">
        <v>0</v>
      </c>
      <c r="T141" s="153" t="s">
        <v>78</v>
      </c>
      <c r="U141" s="153">
        <v>0</v>
      </c>
      <c r="V141" s="159" t="s">
        <v>81</v>
      </c>
      <c r="W141" s="159" t="s">
        <v>78</v>
      </c>
      <c r="X141" s="159" t="s">
        <v>81</v>
      </c>
      <c r="Y141" s="159" t="s">
        <v>78</v>
      </c>
      <c r="Z141" s="159" t="s">
        <v>78</v>
      </c>
      <c r="AA141" s="159" t="s">
        <v>81</v>
      </c>
      <c r="AB141" s="159" t="s">
        <v>81</v>
      </c>
      <c r="AC141" s="159" t="s">
        <v>78</v>
      </c>
      <c r="AD141" s="159" t="s">
        <v>81</v>
      </c>
      <c r="AE141" s="159">
        <v>1</v>
      </c>
    </row>
    <row r="142" spans="1:31" s="149" customFormat="1" ht="25.05" customHeight="1" x14ac:dyDescent="0.3">
      <c r="A142" s="153" t="s">
        <v>1117</v>
      </c>
      <c r="B142" s="154" t="s">
        <v>1118</v>
      </c>
      <c r="C142" s="155" t="s">
        <v>78</v>
      </c>
      <c r="D142" s="155" t="s">
        <v>560</v>
      </c>
      <c r="E142" s="153" t="s">
        <v>115</v>
      </c>
      <c r="F142" s="153" t="s">
        <v>676</v>
      </c>
      <c r="G142" s="153" t="s">
        <v>81</v>
      </c>
      <c r="H142" s="153">
        <v>5500000</v>
      </c>
      <c r="I142" s="156">
        <v>7621514.9999999991</v>
      </c>
      <c r="J142" s="157" t="s">
        <v>81</v>
      </c>
      <c r="K142" s="153" t="s">
        <v>78</v>
      </c>
      <c r="L142" s="153" t="s">
        <v>81</v>
      </c>
      <c r="M142" s="153" t="s">
        <v>78</v>
      </c>
      <c r="N142" s="153" t="s">
        <v>81</v>
      </c>
      <c r="O142" s="153">
        <v>0</v>
      </c>
      <c r="P142" s="158" t="s">
        <v>78</v>
      </c>
      <c r="Q142" s="153">
        <v>0</v>
      </c>
      <c r="R142" s="155" t="s">
        <v>78</v>
      </c>
      <c r="S142" s="153">
        <v>0</v>
      </c>
      <c r="T142" s="153" t="s">
        <v>78</v>
      </c>
      <c r="U142" s="153">
        <v>0</v>
      </c>
      <c r="V142" s="159" t="s">
        <v>81</v>
      </c>
      <c r="W142" s="159" t="s">
        <v>78</v>
      </c>
      <c r="X142" s="159" t="s">
        <v>81</v>
      </c>
      <c r="Y142" s="159" t="s">
        <v>78</v>
      </c>
      <c r="Z142" s="159" t="s">
        <v>78</v>
      </c>
      <c r="AA142" s="159" t="s">
        <v>81</v>
      </c>
      <c r="AB142" s="159" t="s">
        <v>81</v>
      </c>
      <c r="AC142" s="159" t="s">
        <v>78</v>
      </c>
      <c r="AD142" s="159" t="s">
        <v>81</v>
      </c>
      <c r="AE142" s="159">
        <v>1</v>
      </c>
    </row>
    <row r="143" spans="1:31" s="149" customFormat="1" ht="25.05" customHeight="1" x14ac:dyDescent="0.3">
      <c r="A143" s="153" t="s">
        <v>1119</v>
      </c>
      <c r="B143" s="154" t="s">
        <v>1120</v>
      </c>
      <c r="C143" s="155" t="s">
        <v>78</v>
      </c>
      <c r="D143" s="155" t="s">
        <v>557</v>
      </c>
      <c r="E143" s="153" t="s">
        <v>228</v>
      </c>
      <c r="F143" s="153" t="s">
        <v>676</v>
      </c>
      <c r="G143" s="153" t="s">
        <v>81</v>
      </c>
      <c r="H143" s="153">
        <v>20950000</v>
      </c>
      <c r="I143" s="156">
        <v>29031043.499999996</v>
      </c>
      <c r="J143" s="157" t="s">
        <v>75</v>
      </c>
      <c r="K143" s="153" t="s">
        <v>1121</v>
      </c>
      <c r="L143" s="153" t="s">
        <v>75</v>
      </c>
      <c r="M143" s="153" t="s">
        <v>1122</v>
      </c>
      <c r="N143" s="153" t="s">
        <v>81</v>
      </c>
      <c r="O143" s="153">
        <v>0</v>
      </c>
      <c r="P143" s="158" t="s">
        <v>78</v>
      </c>
      <c r="Q143" s="153">
        <v>0</v>
      </c>
      <c r="R143" s="155" t="s">
        <v>78</v>
      </c>
      <c r="S143" s="153">
        <v>0</v>
      </c>
      <c r="T143" s="153" t="s">
        <v>78</v>
      </c>
      <c r="U143" s="153">
        <v>0</v>
      </c>
      <c r="V143" s="159" t="s">
        <v>75</v>
      </c>
      <c r="W143" s="159" t="s">
        <v>1123</v>
      </c>
      <c r="X143" s="159" t="s">
        <v>75</v>
      </c>
      <c r="Y143" s="159" t="s">
        <v>795</v>
      </c>
      <c r="Z143" s="159" t="s">
        <v>934</v>
      </c>
      <c r="AA143" s="159" t="s">
        <v>75</v>
      </c>
      <c r="AB143" s="159" t="s">
        <v>81</v>
      </c>
      <c r="AC143" s="159" t="s">
        <v>78</v>
      </c>
      <c r="AD143" s="159" t="s">
        <v>81</v>
      </c>
      <c r="AE143" s="159">
        <v>1</v>
      </c>
    </row>
    <row r="144" spans="1:31" s="149" customFormat="1" ht="25.05" customHeight="1" x14ac:dyDescent="0.3">
      <c r="A144" s="153" t="s">
        <v>1124</v>
      </c>
      <c r="B144" s="154" t="s">
        <v>1125</v>
      </c>
      <c r="C144" s="155" t="s">
        <v>78</v>
      </c>
      <c r="D144" s="155" t="s">
        <v>555</v>
      </c>
      <c r="E144" s="153" t="s">
        <v>256</v>
      </c>
      <c r="F144" s="153" t="s">
        <v>679</v>
      </c>
      <c r="G144" s="153" t="s">
        <v>75</v>
      </c>
      <c r="H144" s="153">
        <v>0</v>
      </c>
      <c r="I144" s="156">
        <v>0</v>
      </c>
      <c r="J144" s="157" t="s">
        <v>81</v>
      </c>
      <c r="K144" s="153" t="s">
        <v>78</v>
      </c>
      <c r="L144" s="153" t="s">
        <v>81</v>
      </c>
      <c r="M144" s="153" t="s">
        <v>78</v>
      </c>
      <c r="N144" s="153" t="s">
        <v>81</v>
      </c>
      <c r="O144" s="153">
        <v>0</v>
      </c>
      <c r="P144" s="158" t="s">
        <v>78</v>
      </c>
      <c r="Q144" s="153">
        <v>0</v>
      </c>
      <c r="R144" s="155" t="s">
        <v>78</v>
      </c>
      <c r="S144" s="153">
        <v>0</v>
      </c>
      <c r="T144" s="153" t="s">
        <v>78</v>
      </c>
      <c r="U144" s="153">
        <v>0</v>
      </c>
      <c r="V144" s="159" t="s">
        <v>81</v>
      </c>
      <c r="W144" s="159" t="s">
        <v>78</v>
      </c>
      <c r="X144" s="159" t="s">
        <v>81</v>
      </c>
      <c r="Y144" s="159" t="s">
        <v>78</v>
      </c>
      <c r="Z144" s="159" t="s">
        <v>78</v>
      </c>
      <c r="AA144" s="159" t="s">
        <v>81</v>
      </c>
      <c r="AB144" s="159" t="s">
        <v>81</v>
      </c>
      <c r="AC144" s="159" t="s">
        <v>78</v>
      </c>
      <c r="AD144" s="159" t="s">
        <v>81</v>
      </c>
      <c r="AE144" s="159">
        <v>1</v>
      </c>
    </row>
    <row r="145" spans="1:31" s="149" customFormat="1" ht="25.05" customHeight="1" x14ac:dyDescent="0.3">
      <c r="A145" s="153" t="s">
        <v>1126</v>
      </c>
      <c r="B145" s="154" t="s">
        <v>1127</v>
      </c>
      <c r="C145" s="155" t="s">
        <v>78</v>
      </c>
      <c r="D145" s="155" t="s">
        <v>535</v>
      </c>
      <c r="E145" s="153" t="s">
        <v>256</v>
      </c>
      <c r="F145" s="153" t="s">
        <v>676</v>
      </c>
      <c r="G145" s="153" t="s">
        <v>81</v>
      </c>
      <c r="H145" s="153">
        <v>467860.14</v>
      </c>
      <c r="I145" s="156">
        <v>648327.83180219994</v>
      </c>
      <c r="J145" s="157" t="s">
        <v>81</v>
      </c>
      <c r="K145" s="153" t="s">
        <v>78</v>
      </c>
      <c r="L145" s="153" t="s">
        <v>81</v>
      </c>
      <c r="M145" s="153" t="s">
        <v>78</v>
      </c>
      <c r="N145" s="153" t="s">
        <v>81</v>
      </c>
      <c r="O145" s="153">
        <v>0</v>
      </c>
      <c r="P145" s="158" t="s">
        <v>78</v>
      </c>
      <c r="Q145" s="153">
        <v>0</v>
      </c>
      <c r="R145" s="155" t="s">
        <v>78</v>
      </c>
      <c r="S145" s="153">
        <v>0</v>
      </c>
      <c r="T145" s="153" t="s">
        <v>78</v>
      </c>
      <c r="U145" s="153">
        <v>0</v>
      </c>
      <c r="V145" s="159" t="s">
        <v>81</v>
      </c>
      <c r="W145" s="159" t="s">
        <v>78</v>
      </c>
      <c r="X145" s="159" t="s">
        <v>81</v>
      </c>
      <c r="Y145" s="159" t="s">
        <v>78</v>
      </c>
      <c r="Z145" s="159" t="s">
        <v>78</v>
      </c>
      <c r="AA145" s="159" t="s">
        <v>81</v>
      </c>
      <c r="AB145" s="159" t="s">
        <v>81</v>
      </c>
      <c r="AC145" s="159" t="s">
        <v>78</v>
      </c>
      <c r="AD145" s="159" t="s">
        <v>81</v>
      </c>
      <c r="AE145" s="159">
        <v>1</v>
      </c>
    </row>
    <row r="146" spans="1:31" s="149" customFormat="1" ht="25.05" customHeight="1" x14ac:dyDescent="0.3">
      <c r="A146" s="153" t="s">
        <v>1128</v>
      </c>
      <c r="B146" s="154" t="s">
        <v>1129</v>
      </c>
      <c r="C146" s="155" t="s">
        <v>78</v>
      </c>
      <c r="D146" s="155" t="s">
        <v>569</v>
      </c>
      <c r="E146" s="153" t="s">
        <v>228</v>
      </c>
      <c r="F146" s="153" t="s">
        <v>689</v>
      </c>
      <c r="G146" s="153" t="s">
        <v>81</v>
      </c>
      <c r="H146" s="153">
        <v>32831270.93</v>
      </c>
      <c r="I146" s="156">
        <v>45495277.065828897</v>
      </c>
      <c r="J146" s="157" t="s">
        <v>75</v>
      </c>
      <c r="K146" s="153" t="s">
        <v>1130</v>
      </c>
      <c r="L146" s="153" t="s">
        <v>75</v>
      </c>
      <c r="M146" s="153" t="s">
        <v>1131</v>
      </c>
      <c r="N146" s="153" t="s">
        <v>75</v>
      </c>
      <c r="O146" s="153">
        <v>0</v>
      </c>
      <c r="P146" s="158" t="s">
        <v>78</v>
      </c>
      <c r="Q146" s="153">
        <v>999</v>
      </c>
      <c r="R146" s="155" t="s">
        <v>1132</v>
      </c>
      <c r="S146" s="153">
        <v>0</v>
      </c>
      <c r="T146" s="153" t="s">
        <v>78</v>
      </c>
      <c r="U146" s="153">
        <v>1</v>
      </c>
      <c r="V146" s="159" t="s">
        <v>75</v>
      </c>
      <c r="W146" s="159">
        <v>0</v>
      </c>
      <c r="X146" s="159" t="s">
        <v>75</v>
      </c>
      <c r="Y146" s="159" t="s">
        <v>228</v>
      </c>
      <c r="Z146" s="159" t="s">
        <v>1108</v>
      </c>
      <c r="AA146" s="159" t="s">
        <v>81</v>
      </c>
      <c r="AB146" s="159" t="s">
        <v>81</v>
      </c>
      <c r="AC146" s="159" t="s">
        <v>78</v>
      </c>
      <c r="AD146" s="159" t="s">
        <v>75</v>
      </c>
      <c r="AE146" s="159">
        <v>1</v>
      </c>
    </row>
    <row r="147" spans="1:31" s="149" customFormat="1" ht="25.05" customHeight="1" x14ac:dyDescent="0.3">
      <c r="A147" s="153" t="s">
        <v>1133</v>
      </c>
      <c r="B147" s="154" t="s">
        <v>1134</v>
      </c>
      <c r="C147" s="155" t="s">
        <v>78</v>
      </c>
      <c r="D147" s="155" t="s">
        <v>569</v>
      </c>
      <c r="E147" s="153" t="s">
        <v>256</v>
      </c>
      <c r="F147" s="153" t="s">
        <v>689</v>
      </c>
      <c r="G147" s="153" t="s">
        <v>81</v>
      </c>
      <c r="H147" s="153">
        <v>87038921.450000003</v>
      </c>
      <c r="I147" s="156">
        <v>120612444.6209085</v>
      </c>
      <c r="J147" s="157" t="s">
        <v>81</v>
      </c>
      <c r="K147" s="153" t="s">
        <v>78</v>
      </c>
      <c r="L147" s="153" t="s">
        <v>81</v>
      </c>
      <c r="M147" s="153" t="s">
        <v>78</v>
      </c>
      <c r="N147" s="153" t="s">
        <v>81</v>
      </c>
      <c r="O147" s="153">
        <v>0</v>
      </c>
      <c r="P147" s="158" t="s">
        <v>78</v>
      </c>
      <c r="Q147" s="153">
        <v>0</v>
      </c>
      <c r="R147" s="155" t="s">
        <v>78</v>
      </c>
      <c r="S147" s="153">
        <v>0</v>
      </c>
      <c r="T147" s="153" t="s">
        <v>78</v>
      </c>
      <c r="U147" s="153">
        <v>0</v>
      </c>
      <c r="V147" s="159" t="s">
        <v>81</v>
      </c>
      <c r="W147" s="159" t="s">
        <v>78</v>
      </c>
      <c r="X147" s="159" t="s">
        <v>81</v>
      </c>
      <c r="Y147" s="159" t="s">
        <v>78</v>
      </c>
      <c r="Z147" s="159" t="s">
        <v>78</v>
      </c>
      <c r="AA147" s="159" t="s">
        <v>81</v>
      </c>
      <c r="AB147" s="159" t="s">
        <v>81</v>
      </c>
      <c r="AC147" s="159" t="s">
        <v>78</v>
      </c>
      <c r="AD147" s="159" t="s">
        <v>81</v>
      </c>
      <c r="AE147" s="159">
        <v>1</v>
      </c>
    </row>
    <row r="148" spans="1:31" s="149" customFormat="1" ht="25.05" customHeight="1" x14ac:dyDescent="0.3">
      <c r="A148" s="153" t="s">
        <v>1135</v>
      </c>
      <c r="B148" s="154" t="s">
        <v>1136</v>
      </c>
      <c r="C148" s="155" t="s">
        <v>1137</v>
      </c>
      <c r="D148" s="155" t="s">
        <v>1848</v>
      </c>
      <c r="E148" s="153" t="s">
        <v>256</v>
      </c>
      <c r="F148" s="153" t="s">
        <v>679</v>
      </c>
      <c r="G148" s="153" t="s">
        <v>75</v>
      </c>
      <c r="H148" s="153">
        <v>0</v>
      </c>
      <c r="I148" s="156">
        <v>0</v>
      </c>
      <c r="J148" s="157" t="s">
        <v>81</v>
      </c>
      <c r="K148" s="153" t="s">
        <v>78</v>
      </c>
      <c r="L148" s="153" t="s">
        <v>81</v>
      </c>
      <c r="M148" s="153" t="s">
        <v>78</v>
      </c>
      <c r="N148" s="153" t="s">
        <v>81</v>
      </c>
      <c r="O148" s="153">
        <v>0</v>
      </c>
      <c r="P148" s="158" t="s">
        <v>78</v>
      </c>
      <c r="Q148" s="153">
        <v>0</v>
      </c>
      <c r="R148" s="155" t="s">
        <v>78</v>
      </c>
      <c r="S148" s="153">
        <v>0</v>
      </c>
      <c r="T148" s="153" t="s">
        <v>78</v>
      </c>
      <c r="U148" s="153">
        <v>0</v>
      </c>
      <c r="V148" s="159" t="s">
        <v>81</v>
      </c>
      <c r="W148" s="159" t="s">
        <v>78</v>
      </c>
      <c r="X148" s="159" t="s">
        <v>81</v>
      </c>
      <c r="Y148" s="159" t="s">
        <v>78</v>
      </c>
      <c r="Z148" s="159" t="s">
        <v>78</v>
      </c>
      <c r="AA148" s="159" t="s">
        <v>81</v>
      </c>
      <c r="AB148" s="159" t="s">
        <v>81</v>
      </c>
      <c r="AC148" s="159" t="s">
        <v>78</v>
      </c>
      <c r="AD148" s="159" t="s">
        <v>81</v>
      </c>
      <c r="AE148" s="159">
        <v>1</v>
      </c>
    </row>
    <row r="149" spans="1:31" s="149" customFormat="1" ht="25.05" customHeight="1" x14ac:dyDescent="0.3">
      <c r="A149" s="153" t="s">
        <v>1138</v>
      </c>
      <c r="B149" s="154" t="s">
        <v>1139</v>
      </c>
      <c r="C149" s="155" t="s">
        <v>78</v>
      </c>
      <c r="D149" s="155" t="s">
        <v>543</v>
      </c>
      <c r="E149" s="153" t="s">
        <v>256</v>
      </c>
      <c r="F149" s="153" t="s">
        <v>689</v>
      </c>
      <c r="G149" s="153" t="s">
        <v>81</v>
      </c>
      <c r="H149" s="153">
        <v>282534354.60000002</v>
      </c>
      <c r="I149" s="156">
        <v>391516331.19985801</v>
      </c>
      <c r="J149" s="157" t="s">
        <v>81</v>
      </c>
      <c r="K149" s="153" t="s">
        <v>78</v>
      </c>
      <c r="L149" s="153" t="s">
        <v>81</v>
      </c>
      <c r="M149" s="153" t="s">
        <v>78</v>
      </c>
      <c r="N149" s="153" t="s">
        <v>81</v>
      </c>
      <c r="O149" s="153">
        <v>0</v>
      </c>
      <c r="P149" s="158" t="s">
        <v>78</v>
      </c>
      <c r="Q149" s="153">
        <v>0</v>
      </c>
      <c r="R149" s="155" t="s">
        <v>78</v>
      </c>
      <c r="S149" s="153">
        <v>0</v>
      </c>
      <c r="T149" s="153" t="s">
        <v>78</v>
      </c>
      <c r="U149" s="153">
        <v>0</v>
      </c>
      <c r="V149" s="159" t="s">
        <v>81</v>
      </c>
      <c r="W149" s="159" t="s">
        <v>78</v>
      </c>
      <c r="X149" s="159" t="s">
        <v>81</v>
      </c>
      <c r="Y149" s="159" t="s">
        <v>78</v>
      </c>
      <c r="Z149" s="159" t="s">
        <v>78</v>
      </c>
      <c r="AA149" s="159" t="s">
        <v>81</v>
      </c>
      <c r="AB149" s="159" t="s">
        <v>81</v>
      </c>
      <c r="AC149" s="159" t="s">
        <v>78</v>
      </c>
      <c r="AD149" s="159" t="s">
        <v>81</v>
      </c>
      <c r="AE149" s="159">
        <v>1</v>
      </c>
    </row>
    <row r="150" spans="1:31" s="149" customFormat="1" ht="25.05" customHeight="1" x14ac:dyDescent="0.3">
      <c r="A150" s="153" t="s">
        <v>1140</v>
      </c>
      <c r="B150" s="154" t="s">
        <v>1141</v>
      </c>
      <c r="C150" s="155" t="s">
        <v>78</v>
      </c>
      <c r="D150" s="155" t="s">
        <v>554</v>
      </c>
      <c r="E150" s="153" t="s">
        <v>115</v>
      </c>
      <c r="F150" s="153" t="s">
        <v>689</v>
      </c>
      <c r="G150" s="153" t="s">
        <v>81</v>
      </c>
      <c r="H150" s="153">
        <v>723227.91</v>
      </c>
      <c r="I150" s="156">
        <v>1002198.6117243</v>
      </c>
      <c r="J150" s="157" t="s">
        <v>75</v>
      </c>
      <c r="K150" s="153" t="s">
        <v>1142</v>
      </c>
      <c r="L150" s="153" t="s">
        <v>75</v>
      </c>
      <c r="M150" s="153" t="s">
        <v>1143</v>
      </c>
      <c r="N150" s="153" t="s">
        <v>75</v>
      </c>
      <c r="O150" s="153">
        <v>0</v>
      </c>
      <c r="P150" s="158" t="s">
        <v>78</v>
      </c>
      <c r="Q150" s="153">
        <v>999</v>
      </c>
      <c r="R150" s="155" t="s">
        <v>1144</v>
      </c>
      <c r="S150" s="153">
        <v>999</v>
      </c>
      <c r="T150" s="153" t="s">
        <v>1145</v>
      </c>
      <c r="U150" s="153">
        <v>2</v>
      </c>
      <c r="V150" s="159" t="s">
        <v>75</v>
      </c>
      <c r="W150" s="159" t="s">
        <v>1146</v>
      </c>
      <c r="X150" s="159" t="s">
        <v>75</v>
      </c>
      <c r="Y150" s="159" t="s">
        <v>72</v>
      </c>
      <c r="Z150" s="159" t="s">
        <v>1147</v>
      </c>
      <c r="AA150" s="159" t="s">
        <v>81</v>
      </c>
      <c r="AB150" s="159" t="s">
        <v>75</v>
      </c>
      <c r="AC150" s="159" t="s">
        <v>78</v>
      </c>
      <c r="AD150" s="159" t="s">
        <v>75</v>
      </c>
      <c r="AE150" s="159">
        <v>1</v>
      </c>
    </row>
    <row r="151" spans="1:31" s="149" customFormat="1" ht="25.05" customHeight="1" x14ac:dyDescent="0.3">
      <c r="A151" s="153" t="s">
        <v>1148</v>
      </c>
      <c r="B151" s="154" t="s">
        <v>1149</v>
      </c>
      <c r="C151" s="155" t="s">
        <v>78</v>
      </c>
      <c r="D151" s="155" t="s">
        <v>554</v>
      </c>
      <c r="E151" s="153" t="s">
        <v>101</v>
      </c>
      <c r="F151" s="153" t="s">
        <v>689</v>
      </c>
      <c r="G151" s="153" t="s">
        <v>81</v>
      </c>
      <c r="H151" s="153">
        <v>433936746.5</v>
      </c>
      <c r="I151" s="156">
        <v>601319167.72744501</v>
      </c>
      <c r="J151" s="157" t="s">
        <v>81</v>
      </c>
      <c r="K151" s="153" t="s">
        <v>78</v>
      </c>
      <c r="L151" s="153" t="s">
        <v>81</v>
      </c>
      <c r="M151" s="153" t="s">
        <v>78</v>
      </c>
      <c r="N151" s="153" t="s">
        <v>81</v>
      </c>
      <c r="O151" s="153">
        <v>0</v>
      </c>
      <c r="P151" s="158" t="s">
        <v>78</v>
      </c>
      <c r="Q151" s="153">
        <v>0</v>
      </c>
      <c r="R151" s="155" t="s">
        <v>78</v>
      </c>
      <c r="S151" s="153">
        <v>0</v>
      </c>
      <c r="T151" s="153" t="s">
        <v>78</v>
      </c>
      <c r="U151" s="153">
        <v>0</v>
      </c>
      <c r="V151" s="159" t="s">
        <v>81</v>
      </c>
      <c r="W151" s="159" t="s">
        <v>78</v>
      </c>
      <c r="X151" s="159" t="s">
        <v>81</v>
      </c>
      <c r="Y151" s="159" t="s">
        <v>78</v>
      </c>
      <c r="Z151" s="159" t="s">
        <v>78</v>
      </c>
      <c r="AA151" s="159" t="s">
        <v>81</v>
      </c>
      <c r="AB151" s="159" t="s">
        <v>81</v>
      </c>
      <c r="AC151" s="159" t="s">
        <v>78</v>
      </c>
      <c r="AD151" s="159" t="s">
        <v>81</v>
      </c>
      <c r="AE151" s="159">
        <v>1</v>
      </c>
    </row>
    <row r="152" spans="1:31" s="149" customFormat="1" ht="25.05" customHeight="1" x14ac:dyDescent="0.3">
      <c r="A152" s="153" t="s">
        <v>1150</v>
      </c>
      <c r="B152" s="154" t="s">
        <v>1151</v>
      </c>
      <c r="C152" s="155" t="s">
        <v>78</v>
      </c>
      <c r="D152" s="155" t="s">
        <v>570</v>
      </c>
      <c r="E152" s="153" t="s">
        <v>115</v>
      </c>
      <c r="F152" s="153" t="s">
        <v>676</v>
      </c>
      <c r="G152" s="153" t="s">
        <v>81</v>
      </c>
      <c r="H152" s="153">
        <v>3410000</v>
      </c>
      <c r="I152" s="156">
        <v>4725339.3</v>
      </c>
      <c r="J152" s="157" t="s">
        <v>75</v>
      </c>
      <c r="K152" s="153" t="s">
        <v>1152</v>
      </c>
      <c r="L152" s="153" t="s">
        <v>81</v>
      </c>
      <c r="M152" s="153" t="s">
        <v>78</v>
      </c>
      <c r="N152" s="153" t="s">
        <v>81</v>
      </c>
      <c r="O152" s="153">
        <v>0</v>
      </c>
      <c r="P152" s="158" t="s">
        <v>78</v>
      </c>
      <c r="Q152" s="153">
        <v>0</v>
      </c>
      <c r="R152" s="155" t="s">
        <v>78</v>
      </c>
      <c r="S152" s="153">
        <v>0</v>
      </c>
      <c r="T152" s="153" t="s">
        <v>78</v>
      </c>
      <c r="U152" s="153">
        <v>0</v>
      </c>
      <c r="V152" s="159" t="s">
        <v>81</v>
      </c>
      <c r="W152" s="159" t="s">
        <v>78</v>
      </c>
      <c r="X152" s="159" t="s">
        <v>75</v>
      </c>
      <c r="Y152" s="159" t="s">
        <v>228</v>
      </c>
      <c r="Z152" s="159" t="s">
        <v>934</v>
      </c>
      <c r="AA152" s="159" t="s">
        <v>75</v>
      </c>
      <c r="AB152" s="159" t="s">
        <v>81</v>
      </c>
      <c r="AC152" s="159" t="s">
        <v>78</v>
      </c>
      <c r="AD152" s="159" t="s">
        <v>81</v>
      </c>
      <c r="AE152" s="159">
        <v>1</v>
      </c>
    </row>
    <row r="153" spans="1:31" s="149" customFormat="1" ht="25.05" customHeight="1" x14ac:dyDescent="0.3">
      <c r="A153" s="153" t="s">
        <v>1153</v>
      </c>
      <c r="B153" s="154" t="s">
        <v>1154</v>
      </c>
      <c r="C153" s="155" t="s">
        <v>1155</v>
      </c>
      <c r="D153" s="155" t="s">
        <v>1848</v>
      </c>
      <c r="E153" s="153" t="s">
        <v>101</v>
      </c>
      <c r="F153" s="153" t="s">
        <v>676</v>
      </c>
      <c r="G153" s="153" t="s">
        <v>81</v>
      </c>
      <c r="H153" s="153">
        <v>7000000</v>
      </c>
      <c r="I153" s="156">
        <v>9700110</v>
      </c>
      <c r="J153" s="157" t="s">
        <v>81</v>
      </c>
      <c r="K153" s="153" t="s">
        <v>78</v>
      </c>
      <c r="L153" s="153" t="s">
        <v>81</v>
      </c>
      <c r="M153" s="153" t="s">
        <v>78</v>
      </c>
      <c r="N153" s="153" t="s">
        <v>81</v>
      </c>
      <c r="O153" s="153">
        <v>0</v>
      </c>
      <c r="P153" s="158" t="s">
        <v>78</v>
      </c>
      <c r="Q153" s="153">
        <v>0</v>
      </c>
      <c r="R153" s="155" t="s">
        <v>78</v>
      </c>
      <c r="S153" s="153">
        <v>0</v>
      </c>
      <c r="T153" s="153" t="s">
        <v>78</v>
      </c>
      <c r="U153" s="153">
        <v>0</v>
      </c>
      <c r="V153" s="159" t="s">
        <v>81</v>
      </c>
      <c r="W153" s="159" t="s">
        <v>78</v>
      </c>
      <c r="X153" s="159" t="s">
        <v>81</v>
      </c>
      <c r="Y153" s="159" t="s">
        <v>78</v>
      </c>
      <c r="Z153" s="159" t="s">
        <v>78</v>
      </c>
      <c r="AA153" s="159" t="s">
        <v>81</v>
      </c>
      <c r="AB153" s="159" t="s">
        <v>81</v>
      </c>
      <c r="AC153" s="159" t="s">
        <v>78</v>
      </c>
      <c r="AD153" s="159" t="s">
        <v>81</v>
      </c>
      <c r="AE153" s="159">
        <v>1</v>
      </c>
    </row>
    <row r="154" spans="1:31" s="149" customFormat="1" ht="25.05" customHeight="1" x14ac:dyDescent="0.3">
      <c r="A154" s="153" t="s">
        <v>1156</v>
      </c>
      <c r="B154" s="154" t="s">
        <v>1157</v>
      </c>
      <c r="C154" s="155" t="s">
        <v>78</v>
      </c>
      <c r="D154" s="155" t="s">
        <v>554</v>
      </c>
      <c r="E154" s="153" t="s">
        <v>466</v>
      </c>
      <c r="F154" s="153" t="s">
        <v>689</v>
      </c>
      <c r="G154" s="153" t="s">
        <v>81</v>
      </c>
      <c r="H154" s="153">
        <v>29396924.780000001</v>
      </c>
      <c r="I154" s="156">
        <v>40736200.5753894</v>
      </c>
      <c r="J154" s="157" t="s">
        <v>81</v>
      </c>
      <c r="K154" s="153" t="s">
        <v>78</v>
      </c>
      <c r="L154" s="153" t="s">
        <v>81</v>
      </c>
      <c r="M154" s="153" t="s">
        <v>78</v>
      </c>
      <c r="N154" s="153" t="s">
        <v>81</v>
      </c>
      <c r="O154" s="153">
        <v>0</v>
      </c>
      <c r="P154" s="158" t="s">
        <v>78</v>
      </c>
      <c r="Q154" s="153">
        <v>0</v>
      </c>
      <c r="R154" s="155" t="s">
        <v>78</v>
      </c>
      <c r="S154" s="153">
        <v>0</v>
      </c>
      <c r="T154" s="153" t="s">
        <v>78</v>
      </c>
      <c r="U154" s="153">
        <v>0</v>
      </c>
      <c r="V154" s="159" t="s">
        <v>81</v>
      </c>
      <c r="W154" s="159" t="s">
        <v>78</v>
      </c>
      <c r="X154" s="159" t="s">
        <v>81</v>
      </c>
      <c r="Y154" s="159" t="s">
        <v>78</v>
      </c>
      <c r="Z154" s="159" t="s">
        <v>78</v>
      </c>
      <c r="AA154" s="159" t="s">
        <v>81</v>
      </c>
      <c r="AB154" s="159" t="s">
        <v>81</v>
      </c>
      <c r="AC154" s="159" t="s">
        <v>78</v>
      </c>
      <c r="AD154" s="159" t="s">
        <v>81</v>
      </c>
      <c r="AE154" s="159">
        <v>1</v>
      </c>
    </row>
    <row r="155" spans="1:31" s="149" customFormat="1" ht="25.05" customHeight="1" x14ac:dyDescent="0.3">
      <c r="A155" s="153" t="s">
        <v>1158</v>
      </c>
      <c r="B155" s="154" t="s">
        <v>1159</v>
      </c>
      <c r="C155" s="155" t="s">
        <v>78</v>
      </c>
      <c r="D155" s="155" t="s">
        <v>560</v>
      </c>
      <c r="E155" s="153" t="s">
        <v>101</v>
      </c>
      <c r="F155" s="153" t="s">
        <v>676</v>
      </c>
      <c r="G155" s="153" t="s">
        <v>81</v>
      </c>
      <c r="H155" s="153">
        <v>1200000</v>
      </c>
      <c r="I155" s="156">
        <v>1662876</v>
      </c>
      <c r="J155" s="157" t="s">
        <v>81</v>
      </c>
      <c r="K155" s="153" t="s">
        <v>78</v>
      </c>
      <c r="L155" s="153" t="s">
        <v>81</v>
      </c>
      <c r="M155" s="153" t="s">
        <v>78</v>
      </c>
      <c r="N155" s="153" t="s">
        <v>81</v>
      </c>
      <c r="O155" s="153">
        <v>0</v>
      </c>
      <c r="P155" s="158" t="s">
        <v>78</v>
      </c>
      <c r="Q155" s="153">
        <v>0</v>
      </c>
      <c r="R155" s="155" t="s">
        <v>78</v>
      </c>
      <c r="S155" s="153">
        <v>0</v>
      </c>
      <c r="T155" s="153" t="s">
        <v>78</v>
      </c>
      <c r="U155" s="153">
        <v>0</v>
      </c>
      <c r="V155" s="159" t="s">
        <v>81</v>
      </c>
      <c r="W155" s="159" t="s">
        <v>78</v>
      </c>
      <c r="X155" s="159" t="s">
        <v>81</v>
      </c>
      <c r="Y155" s="159" t="s">
        <v>78</v>
      </c>
      <c r="Z155" s="159" t="s">
        <v>78</v>
      </c>
      <c r="AA155" s="159" t="s">
        <v>81</v>
      </c>
      <c r="AB155" s="159" t="s">
        <v>81</v>
      </c>
      <c r="AC155" s="159" t="s">
        <v>78</v>
      </c>
      <c r="AD155" s="159" t="s">
        <v>81</v>
      </c>
      <c r="AE155" s="159">
        <v>1</v>
      </c>
    </row>
    <row r="156" spans="1:31" s="149" customFormat="1" ht="25.05" customHeight="1" x14ac:dyDescent="0.3">
      <c r="A156" s="153" t="s">
        <v>1160</v>
      </c>
      <c r="B156" s="154" t="s">
        <v>1161</v>
      </c>
      <c r="C156" s="155" t="s">
        <v>78</v>
      </c>
      <c r="D156" s="155" t="s">
        <v>538</v>
      </c>
      <c r="E156" s="153" t="s">
        <v>228</v>
      </c>
      <c r="F156" s="153" t="s">
        <v>679</v>
      </c>
      <c r="G156" s="153" t="s">
        <v>81</v>
      </c>
      <c r="H156" s="153">
        <v>10125190.75</v>
      </c>
      <c r="I156" s="156">
        <v>14030780.577997498</v>
      </c>
      <c r="J156" s="157" t="s">
        <v>81</v>
      </c>
      <c r="K156" s="153" t="s">
        <v>78</v>
      </c>
      <c r="L156" s="153" t="s">
        <v>81</v>
      </c>
      <c r="M156" s="153" t="s">
        <v>78</v>
      </c>
      <c r="N156" s="153" t="s">
        <v>81</v>
      </c>
      <c r="O156" s="153">
        <v>0</v>
      </c>
      <c r="P156" s="158" t="s">
        <v>78</v>
      </c>
      <c r="Q156" s="153">
        <v>0</v>
      </c>
      <c r="R156" s="155" t="s">
        <v>78</v>
      </c>
      <c r="S156" s="153">
        <v>0</v>
      </c>
      <c r="T156" s="153" t="s">
        <v>78</v>
      </c>
      <c r="U156" s="153">
        <v>0</v>
      </c>
      <c r="V156" s="159" t="s">
        <v>81</v>
      </c>
      <c r="W156" s="159" t="s">
        <v>78</v>
      </c>
      <c r="X156" s="159" t="s">
        <v>81</v>
      </c>
      <c r="Y156" s="159" t="s">
        <v>78</v>
      </c>
      <c r="Z156" s="159" t="s">
        <v>78</v>
      </c>
      <c r="AA156" s="159" t="s">
        <v>81</v>
      </c>
      <c r="AB156" s="159" t="s">
        <v>81</v>
      </c>
      <c r="AC156" s="159" t="s">
        <v>78</v>
      </c>
      <c r="AD156" s="159" t="s">
        <v>81</v>
      </c>
      <c r="AE156" s="159">
        <v>1</v>
      </c>
    </row>
    <row r="157" spans="1:31" s="149" customFormat="1" ht="25.05" customHeight="1" x14ac:dyDescent="0.3">
      <c r="A157" s="153" t="s">
        <v>1162</v>
      </c>
      <c r="B157" s="154" t="s">
        <v>1163</v>
      </c>
      <c r="C157" s="155" t="s">
        <v>78</v>
      </c>
      <c r="D157" s="155" t="s">
        <v>551</v>
      </c>
      <c r="E157" s="153" t="s">
        <v>228</v>
      </c>
      <c r="F157" s="153" t="s">
        <v>676</v>
      </c>
      <c r="G157" s="153" t="s">
        <v>81</v>
      </c>
      <c r="H157" s="153">
        <v>16000000</v>
      </c>
      <c r="I157" s="156">
        <v>22171680</v>
      </c>
      <c r="J157" s="157" t="s">
        <v>81</v>
      </c>
      <c r="K157" s="153" t="s">
        <v>78</v>
      </c>
      <c r="L157" s="153" t="s">
        <v>81</v>
      </c>
      <c r="M157" s="153" t="s">
        <v>78</v>
      </c>
      <c r="N157" s="153" t="s">
        <v>81</v>
      </c>
      <c r="O157" s="153">
        <v>0</v>
      </c>
      <c r="P157" s="158" t="s">
        <v>78</v>
      </c>
      <c r="Q157" s="153">
        <v>0</v>
      </c>
      <c r="R157" s="155" t="s">
        <v>78</v>
      </c>
      <c r="S157" s="153">
        <v>0</v>
      </c>
      <c r="T157" s="153" t="s">
        <v>78</v>
      </c>
      <c r="U157" s="153">
        <v>0</v>
      </c>
      <c r="V157" s="159" t="s">
        <v>81</v>
      </c>
      <c r="W157" s="159" t="s">
        <v>78</v>
      </c>
      <c r="X157" s="159" t="s">
        <v>81</v>
      </c>
      <c r="Y157" s="159" t="s">
        <v>78</v>
      </c>
      <c r="Z157" s="159" t="s">
        <v>78</v>
      </c>
      <c r="AA157" s="159" t="s">
        <v>81</v>
      </c>
      <c r="AB157" s="159" t="s">
        <v>81</v>
      </c>
      <c r="AC157" s="159" t="s">
        <v>78</v>
      </c>
      <c r="AD157" s="159" t="s">
        <v>81</v>
      </c>
      <c r="AE157" s="159">
        <v>1</v>
      </c>
    </row>
    <row r="158" spans="1:31" s="149" customFormat="1" ht="25.05" customHeight="1" x14ac:dyDescent="0.3">
      <c r="A158" s="153" t="s">
        <v>1164</v>
      </c>
      <c r="B158" s="154" t="s">
        <v>1165</v>
      </c>
      <c r="C158" s="155" t="s">
        <v>937</v>
      </c>
      <c r="D158" s="155" t="s">
        <v>1848</v>
      </c>
      <c r="E158" s="153" t="s">
        <v>228</v>
      </c>
      <c r="F158" s="153" t="s">
        <v>679</v>
      </c>
      <c r="G158" s="153" t="s">
        <v>75</v>
      </c>
      <c r="H158" s="153">
        <v>0</v>
      </c>
      <c r="I158" s="156">
        <v>0</v>
      </c>
      <c r="J158" s="157" t="s">
        <v>81</v>
      </c>
      <c r="K158" s="153" t="s">
        <v>78</v>
      </c>
      <c r="L158" s="153" t="s">
        <v>81</v>
      </c>
      <c r="M158" s="153" t="s">
        <v>78</v>
      </c>
      <c r="N158" s="153" t="s">
        <v>81</v>
      </c>
      <c r="O158" s="153">
        <v>0</v>
      </c>
      <c r="P158" s="158" t="s">
        <v>78</v>
      </c>
      <c r="Q158" s="153">
        <v>0</v>
      </c>
      <c r="R158" s="155" t="s">
        <v>78</v>
      </c>
      <c r="S158" s="153">
        <v>0</v>
      </c>
      <c r="T158" s="153" t="s">
        <v>78</v>
      </c>
      <c r="U158" s="153">
        <v>0</v>
      </c>
      <c r="V158" s="159" t="s">
        <v>81</v>
      </c>
      <c r="W158" s="159" t="s">
        <v>78</v>
      </c>
      <c r="X158" s="159" t="s">
        <v>81</v>
      </c>
      <c r="Y158" s="159" t="s">
        <v>78</v>
      </c>
      <c r="Z158" s="159" t="s">
        <v>78</v>
      </c>
      <c r="AA158" s="159" t="s">
        <v>81</v>
      </c>
      <c r="AB158" s="159" t="s">
        <v>81</v>
      </c>
      <c r="AC158" s="159" t="s">
        <v>78</v>
      </c>
      <c r="AD158" s="159" t="s">
        <v>81</v>
      </c>
      <c r="AE158" s="159">
        <v>1</v>
      </c>
    </row>
    <row r="159" spans="1:31" s="149" customFormat="1" ht="25.05" customHeight="1" x14ac:dyDescent="0.3">
      <c r="A159" s="153" t="s">
        <v>1166</v>
      </c>
      <c r="B159" s="154" t="s">
        <v>1167</v>
      </c>
      <c r="C159" s="155" t="s">
        <v>937</v>
      </c>
      <c r="D159" s="155" t="s">
        <v>1848</v>
      </c>
      <c r="E159" s="153" t="s">
        <v>228</v>
      </c>
      <c r="F159" s="153" t="s">
        <v>679</v>
      </c>
      <c r="G159" s="153" t="s">
        <v>81</v>
      </c>
      <c r="H159" s="153">
        <v>72322791.079999998</v>
      </c>
      <c r="I159" s="156">
        <v>100219861.28328839</v>
      </c>
      <c r="J159" s="157" t="s">
        <v>81</v>
      </c>
      <c r="K159" s="153" t="s">
        <v>78</v>
      </c>
      <c r="L159" s="153" t="s">
        <v>81</v>
      </c>
      <c r="M159" s="153" t="s">
        <v>78</v>
      </c>
      <c r="N159" s="153" t="s">
        <v>81</v>
      </c>
      <c r="O159" s="153">
        <v>0</v>
      </c>
      <c r="P159" s="158" t="s">
        <v>78</v>
      </c>
      <c r="Q159" s="153">
        <v>0</v>
      </c>
      <c r="R159" s="155" t="s">
        <v>78</v>
      </c>
      <c r="S159" s="153">
        <v>0</v>
      </c>
      <c r="T159" s="153" t="s">
        <v>78</v>
      </c>
      <c r="U159" s="153">
        <v>0</v>
      </c>
      <c r="V159" s="159" t="s">
        <v>81</v>
      </c>
      <c r="W159" s="159" t="s">
        <v>78</v>
      </c>
      <c r="X159" s="159" t="s">
        <v>81</v>
      </c>
      <c r="Y159" s="159" t="s">
        <v>78</v>
      </c>
      <c r="Z159" s="159" t="s">
        <v>78</v>
      </c>
      <c r="AA159" s="159" t="s">
        <v>81</v>
      </c>
      <c r="AB159" s="159" t="s">
        <v>81</v>
      </c>
      <c r="AC159" s="159" t="s">
        <v>78</v>
      </c>
      <c r="AD159" s="159" t="s">
        <v>81</v>
      </c>
      <c r="AE159" s="159">
        <v>1</v>
      </c>
    </row>
    <row r="160" spans="1:31" s="149" customFormat="1" ht="25.05" customHeight="1" x14ac:dyDescent="0.3">
      <c r="A160" s="153" t="s">
        <v>1168</v>
      </c>
      <c r="B160" s="154" t="s">
        <v>1169</v>
      </c>
      <c r="C160" s="155" t="s">
        <v>78</v>
      </c>
      <c r="D160" s="155" t="s">
        <v>542</v>
      </c>
      <c r="E160" s="153" t="s">
        <v>72</v>
      </c>
      <c r="F160" s="153" t="s">
        <v>689</v>
      </c>
      <c r="G160" s="153" t="s">
        <v>81</v>
      </c>
      <c r="H160" s="153">
        <v>723227.91</v>
      </c>
      <c r="I160" s="156">
        <v>1002198.6117243</v>
      </c>
      <c r="J160" s="157" t="s">
        <v>75</v>
      </c>
      <c r="K160" s="153" t="s">
        <v>1170</v>
      </c>
      <c r="L160" s="153" t="s">
        <v>81</v>
      </c>
      <c r="M160" s="153" t="s">
        <v>78</v>
      </c>
      <c r="N160" s="153" t="s">
        <v>75</v>
      </c>
      <c r="O160" s="153">
        <v>999</v>
      </c>
      <c r="P160" s="158" t="s">
        <v>1171</v>
      </c>
      <c r="Q160" s="153">
        <v>999</v>
      </c>
      <c r="R160" s="155" t="s">
        <v>1172</v>
      </c>
      <c r="S160" s="153">
        <v>0</v>
      </c>
      <c r="T160" s="153" t="s">
        <v>78</v>
      </c>
      <c r="U160" s="153">
        <v>2</v>
      </c>
      <c r="V160" s="159" t="s">
        <v>75</v>
      </c>
      <c r="W160" s="159" t="s">
        <v>1173</v>
      </c>
      <c r="X160" s="159" t="s">
        <v>75</v>
      </c>
      <c r="Y160" s="159" t="s">
        <v>72</v>
      </c>
      <c r="Z160" s="159" t="s">
        <v>1174</v>
      </c>
      <c r="AA160" s="159" t="s">
        <v>81</v>
      </c>
      <c r="AB160" s="159" t="s">
        <v>81</v>
      </c>
      <c r="AC160" s="159" t="s">
        <v>78</v>
      </c>
      <c r="AD160" s="159" t="s">
        <v>81</v>
      </c>
      <c r="AE160" s="159">
        <v>1</v>
      </c>
    </row>
    <row r="161" spans="1:31" s="149" customFormat="1" ht="25.05" customHeight="1" x14ac:dyDescent="0.3">
      <c r="A161" s="153" t="s">
        <v>1175</v>
      </c>
      <c r="B161" s="154" t="s">
        <v>1176</v>
      </c>
      <c r="C161" s="155" t="s">
        <v>78</v>
      </c>
      <c r="D161" s="155" t="s">
        <v>568</v>
      </c>
      <c r="E161" s="153" t="s">
        <v>101</v>
      </c>
      <c r="F161" s="153" t="s">
        <v>689</v>
      </c>
      <c r="G161" s="153" t="s">
        <v>81</v>
      </c>
      <c r="H161" s="153">
        <v>683527</v>
      </c>
      <c r="I161" s="156">
        <v>947183.86970999988</v>
      </c>
      <c r="J161" s="157" t="s">
        <v>81</v>
      </c>
      <c r="K161" s="153" t="s">
        <v>78</v>
      </c>
      <c r="L161" s="153" t="s">
        <v>81</v>
      </c>
      <c r="M161" s="153" t="s">
        <v>78</v>
      </c>
      <c r="N161" s="153" t="s">
        <v>81</v>
      </c>
      <c r="O161" s="153">
        <v>0</v>
      </c>
      <c r="P161" s="158" t="s">
        <v>78</v>
      </c>
      <c r="Q161" s="153">
        <v>0</v>
      </c>
      <c r="R161" s="155" t="s">
        <v>78</v>
      </c>
      <c r="S161" s="153">
        <v>0</v>
      </c>
      <c r="T161" s="153" t="s">
        <v>78</v>
      </c>
      <c r="U161" s="153">
        <v>0</v>
      </c>
      <c r="V161" s="159" t="s">
        <v>81</v>
      </c>
      <c r="W161" s="159" t="s">
        <v>78</v>
      </c>
      <c r="X161" s="159" t="s">
        <v>81</v>
      </c>
      <c r="Y161" s="159" t="s">
        <v>78</v>
      </c>
      <c r="Z161" s="159" t="s">
        <v>78</v>
      </c>
      <c r="AA161" s="159" t="s">
        <v>81</v>
      </c>
      <c r="AB161" s="159" t="s">
        <v>81</v>
      </c>
      <c r="AC161" s="159" t="s">
        <v>78</v>
      </c>
      <c r="AD161" s="159" t="s">
        <v>81</v>
      </c>
      <c r="AE161" s="159">
        <v>1</v>
      </c>
    </row>
    <row r="162" spans="1:31" s="149" customFormat="1" ht="25.05" customHeight="1" x14ac:dyDescent="0.3">
      <c r="A162" s="153" t="s">
        <v>1177</v>
      </c>
      <c r="B162" s="154" t="s">
        <v>1178</v>
      </c>
      <c r="C162" s="155" t="s">
        <v>78</v>
      </c>
      <c r="D162" s="155" t="s">
        <v>558</v>
      </c>
      <c r="E162" s="153" t="s">
        <v>228</v>
      </c>
      <c r="F162" s="153" t="s">
        <v>676</v>
      </c>
      <c r="G162" s="153" t="s">
        <v>81</v>
      </c>
      <c r="H162" s="153">
        <v>544500</v>
      </c>
      <c r="I162" s="156">
        <v>754529.98499999999</v>
      </c>
      <c r="J162" s="157" t="s">
        <v>81</v>
      </c>
      <c r="K162" s="153" t="s">
        <v>78</v>
      </c>
      <c r="L162" s="153" t="s">
        <v>81</v>
      </c>
      <c r="M162" s="153" t="s">
        <v>78</v>
      </c>
      <c r="N162" s="153" t="s">
        <v>81</v>
      </c>
      <c r="O162" s="153">
        <v>0</v>
      </c>
      <c r="P162" s="158" t="s">
        <v>78</v>
      </c>
      <c r="Q162" s="153">
        <v>0</v>
      </c>
      <c r="R162" s="155" t="s">
        <v>78</v>
      </c>
      <c r="S162" s="153">
        <v>0</v>
      </c>
      <c r="T162" s="153" t="s">
        <v>78</v>
      </c>
      <c r="U162" s="153">
        <v>0</v>
      </c>
      <c r="V162" s="159" t="s">
        <v>81</v>
      </c>
      <c r="W162" s="159" t="s">
        <v>78</v>
      </c>
      <c r="X162" s="159" t="s">
        <v>81</v>
      </c>
      <c r="Y162" s="159" t="s">
        <v>78</v>
      </c>
      <c r="Z162" s="159" t="s">
        <v>78</v>
      </c>
      <c r="AA162" s="159" t="s">
        <v>81</v>
      </c>
      <c r="AB162" s="159" t="s">
        <v>81</v>
      </c>
      <c r="AC162" s="159" t="s">
        <v>78</v>
      </c>
      <c r="AD162" s="159" t="s">
        <v>81</v>
      </c>
      <c r="AE162" s="159">
        <v>1</v>
      </c>
    </row>
    <row r="163" spans="1:31" s="149" customFormat="1" ht="25.05" customHeight="1" x14ac:dyDescent="0.3">
      <c r="A163" s="153" t="s">
        <v>1179</v>
      </c>
      <c r="B163" s="154" t="s">
        <v>1180</v>
      </c>
      <c r="C163" s="155" t="s">
        <v>937</v>
      </c>
      <c r="D163" s="155" t="s">
        <v>1848</v>
      </c>
      <c r="E163" s="153" t="s">
        <v>466</v>
      </c>
      <c r="F163" s="153" t="s">
        <v>676</v>
      </c>
      <c r="G163" s="153" t="s">
        <v>81</v>
      </c>
      <c r="H163" s="153">
        <v>2730000</v>
      </c>
      <c r="I163" s="156">
        <v>3783042.9</v>
      </c>
      <c r="J163" s="157" t="s">
        <v>81</v>
      </c>
      <c r="K163" s="153" t="s">
        <v>78</v>
      </c>
      <c r="L163" s="153" t="s">
        <v>81</v>
      </c>
      <c r="M163" s="153" t="s">
        <v>78</v>
      </c>
      <c r="N163" s="153" t="s">
        <v>81</v>
      </c>
      <c r="O163" s="153">
        <v>0</v>
      </c>
      <c r="P163" s="158" t="s">
        <v>78</v>
      </c>
      <c r="Q163" s="153">
        <v>0</v>
      </c>
      <c r="R163" s="155" t="s">
        <v>78</v>
      </c>
      <c r="S163" s="153">
        <v>0</v>
      </c>
      <c r="T163" s="153" t="s">
        <v>78</v>
      </c>
      <c r="U163" s="153">
        <v>0</v>
      </c>
      <c r="V163" s="159" t="s">
        <v>81</v>
      </c>
      <c r="W163" s="159" t="s">
        <v>78</v>
      </c>
      <c r="X163" s="159" t="s">
        <v>81</v>
      </c>
      <c r="Y163" s="159" t="s">
        <v>78</v>
      </c>
      <c r="Z163" s="159" t="s">
        <v>78</v>
      </c>
      <c r="AA163" s="159" t="s">
        <v>81</v>
      </c>
      <c r="AB163" s="159" t="s">
        <v>81</v>
      </c>
      <c r="AC163" s="159" t="s">
        <v>78</v>
      </c>
      <c r="AD163" s="159" t="s">
        <v>81</v>
      </c>
      <c r="AE163" s="159">
        <v>1</v>
      </c>
    </row>
    <row r="164" spans="1:31" s="149" customFormat="1" ht="25.05" customHeight="1" x14ac:dyDescent="0.3">
      <c r="A164" s="153" t="s">
        <v>1181</v>
      </c>
      <c r="B164" s="154" t="s">
        <v>1182</v>
      </c>
      <c r="C164" s="155" t="s">
        <v>78</v>
      </c>
      <c r="D164" s="155" t="s">
        <v>552</v>
      </c>
      <c r="E164" s="153" t="s">
        <v>256</v>
      </c>
      <c r="F164" s="153" t="s">
        <v>679</v>
      </c>
      <c r="G164" s="153" t="s">
        <v>75</v>
      </c>
      <c r="H164" s="153">
        <v>0</v>
      </c>
      <c r="I164" s="156">
        <v>0</v>
      </c>
      <c r="J164" s="157" t="s">
        <v>81</v>
      </c>
      <c r="K164" s="153" t="s">
        <v>78</v>
      </c>
      <c r="L164" s="153" t="s">
        <v>81</v>
      </c>
      <c r="M164" s="153" t="s">
        <v>78</v>
      </c>
      <c r="N164" s="153" t="s">
        <v>81</v>
      </c>
      <c r="O164" s="153">
        <v>0</v>
      </c>
      <c r="P164" s="158" t="s">
        <v>78</v>
      </c>
      <c r="Q164" s="153">
        <v>0</v>
      </c>
      <c r="R164" s="155" t="s">
        <v>78</v>
      </c>
      <c r="S164" s="153">
        <v>0</v>
      </c>
      <c r="T164" s="153" t="s">
        <v>78</v>
      </c>
      <c r="U164" s="153">
        <v>0</v>
      </c>
      <c r="V164" s="159" t="s">
        <v>81</v>
      </c>
      <c r="W164" s="159" t="s">
        <v>78</v>
      </c>
      <c r="X164" s="159" t="s">
        <v>81</v>
      </c>
      <c r="Y164" s="159" t="s">
        <v>78</v>
      </c>
      <c r="Z164" s="159" t="s">
        <v>78</v>
      </c>
      <c r="AA164" s="159" t="s">
        <v>81</v>
      </c>
      <c r="AB164" s="159" t="s">
        <v>81</v>
      </c>
      <c r="AC164" s="159" t="s">
        <v>78</v>
      </c>
      <c r="AD164" s="159" t="s">
        <v>81</v>
      </c>
      <c r="AE164" s="159">
        <v>1</v>
      </c>
    </row>
    <row r="165" spans="1:31" s="149" customFormat="1" ht="25.05" customHeight="1" x14ac:dyDescent="0.3">
      <c r="A165" s="153" t="s">
        <v>1183</v>
      </c>
      <c r="B165" s="154" t="s">
        <v>1184</v>
      </c>
      <c r="C165" s="155" t="s">
        <v>78</v>
      </c>
      <c r="D165" s="155" t="s">
        <v>561</v>
      </c>
      <c r="E165" s="153" t="s">
        <v>256</v>
      </c>
      <c r="F165" s="153" t="s">
        <v>676</v>
      </c>
      <c r="G165" s="153" t="s">
        <v>81</v>
      </c>
      <c r="H165" s="153">
        <v>4950000</v>
      </c>
      <c r="I165" s="156">
        <v>6859363.5</v>
      </c>
      <c r="J165" s="157" t="s">
        <v>81</v>
      </c>
      <c r="K165" s="153" t="s">
        <v>78</v>
      </c>
      <c r="L165" s="153" t="s">
        <v>81</v>
      </c>
      <c r="M165" s="153" t="s">
        <v>78</v>
      </c>
      <c r="N165" s="153" t="s">
        <v>81</v>
      </c>
      <c r="O165" s="153">
        <v>0</v>
      </c>
      <c r="P165" s="158" t="s">
        <v>78</v>
      </c>
      <c r="Q165" s="153">
        <v>0</v>
      </c>
      <c r="R165" s="155" t="s">
        <v>78</v>
      </c>
      <c r="S165" s="153">
        <v>0</v>
      </c>
      <c r="T165" s="153" t="s">
        <v>78</v>
      </c>
      <c r="U165" s="153">
        <v>0</v>
      </c>
      <c r="V165" s="159" t="s">
        <v>81</v>
      </c>
      <c r="W165" s="159" t="s">
        <v>78</v>
      </c>
      <c r="X165" s="159" t="s">
        <v>81</v>
      </c>
      <c r="Y165" s="159" t="s">
        <v>78</v>
      </c>
      <c r="Z165" s="159" t="s">
        <v>78</v>
      </c>
      <c r="AA165" s="159" t="s">
        <v>81</v>
      </c>
      <c r="AB165" s="159" t="s">
        <v>81</v>
      </c>
      <c r="AC165" s="159" t="s">
        <v>78</v>
      </c>
      <c r="AD165" s="159" t="s">
        <v>81</v>
      </c>
      <c r="AE165" s="159">
        <v>1</v>
      </c>
    </row>
    <row r="166" spans="1:31" s="149" customFormat="1" ht="25.05" customHeight="1" x14ac:dyDescent="0.3">
      <c r="A166" s="153" t="s">
        <v>1185</v>
      </c>
      <c r="B166" s="154" t="s">
        <v>1186</v>
      </c>
      <c r="C166" s="155" t="s">
        <v>78</v>
      </c>
      <c r="D166" s="155" t="s">
        <v>555</v>
      </c>
      <c r="E166" s="153" t="s">
        <v>115</v>
      </c>
      <c r="F166" s="153" t="s">
        <v>676</v>
      </c>
      <c r="G166" s="153" t="s">
        <v>81</v>
      </c>
      <c r="H166" s="153">
        <v>35900000</v>
      </c>
      <c r="I166" s="156">
        <v>49747707</v>
      </c>
      <c r="J166" s="157" t="s">
        <v>81</v>
      </c>
      <c r="K166" s="153" t="s">
        <v>78</v>
      </c>
      <c r="L166" s="153" t="s">
        <v>81</v>
      </c>
      <c r="M166" s="153" t="s">
        <v>78</v>
      </c>
      <c r="N166" s="153" t="s">
        <v>81</v>
      </c>
      <c r="O166" s="153">
        <v>0</v>
      </c>
      <c r="P166" s="158" t="s">
        <v>78</v>
      </c>
      <c r="Q166" s="153">
        <v>0</v>
      </c>
      <c r="R166" s="155" t="s">
        <v>78</v>
      </c>
      <c r="S166" s="153">
        <v>0</v>
      </c>
      <c r="T166" s="153" t="s">
        <v>78</v>
      </c>
      <c r="U166" s="153">
        <v>0</v>
      </c>
      <c r="V166" s="159" t="s">
        <v>81</v>
      </c>
      <c r="W166" s="159" t="s">
        <v>78</v>
      </c>
      <c r="X166" s="159" t="s">
        <v>81</v>
      </c>
      <c r="Y166" s="159" t="s">
        <v>78</v>
      </c>
      <c r="Z166" s="159" t="s">
        <v>78</v>
      </c>
      <c r="AA166" s="159" t="s">
        <v>81</v>
      </c>
      <c r="AB166" s="159" t="s">
        <v>81</v>
      </c>
      <c r="AC166" s="159" t="s">
        <v>78</v>
      </c>
      <c r="AD166" s="159" t="s">
        <v>81</v>
      </c>
      <c r="AE166" s="159">
        <v>1</v>
      </c>
    </row>
    <row r="167" spans="1:31" s="149" customFormat="1" ht="25.05" customHeight="1" x14ac:dyDescent="0.3">
      <c r="A167" s="153" t="s">
        <v>1187</v>
      </c>
      <c r="B167" s="154" t="s">
        <v>1188</v>
      </c>
      <c r="C167" s="155" t="s">
        <v>78</v>
      </c>
      <c r="D167" s="155" t="s">
        <v>563</v>
      </c>
      <c r="E167" s="153" t="s">
        <v>228</v>
      </c>
      <c r="F167" s="153" t="s">
        <v>689</v>
      </c>
      <c r="G167" s="153" t="s">
        <v>81</v>
      </c>
      <c r="H167" s="153">
        <v>723227.91</v>
      </c>
      <c r="I167" s="156">
        <v>1002198.6117243</v>
      </c>
      <c r="J167" s="157" t="s">
        <v>75</v>
      </c>
      <c r="K167" s="153" t="s">
        <v>1189</v>
      </c>
      <c r="L167" s="153" t="s">
        <v>75</v>
      </c>
      <c r="M167" s="153" t="s">
        <v>1190</v>
      </c>
      <c r="N167" s="153" t="s">
        <v>75</v>
      </c>
      <c r="O167" s="153">
        <v>0</v>
      </c>
      <c r="P167" s="158" t="s">
        <v>78</v>
      </c>
      <c r="Q167" s="153">
        <v>999</v>
      </c>
      <c r="R167" s="155" t="s">
        <v>1191</v>
      </c>
      <c r="S167" s="153">
        <v>999</v>
      </c>
      <c r="T167" s="153" t="s">
        <v>1192</v>
      </c>
      <c r="U167" s="153">
        <v>2</v>
      </c>
      <c r="V167" s="159" t="s">
        <v>75</v>
      </c>
      <c r="W167" s="159" t="s">
        <v>1193</v>
      </c>
      <c r="X167" s="159" t="s">
        <v>75</v>
      </c>
      <c r="Y167" s="159" t="s">
        <v>795</v>
      </c>
      <c r="Z167" s="159" t="s">
        <v>796</v>
      </c>
      <c r="AA167" s="159" t="s">
        <v>81</v>
      </c>
      <c r="AB167" s="159" t="s">
        <v>81</v>
      </c>
      <c r="AC167" s="159" t="s">
        <v>78</v>
      </c>
      <c r="AD167" s="159" t="s">
        <v>75</v>
      </c>
      <c r="AE167" s="159">
        <v>1</v>
      </c>
    </row>
    <row r="168" spans="1:31" s="149" customFormat="1" ht="25.05" customHeight="1" x14ac:dyDescent="0.3">
      <c r="A168" s="153" t="s">
        <v>1194</v>
      </c>
      <c r="B168" s="154" t="s">
        <v>1195</v>
      </c>
      <c r="C168" s="155" t="s">
        <v>78</v>
      </c>
      <c r="D168" s="155" t="s">
        <v>552</v>
      </c>
      <c r="E168" s="153" t="s">
        <v>228</v>
      </c>
      <c r="F168" s="153" t="s">
        <v>689</v>
      </c>
      <c r="G168" s="153" t="s">
        <v>81</v>
      </c>
      <c r="H168" s="153">
        <v>723227.91</v>
      </c>
      <c r="I168" s="156">
        <v>1002198.6117243</v>
      </c>
      <c r="J168" s="157" t="s">
        <v>81</v>
      </c>
      <c r="K168" s="153" t="s">
        <v>78</v>
      </c>
      <c r="L168" s="153" t="s">
        <v>81</v>
      </c>
      <c r="M168" s="153" t="s">
        <v>78</v>
      </c>
      <c r="N168" s="153" t="s">
        <v>81</v>
      </c>
      <c r="O168" s="153">
        <v>0</v>
      </c>
      <c r="P168" s="158" t="s">
        <v>78</v>
      </c>
      <c r="Q168" s="153">
        <v>0</v>
      </c>
      <c r="R168" s="155" t="s">
        <v>78</v>
      </c>
      <c r="S168" s="153">
        <v>0</v>
      </c>
      <c r="T168" s="153" t="s">
        <v>78</v>
      </c>
      <c r="U168" s="153">
        <v>0</v>
      </c>
      <c r="V168" s="159" t="s">
        <v>81</v>
      </c>
      <c r="W168" s="159" t="s">
        <v>78</v>
      </c>
      <c r="X168" s="159" t="s">
        <v>81</v>
      </c>
      <c r="Y168" s="159" t="s">
        <v>78</v>
      </c>
      <c r="Z168" s="159" t="s">
        <v>78</v>
      </c>
      <c r="AA168" s="159" t="s">
        <v>81</v>
      </c>
      <c r="AB168" s="159" t="s">
        <v>81</v>
      </c>
      <c r="AC168" s="159" t="s">
        <v>78</v>
      </c>
      <c r="AD168" s="159" t="s">
        <v>81</v>
      </c>
      <c r="AE168" s="159">
        <v>1</v>
      </c>
    </row>
    <row r="169" spans="1:31" s="149" customFormat="1" ht="25.05" customHeight="1" x14ac:dyDescent="0.3">
      <c r="A169" s="153" t="s">
        <v>1196</v>
      </c>
      <c r="B169" s="154" t="s">
        <v>1197</v>
      </c>
      <c r="C169" s="155" t="s">
        <v>78</v>
      </c>
      <c r="D169" s="155" t="s">
        <v>560</v>
      </c>
      <c r="E169" s="153" t="s">
        <v>256</v>
      </c>
      <c r="F169" s="153" t="s">
        <v>679</v>
      </c>
      <c r="G169" s="153" t="s">
        <v>81</v>
      </c>
      <c r="H169" s="153">
        <v>3000000</v>
      </c>
      <c r="I169" s="156">
        <v>4157189.9999999995</v>
      </c>
      <c r="J169" s="157" t="s">
        <v>81</v>
      </c>
      <c r="K169" s="153" t="s">
        <v>78</v>
      </c>
      <c r="L169" s="153" t="s">
        <v>81</v>
      </c>
      <c r="M169" s="153" t="s">
        <v>78</v>
      </c>
      <c r="N169" s="153" t="s">
        <v>81</v>
      </c>
      <c r="O169" s="153">
        <v>0</v>
      </c>
      <c r="P169" s="158" t="s">
        <v>78</v>
      </c>
      <c r="Q169" s="153">
        <v>0</v>
      </c>
      <c r="R169" s="155" t="s">
        <v>78</v>
      </c>
      <c r="S169" s="153">
        <v>0</v>
      </c>
      <c r="T169" s="153" t="s">
        <v>78</v>
      </c>
      <c r="U169" s="153">
        <v>0</v>
      </c>
      <c r="V169" s="159" t="s">
        <v>81</v>
      </c>
      <c r="W169" s="159" t="s">
        <v>78</v>
      </c>
      <c r="X169" s="159" t="s">
        <v>81</v>
      </c>
      <c r="Y169" s="159" t="s">
        <v>78</v>
      </c>
      <c r="Z169" s="159" t="s">
        <v>78</v>
      </c>
      <c r="AA169" s="159" t="s">
        <v>81</v>
      </c>
      <c r="AB169" s="159" t="s">
        <v>81</v>
      </c>
      <c r="AC169" s="159" t="s">
        <v>78</v>
      </c>
      <c r="AD169" s="159" t="s">
        <v>81</v>
      </c>
      <c r="AE169" s="159">
        <v>1</v>
      </c>
    </row>
    <row r="170" spans="1:31" s="149" customFormat="1" ht="25.05" customHeight="1" x14ac:dyDescent="0.3">
      <c r="A170" s="153" t="s">
        <v>1198</v>
      </c>
      <c r="B170" s="154" t="s">
        <v>1199</v>
      </c>
      <c r="C170" s="155" t="s">
        <v>78</v>
      </c>
      <c r="D170" s="155" t="s">
        <v>554</v>
      </c>
      <c r="E170" s="153" t="s">
        <v>228</v>
      </c>
      <c r="F170" s="153" t="s">
        <v>689</v>
      </c>
      <c r="G170" s="153" t="s">
        <v>81</v>
      </c>
      <c r="H170" s="153">
        <v>507246</v>
      </c>
      <c r="I170" s="156">
        <v>702905.99957999995</v>
      </c>
      <c r="J170" s="157" t="s">
        <v>81</v>
      </c>
      <c r="K170" s="153" t="s">
        <v>78</v>
      </c>
      <c r="L170" s="153" t="s">
        <v>81</v>
      </c>
      <c r="M170" s="153" t="s">
        <v>78</v>
      </c>
      <c r="N170" s="153" t="s">
        <v>81</v>
      </c>
      <c r="O170" s="153">
        <v>0</v>
      </c>
      <c r="P170" s="158" t="s">
        <v>78</v>
      </c>
      <c r="Q170" s="153">
        <v>0</v>
      </c>
      <c r="R170" s="155" t="s">
        <v>78</v>
      </c>
      <c r="S170" s="153">
        <v>0</v>
      </c>
      <c r="T170" s="153" t="s">
        <v>78</v>
      </c>
      <c r="U170" s="153">
        <v>0</v>
      </c>
      <c r="V170" s="159" t="s">
        <v>81</v>
      </c>
      <c r="W170" s="159" t="s">
        <v>78</v>
      </c>
      <c r="X170" s="159" t="s">
        <v>81</v>
      </c>
      <c r="Y170" s="159" t="s">
        <v>78</v>
      </c>
      <c r="Z170" s="159" t="s">
        <v>78</v>
      </c>
      <c r="AA170" s="159" t="s">
        <v>81</v>
      </c>
      <c r="AB170" s="159" t="s">
        <v>81</v>
      </c>
      <c r="AC170" s="159" t="s">
        <v>78</v>
      </c>
      <c r="AD170" s="159" t="s">
        <v>81</v>
      </c>
      <c r="AE170" s="159">
        <v>1</v>
      </c>
    </row>
    <row r="171" spans="1:31" s="149" customFormat="1" ht="25.05" customHeight="1" x14ac:dyDescent="0.3">
      <c r="A171" s="153" t="s">
        <v>1200</v>
      </c>
      <c r="B171" s="154" t="s">
        <v>1201</v>
      </c>
      <c r="C171" s="155" t="s">
        <v>937</v>
      </c>
      <c r="D171" s="155" t="s">
        <v>1848</v>
      </c>
      <c r="E171" s="153" t="s">
        <v>101</v>
      </c>
      <c r="F171" s="153" t="s">
        <v>676</v>
      </c>
      <c r="G171" s="153" t="s">
        <v>81</v>
      </c>
      <c r="H171" s="153">
        <v>2608000</v>
      </c>
      <c r="I171" s="156">
        <v>3613983.84</v>
      </c>
      <c r="J171" s="157" t="s">
        <v>81</v>
      </c>
      <c r="K171" s="153" t="s">
        <v>78</v>
      </c>
      <c r="L171" s="153" t="s">
        <v>81</v>
      </c>
      <c r="M171" s="153" t="s">
        <v>78</v>
      </c>
      <c r="N171" s="153" t="s">
        <v>81</v>
      </c>
      <c r="O171" s="153">
        <v>0</v>
      </c>
      <c r="P171" s="158" t="s">
        <v>78</v>
      </c>
      <c r="Q171" s="153">
        <v>0</v>
      </c>
      <c r="R171" s="155" t="s">
        <v>78</v>
      </c>
      <c r="S171" s="153">
        <v>0</v>
      </c>
      <c r="T171" s="153" t="s">
        <v>78</v>
      </c>
      <c r="U171" s="153">
        <v>0</v>
      </c>
      <c r="V171" s="159" t="s">
        <v>81</v>
      </c>
      <c r="W171" s="159" t="s">
        <v>78</v>
      </c>
      <c r="X171" s="159" t="s">
        <v>81</v>
      </c>
      <c r="Y171" s="159" t="s">
        <v>78</v>
      </c>
      <c r="Z171" s="159" t="s">
        <v>78</v>
      </c>
      <c r="AA171" s="159" t="s">
        <v>81</v>
      </c>
      <c r="AB171" s="159" t="s">
        <v>81</v>
      </c>
      <c r="AC171" s="159" t="s">
        <v>78</v>
      </c>
      <c r="AD171" s="159" t="s">
        <v>81</v>
      </c>
      <c r="AE171" s="159">
        <v>1</v>
      </c>
    </row>
    <row r="172" spans="1:31" s="149" customFormat="1" ht="25.05" customHeight="1" x14ac:dyDescent="0.3">
      <c r="A172" s="153" t="s">
        <v>1202</v>
      </c>
      <c r="B172" s="154" t="s">
        <v>1203</v>
      </c>
      <c r="C172" s="155" t="s">
        <v>1204</v>
      </c>
      <c r="D172" s="155" t="s">
        <v>1848</v>
      </c>
      <c r="E172" s="153" t="s">
        <v>101</v>
      </c>
      <c r="F172" s="153" t="s">
        <v>676</v>
      </c>
      <c r="G172" s="153" t="s">
        <v>81</v>
      </c>
      <c r="H172" s="153">
        <v>2670000</v>
      </c>
      <c r="I172" s="156">
        <v>3699899.0999999996</v>
      </c>
      <c r="J172" s="157" t="s">
        <v>81</v>
      </c>
      <c r="K172" s="153" t="s">
        <v>78</v>
      </c>
      <c r="L172" s="153" t="s">
        <v>81</v>
      </c>
      <c r="M172" s="153" t="s">
        <v>78</v>
      </c>
      <c r="N172" s="153" t="s">
        <v>81</v>
      </c>
      <c r="O172" s="153">
        <v>0</v>
      </c>
      <c r="P172" s="158" t="s">
        <v>78</v>
      </c>
      <c r="Q172" s="153">
        <v>0</v>
      </c>
      <c r="R172" s="155" t="s">
        <v>78</v>
      </c>
      <c r="S172" s="153">
        <v>0</v>
      </c>
      <c r="T172" s="153" t="s">
        <v>78</v>
      </c>
      <c r="U172" s="153">
        <v>0</v>
      </c>
      <c r="V172" s="159" t="s">
        <v>81</v>
      </c>
      <c r="W172" s="159" t="s">
        <v>78</v>
      </c>
      <c r="X172" s="159" t="s">
        <v>81</v>
      </c>
      <c r="Y172" s="159" t="s">
        <v>78</v>
      </c>
      <c r="Z172" s="159" t="s">
        <v>78</v>
      </c>
      <c r="AA172" s="159" t="s">
        <v>81</v>
      </c>
      <c r="AB172" s="159" t="s">
        <v>81</v>
      </c>
      <c r="AC172" s="159" t="s">
        <v>78</v>
      </c>
      <c r="AD172" s="159" t="s">
        <v>81</v>
      </c>
      <c r="AE172" s="159">
        <v>1</v>
      </c>
    </row>
    <row r="173" spans="1:31" s="149" customFormat="1" ht="25.05" customHeight="1" x14ac:dyDescent="0.3">
      <c r="A173" s="153" t="s">
        <v>1205</v>
      </c>
      <c r="B173" s="154" t="s">
        <v>1206</v>
      </c>
      <c r="C173" s="155" t="s">
        <v>78</v>
      </c>
      <c r="D173" s="155" t="s">
        <v>554</v>
      </c>
      <c r="E173" s="153" t="s">
        <v>228</v>
      </c>
      <c r="F173" s="153" t="s">
        <v>689</v>
      </c>
      <c r="G173" s="153" t="s">
        <v>81</v>
      </c>
      <c r="H173" s="153">
        <v>715328</v>
      </c>
      <c r="I173" s="156">
        <v>991251.4694399999</v>
      </c>
      <c r="J173" s="157" t="s">
        <v>81</v>
      </c>
      <c r="K173" s="153" t="s">
        <v>78</v>
      </c>
      <c r="L173" s="153" t="s">
        <v>81</v>
      </c>
      <c r="M173" s="153" t="s">
        <v>78</v>
      </c>
      <c r="N173" s="153" t="s">
        <v>81</v>
      </c>
      <c r="O173" s="153">
        <v>0</v>
      </c>
      <c r="P173" s="158" t="s">
        <v>78</v>
      </c>
      <c r="Q173" s="153">
        <v>0</v>
      </c>
      <c r="R173" s="155" t="s">
        <v>78</v>
      </c>
      <c r="S173" s="160">
        <v>0</v>
      </c>
      <c r="T173" s="153" t="s">
        <v>78</v>
      </c>
      <c r="U173" s="153">
        <v>0</v>
      </c>
      <c r="V173" s="159" t="s">
        <v>81</v>
      </c>
      <c r="W173" s="159" t="s">
        <v>78</v>
      </c>
      <c r="X173" s="159" t="s">
        <v>81</v>
      </c>
      <c r="Y173" s="159" t="s">
        <v>78</v>
      </c>
      <c r="Z173" s="159" t="s">
        <v>78</v>
      </c>
      <c r="AA173" s="159" t="s">
        <v>81</v>
      </c>
      <c r="AB173" s="159" t="s">
        <v>81</v>
      </c>
      <c r="AC173" s="159" t="s">
        <v>78</v>
      </c>
      <c r="AD173" s="159" t="s">
        <v>81</v>
      </c>
      <c r="AE173" s="159">
        <v>1</v>
      </c>
    </row>
    <row r="174" spans="1:31" s="149" customFormat="1" ht="25.05" customHeight="1" x14ac:dyDescent="0.3">
      <c r="A174" s="153" t="s">
        <v>1207</v>
      </c>
      <c r="B174" s="154" t="s">
        <v>1208</v>
      </c>
      <c r="C174" s="155" t="s">
        <v>78</v>
      </c>
      <c r="D174" s="155" t="s">
        <v>544</v>
      </c>
      <c r="E174" s="153" t="s">
        <v>101</v>
      </c>
      <c r="F174" s="153" t="s">
        <v>676</v>
      </c>
      <c r="G174" s="153" t="s">
        <v>81</v>
      </c>
      <c r="H174" s="153">
        <v>1000000</v>
      </c>
      <c r="I174" s="156">
        <v>1385730</v>
      </c>
      <c r="J174" s="157" t="s">
        <v>81</v>
      </c>
      <c r="K174" s="153" t="s">
        <v>78</v>
      </c>
      <c r="L174" s="153" t="s">
        <v>81</v>
      </c>
      <c r="M174" s="153" t="s">
        <v>78</v>
      </c>
      <c r="N174" s="153" t="s">
        <v>81</v>
      </c>
      <c r="O174" s="153">
        <v>0</v>
      </c>
      <c r="P174" s="158" t="s">
        <v>78</v>
      </c>
      <c r="Q174" s="153">
        <v>0</v>
      </c>
      <c r="R174" s="155" t="s">
        <v>78</v>
      </c>
      <c r="S174" s="153">
        <v>0</v>
      </c>
      <c r="T174" s="153" t="s">
        <v>78</v>
      </c>
      <c r="U174" s="153">
        <v>0</v>
      </c>
      <c r="V174" s="159" t="s">
        <v>81</v>
      </c>
      <c r="W174" s="159" t="s">
        <v>78</v>
      </c>
      <c r="X174" s="159" t="s">
        <v>81</v>
      </c>
      <c r="Y174" s="159" t="s">
        <v>78</v>
      </c>
      <c r="Z174" s="159" t="s">
        <v>78</v>
      </c>
      <c r="AA174" s="159" t="s">
        <v>81</v>
      </c>
      <c r="AB174" s="159" t="s">
        <v>81</v>
      </c>
      <c r="AC174" s="159" t="s">
        <v>78</v>
      </c>
      <c r="AD174" s="159" t="s">
        <v>81</v>
      </c>
      <c r="AE174" s="159">
        <v>1</v>
      </c>
    </row>
    <row r="175" spans="1:31" s="149" customFormat="1" ht="25.05" customHeight="1" x14ac:dyDescent="0.3">
      <c r="A175" s="153" t="s">
        <v>1209</v>
      </c>
      <c r="B175" s="154" t="s">
        <v>1210</v>
      </c>
      <c r="C175" s="155" t="s">
        <v>78</v>
      </c>
      <c r="D175" s="155" t="s">
        <v>563</v>
      </c>
      <c r="E175" s="153" t="s">
        <v>228</v>
      </c>
      <c r="F175" s="153" t="s">
        <v>689</v>
      </c>
      <c r="G175" s="153" t="s">
        <v>81</v>
      </c>
      <c r="H175" s="153">
        <v>43156393.990000002</v>
      </c>
      <c r="I175" s="156">
        <v>59803109.843762696</v>
      </c>
      <c r="J175" s="157" t="s">
        <v>81</v>
      </c>
      <c r="K175" s="153" t="s">
        <v>78</v>
      </c>
      <c r="L175" s="153" t="s">
        <v>81</v>
      </c>
      <c r="M175" s="153" t="s">
        <v>78</v>
      </c>
      <c r="N175" s="153" t="s">
        <v>81</v>
      </c>
      <c r="O175" s="153">
        <v>0</v>
      </c>
      <c r="P175" s="158" t="s">
        <v>78</v>
      </c>
      <c r="Q175" s="153">
        <v>0</v>
      </c>
      <c r="R175" s="155" t="s">
        <v>78</v>
      </c>
      <c r="S175" s="160">
        <v>0</v>
      </c>
      <c r="T175" s="153" t="s">
        <v>78</v>
      </c>
      <c r="U175" s="153">
        <v>0</v>
      </c>
      <c r="V175" s="159" t="s">
        <v>81</v>
      </c>
      <c r="W175" s="159" t="s">
        <v>78</v>
      </c>
      <c r="X175" s="159" t="s">
        <v>81</v>
      </c>
      <c r="Y175" s="159" t="s">
        <v>78</v>
      </c>
      <c r="Z175" s="159" t="s">
        <v>78</v>
      </c>
      <c r="AA175" s="159" t="s">
        <v>81</v>
      </c>
      <c r="AB175" s="159" t="s">
        <v>81</v>
      </c>
      <c r="AC175" s="159" t="s">
        <v>78</v>
      </c>
      <c r="AD175" s="159" t="s">
        <v>81</v>
      </c>
      <c r="AE175" s="159">
        <v>1</v>
      </c>
    </row>
    <row r="176" spans="1:31" s="149" customFormat="1" ht="25.05" customHeight="1" x14ac:dyDescent="0.3">
      <c r="A176" s="153" t="s">
        <v>1211</v>
      </c>
      <c r="B176" s="154" t="s">
        <v>1212</v>
      </c>
      <c r="C176" s="155" t="s">
        <v>78</v>
      </c>
      <c r="D176" s="155" t="s">
        <v>546</v>
      </c>
      <c r="E176" s="153" t="s">
        <v>256</v>
      </c>
      <c r="F176" s="153" t="s">
        <v>679</v>
      </c>
      <c r="G176" s="153" t="s">
        <v>75</v>
      </c>
      <c r="H176" s="153">
        <v>0</v>
      </c>
      <c r="I176" s="156">
        <v>0</v>
      </c>
      <c r="J176" s="157" t="s">
        <v>81</v>
      </c>
      <c r="K176" s="153" t="s">
        <v>78</v>
      </c>
      <c r="L176" s="153" t="s">
        <v>81</v>
      </c>
      <c r="M176" s="153" t="s">
        <v>78</v>
      </c>
      <c r="N176" s="153" t="s">
        <v>81</v>
      </c>
      <c r="O176" s="153">
        <v>0</v>
      </c>
      <c r="P176" s="158" t="s">
        <v>78</v>
      </c>
      <c r="Q176" s="153">
        <v>0</v>
      </c>
      <c r="R176" s="155" t="s">
        <v>78</v>
      </c>
      <c r="S176" s="153">
        <v>0</v>
      </c>
      <c r="T176" s="153" t="s">
        <v>78</v>
      </c>
      <c r="U176" s="153">
        <v>0</v>
      </c>
      <c r="V176" s="159" t="s">
        <v>81</v>
      </c>
      <c r="W176" s="159" t="s">
        <v>78</v>
      </c>
      <c r="X176" s="159" t="s">
        <v>81</v>
      </c>
      <c r="Y176" s="159" t="s">
        <v>78</v>
      </c>
      <c r="Z176" s="159" t="s">
        <v>78</v>
      </c>
      <c r="AA176" s="159" t="s">
        <v>81</v>
      </c>
      <c r="AB176" s="159" t="s">
        <v>81</v>
      </c>
      <c r="AC176" s="159" t="s">
        <v>78</v>
      </c>
      <c r="AD176" s="159" t="s">
        <v>81</v>
      </c>
      <c r="AE176" s="159">
        <v>1</v>
      </c>
    </row>
    <row r="177" spans="1:31" s="149" customFormat="1" ht="25.05" customHeight="1" x14ac:dyDescent="0.3">
      <c r="A177" s="153" t="s">
        <v>1213</v>
      </c>
      <c r="B177" s="154" t="s">
        <v>1214</v>
      </c>
      <c r="C177" s="155" t="s">
        <v>78</v>
      </c>
      <c r="D177" s="155" t="s">
        <v>551</v>
      </c>
      <c r="E177" s="153" t="s">
        <v>228</v>
      </c>
      <c r="F177" s="153" t="s">
        <v>689</v>
      </c>
      <c r="G177" s="153" t="s">
        <v>81</v>
      </c>
      <c r="H177" s="153">
        <v>723227.91</v>
      </c>
      <c r="I177" s="156">
        <v>1002198.6117243</v>
      </c>
      <c r="J177" s="157" t="s">
        <v>75</v>
      </c>
      <c r="K177" s="153" t="s">
        <v>1215</v>
      </c>
      <c r="L177" s="153" t="s">
        <v>75</v>
      </c>
      <c r="M177" s="153" t="s">
        <v>1216</v>
      </c>
      <c r="N177" s="153" t="s">
        <v>75</v>
      </c>
      <c r="O177" s="153">
        <v>999</v>
      </c>
      <c r="P177" s="158" t="s">
        <v>1217</v>
      </c>
      <c r="Q177" s="153">
        <v>999</v>
      </c>
      <c r="R177" s="155" t="s">
        <v>1218</v>
      </c>
      <c r="S177" s="160">
        <v>0</v>
      </c>
      <c r="T177" s="153" t="s">
        <v>78</v>
      </c>
      <c r="U177" s="153">
        <v>2</v>
      </c>
      <c r="V177" s="159" t="s">
        <v>75</v>
      </c>
      <c r="W177" s="159" t="s">
        <v>1219</v>
      </c>
      <c r="X177" s="159" t="s">
        <v>75</v>
      </c>
      <c r="Y177" s="159" t="s">
        <v>795</v>
      </c>
      <c r="Z177" s="159" t="s">
        <v>160</v>
      </c>
      <c r="AA177" s="159" t="s">
        <v>81</v>
      </c>
      <c r="AB177" s="159" t="s">
        <v>81</v>
      </c>
      <c r="AC177" s="159" t="s">
        <v>78</v>
      </c>
      <c r="AD177" s="159" t="s">
        <v>75</v>
      </c>
      <c r="AE177" s="159">
        <v>1</v>
      </c>
    </row>
    <row r="178" spans="1:31" s="149" customFormat="1" ht="25.05" customHeight="1" x14ac:dyDescent="0.3">
      <c r="A178" s="153" t="s">
        <v>1220</v>
      </c>
      <c r="B178" s="154" t="s">
        <v>1221</v>
      </c>
      <c r="C178" s="155" t="s">
        <v>78</v>
      </c>
      <c r="D178" s="155" t="s">
        <v>539</v>
      </c>
      <c r="E178" s="153" t="s">
        <v>228</v>
      </c>
      <c r="F178" s="153" t="s">
        <v>676</v>
      </c>
      <c r="G178" s="153" t="s">
        <v>81</v>
      </c>
      <c r="H178" s="153">
        <v>6000000</v>
      </c>
      <c r="I178" s="156">
        <v>8314379.9999999991</v>
      </c>
      <c r="J178" s="157" t="s">
        <v>81</v>
      </c>
      <c r="K178" s="153" t="s">
        <v>78</v>
      </c>
      <c r="L178" s="153" t="s">
        <v>81</v>
      </c>
      <c r="M178" s="153" t="s">
        <v>78</v>
      </c>
      <c r="N178" s="153" t="s">
        <v>81</v>
      </c>
      <c r="O178" s="153">
        <v>0</v>
      </c>
      <c r="P178" s="158" t="s">
        <v>78</v>
      </c>
      <c r="Q178" s="153">
        <v>0</v>
      </c>
      <c r="R178" s="155" t="s">
        <v>78</v>
      </c>
      <c r="S178" s="153">
        <v>0</v>
      </c>
      <c r="T178" s="153" t="s">
        <v>78</v>
      </c>
      <c r="U178" s="153">
        <v>0</v>
      </c>
      <c r="V178" s="159" t="s">
        <v>81</v>
      </c>
      <c r="W178" s="159" t="s">
        <v>78</v>
      </c>
      <c r="X178" s="159" t="s">
        <v>81</v>
      </c>
      <c r="Y178" s="159" t="s">
        <v>78</v>
      </c>
      <c r="Z178" s="159" t="s">
        <v>78</v>
      </c>
      <c r="AA178" s="159" t="s">
        <v>81</v>
      </c>
      <c r="AB178" s="159" t="s">
        <v>81</v>
      </c>
      <c r="AC178" s="159" t="s">
        <v>78</v>
      </c>
      <c r="AD178" s="159" t="s">
        <v>81</v>
      </c>
      <c r="AE178" s="159">
        <v>1</v>
      </c>
    </row>
    <row r="179" spans="1:31" s="149" customFormat="1" ht="25.05" customHeight="1" x14ac:dyDescent="0.3">
      <c r="A179" s="153" t="s">
        <v>1222</v>
      </c>
      <c r="B179" s="154" t="s">
        <v>1223</v>
      </c>
      <c r="C179" s="155" t="s">
        <v>78</v>
      </c>
      <c r="D179" s="155" t="s">
        <v>569</v>
      </c>
      <c r="E179" s="153" t="s">
        <v>228</v>
      </c>
      <c r="F179" s="153" t="s">
        <v>689</v>
      </c>
      <c r="G179" s="153" t="s">
        <v>81</v>
      </c>
      <c r="H179" s="153">
        <v>720000</v>
      </c>
      <c r="I179" s="156">
        <v>997725.6</v>
      </c>
      <c r="J179" s="157" t="s">
        <v>81</v>
      </c>
      <c r="K179" s="153" t="s">
        <v>78</v>
      </c>
      <c r="L179" s="153" t="s">
        <v>81</v>
      </c>
      <c r="M179" s="153" t="s">
        <v>78</v>
      </c>
      <c r="N179" s="153" t="s">
        <v>81</v>
      </c>
      <c r="O179" s="153">
        <v>0</v>
      </c>
      <c r="P179" s="158" t="s">
        <v>78</v>
      </c>
      <c r="Q179" s="153">
        <v>0</v>
      </c>
      <c r="R179" s="155" t="s">
        <v>78</v>
      </c>
      <c r="S179" s="153">
        <v>0</v>
      </c>
      <c r="T179" s="153" t="s">
        <v>78</v>
      </c>
      <c r="U179" s="153">
        <v>0</v>
      </c>
      <c r="V179" s="159" t="s">
        <v>81</v>
      </c>
      <c r="W179" s="159" t="s">
        <v>78</v>
      </c>
      <c r="X179" s="159" t="s">
        <v>81</v>
      </c>
      <c r="Y179" s="159" t="s">
        <v>78</v>
      </c>
      <c r="Z179" s="159" t="s">
        <v>78</v>
      </c>
      <c r="AA179" s="159" t="s">
        <v>81</v>
      </c>
      <c r="AB179" s="159" t="s">
        <v>81</v>
      </c>
      <c r="AC179" s="159" t="s">
        <v>78</v>
      </c>
      <c r="AD179" s="159" t="s">
        <v>81</v>
      </c>
      <c r="AE179" s="159">
        <v>1</v>
      </c>
    </row>
    <row r="180" spans="1:31" s="149" customFormat="1" ht="25.05" customHeight="1" x14ac:dyDescent="0.3">
      <c r="A180" s="153" t="s">
        <v>1224</v>
      </c>
      <c r="B180" s="154" t="s">
        <v>1225</v>
      </c>
      <c r="C180" s="155" t="s">
        <v>78</v>
      </c>
      <c r="D180" s="155" t="s">
        <v>567</v>
      </c>
      <c r="E180" s="153" t="s">
        <v>101</v>
      </c>
      <c r="F180" s="153" t="s">
        <v>679</v>
      </c>
      <c r="G180" s="153" t="s">
        <v>75</v>
      </c>
      <c r="H180" s="153">
        <v>0</v>
      </c>
      <c r="I180" s="156">
        <v>0</v>
      </c>
      <c r="J180" s="157" t="s">
        <v>81</v>
      </c>
      <c r="K180" s="153" t="s">
        <v>78</v>
      </c>
      <c r="L180" s="153" t="s">
        <v>81</v>
      </c>
      <c r="M180" s="153" t="s">
        <v>78</v>
      </c>
      <c r="N180" s="153" t="s">
        <v>81</v>
      </c>
      <c r="O180" s="153">
        <v>0</v>
      </c>
      <c r="P180" s="158" t="s">
        <v>78</v>
      </c>
      <c r="Q180" s="153">
        <v>0</v>
      </c>
      <c r="R180" s="155" t="s">
        <v>78</v>
      </c>
      <c r="S180" s="153">
        <v>0</v>
      </c>
      <c r="T180" s="153" t="s">
        <v>78</v>
      </c>
      <c r="U180" s="153">
        <v>0</v>
      </c>
      <c r="V180" s="159" t="s">
        <v>81</v>
      </c>
      <c r="W180" s="159" t="s">
        <v>78</v>
      </c>
      <c r="X180" s="159" t="s">
        <v>81</v>
      </c>
      <c r="Y180" s="159" t="s">
        <v>78</v>
      </c>
      <c r="Z180" s="159" t="s">
        <v>78</v>
      </c>
      <c r="AA180" s="159" t="s">
        <v>81</v>
      </c>
      <c r="AB180" s="159" t="s">
        <v>81</v>
      </c>
      <c r="AC180" s="159" t="s">
        <v>78</v>
      </c>
      <c r="AD180" s="159" t="s">
        <v>81</v>
      </c>
      <c r="AE180" s="159">
        <v>1</v>
      </c>
    </row>
    <row r="181" spans="1:31" s="149" customFormat="1" ht="25.05" customHeight="1" x14ac:dyDescent="0.3">
      <c r="A181" s="153" t="s">
        <v>1226</v>
      </c>
      <c r="B181" s="154" t="s">
        <v>1227</v>
      </c>
      <c r="C181" s="155" t="s">
        <v>1228</v>
      </c>
      <c r="D181" s="155" t="s">
        <v>1848</v>
      </c>
      <c r="E181" s="153" t="s">
        <v>101</v>
      </c>
      <c r="F181" s="153" t="s">
        <v>676</v>
      </c>
      <c r="G181" s="153" t="s">
        <v>81</v>
      </c>
      <c r="H181" s="153">
        <v>16000000</v>
      </c>
      <c r="I181" s="156">
        <v>22171680</v>
      </c>
      <c r="J181" s="157" t="s">
        <v>81</v>
      </c>
      <c r="K181" s="153" t="s">
        <v>78</v>
      </c>
      <c r="L181" s="153" t="s">
        <v>81</v>
      </c>
      <c r="M181" s="153" t="s">
        <v>78</v>
      </c>
      <c r="N181" s="153" t="s">
        <v>81</v>
      </c>
      <c r="O181" s="153">
        <v>0</v>
      </c>
      <c r="P181" s="158" t="s">
        <v>78</v>
      </c>
      <c r="Q181" s="153">
        <v>0</v>
      </c>
      <c r="R181" s="155" t="s">
        <v>78</v>
      </c>
      <c r="S181" s="153">
        <v>0</v>
      </c>
      <c r="T181" s="153" t="s">
        <v>78</v>
      </c>
      <c r="U181" s="153">
        <v>0</v>
      </c>
      <c r="V181" s="159" t="s">
        <v>81</v>
      </c>
      <c r="W181" s="159" t="s">
        <v>78</v>
      </c>
      <c r="X181" s="159" t="s">
        <v>81</v>
      </c>
      <c r="Y181" s="159" t="s">
        <v>78</v>
      </c>
      <c r="Z181" s="159" t="s">
        <v>78</v>
      </c>
      <c r="AA181" s="159" t="s">
        <v>81</v>
      </c>
      <c r="AB181" s="159" t="s">
        <v>81</v>
      </c>
      <c r="AC181" s="159" t="s">
        <v>78</v>
      </c>
      <c r="AD181" s="159" t="s">
        <v>81</v>
      </c>
      <c r="AE181" s="159">
        <v>1</v>
      </c>
    </row>
    <row r="182" spans="1:31" s="149" customFormat="1" ht="25.05" customHeight="1" x14ac:dyDescent="0.3">
      <c r="A182" s="153" t="s">
        <v>1229</v>
      </c>
      <c r="B182" s="154" t="s">
        <v>1230</v>
      </c>
      <c r="C182" s="155" t="s">
        <v>78</v>
      </c>
      <c r="D182" s="155" t="s">
        <v>568</v>
      </c>
      <c r="E182" s="153" t="s">
        <v>466</v>
      </c>
      <c r="F182" s="153" t="s">
        <v>689</v>
      </c>
      <c r="G182" s="153" t="s">
        <v>81</v>
      </c>
      <c r="H182" s="153">
        <v>205950</v>
      </c>
      <c r="I182" s="156">
        <v>285391.09349999996</v>
      </c>
      <c r="J182" s="157" t="s">
        <v>81</v>
      </c>
      <c r="K182" s="153" t="s">
        <v>78</v>
      </c>
      <c r="L182" s="153" t="s">
        <v>81</v>
      </c>
      <c r="M182" s="153" t="s">
        <v>78</v>
      </c>
      <c r="N182" s="153" t="s">
        <v>81</v>
      </c>
      <c r="O182" s="153">
        <v>0</v>
      </c>
      <c r="P182" s="158" t="s">
        <v>78</v>
      </c>
      <c r="Q182" s="153">
        <v>0</v>
      </c>
      <c r="R182" s="155" t="s">
        <v>78</v>
      </c>
      <c r="S182" s="153">
        <v>0</v>
      </c>
      <c r="T182" s="153" t="s">
        <v>78</v>
      </c>
      <c r="U182" s="153">
        <v>0</v>
      </c>
      <c r="V182" s="159" t="s">
        <v>81</v>
      </c>
      <c r="W182" s="159" t="s">
        <v>78</v>
      </c>
      <c r="X182" s="159" t="s">
        <v>81</v>
      </c>
      <c r="Y182" s="159" t="s">
        <v>78</v>
      </c>
      <c r="Z182" s="159" t="s">
        <v>78</v>
      </c>
      <c r="AA182" s="159" t="s">
        <v>81</v>
      </c>
      <c r="AB182" s="159" t="s">
        <v>81</v>
      </c>
      <c r="AC182" s="159" t="s">
        <v>78</v>
      </c>
      <c r="AD182" s="159" t="s">
        <v>81</v>
      </c>
      <c r="AE182" s="159">
        <v>1</v>
      </c>
    </row>
    <row r="183" spans="1:31" s="149" customFormat="1" ht="25.05" customHeight="1" x14ac:dyDescent="0.3">
      <c r="A183" s="153" t="s">
        <v>1231</v>
      </c>
      <c r="B183" s="154" t="s">
        <v>1232</v>
      </c>
      <c r="C183" s="155" t="s">
        <v>78</v>
      </c>
      <c r="D183" s="155" t="s">
        <v>78</v>
      </c>
      <c r="E183" s="153" t="s">
        <v>466</v>
      </c>
      <c r="F183" s="153" t="s">
        <v>689</v>
      </c>
      <c r="G183" s="153" t="s">
        <v>81</v>
      </c>
      <c r="H183" s="153">
        <v>396985</v>
      </c>
      <c r="I183" s="156">
        <v>550114.02405000001</v>
      </c>
      <c r="J183" s="157" t="s">
        <v>81</v>
      </c>
      <c r="K183" s="153" t="s">
        <v>78</v>
      </c>
      <c r="L183" s="153" t="s">
        <v>81</v>
      </c>
      <c r="M183" s="153" t="s">
        <v>78</v>
      </c>
      <c r="N183" s="153" t="s">
        <v>81</v>
      </c>
      <c r="O183" s="153">
        <v>0</v>
      </c>
      <c r="P183" s="158" t="s">
        <v>78</v>
      </c>
      <c r="Q183" s="153">
        <v>0</v>
      </c>
      <c r="R183" s="155" t="s">
        <v>78</v>
      </c>
      <c r="S183" s="153">
        <v>0</v>
      </c>
      <c r="T183" s="153" t="s">
        <v>78</v>
      </c>
      <c r="U183" s="153">
        <v>0</v>
      </c>
      <c r="V183" s="159" t="s">
        <v>81</v>
      </c>
      <c r="W183" s="159" t="s">
        <v>78</v>
      </c>
      <c r="X183" s="159" t="s">
        <v>81</v>
      </c>
      <c r="Y183" s="159" t="s">
        <v>78</v>
      </c>
      <c r="Z183" s="159" t="s">
        <v>78</v>
      </c>
      <c r="AA183" s="159" t="s">
        <v>81</v>
      </c>
      <c r="AB183" s="159" t="s">
        <v>81</v>
      </c>
      <c r="AC183" s="159" t="s">
        <v>78</v>
      </c>
      <c r="AD183" s="159" t="s">
        <v>81</v>
      </c>
      <c r="AE183" s="159">
        <v>1</v>
      </c>
    </row>
    <row r="184" spans="1:31" s="149" customFormat="1" ht="25.05" customHeight="1" x14ac:dyDescent="0.3">
      <c r="A184" s="153" t="s">
        <v>1233</v>
      </c>
      <c r="B184" s="154" t="s">
        <v>1234</v>
      </c>
      <c r="C184" s="155" t="s">
        <v>78</v>
      </c>
      <c r="D184" s="155" t="s">
        <v>566</v>
      </c>
      <c r="E184" s="153" t="s">
        <v>101</v>
      </c>
      <c r="F184" s="153" t="s">
        <v>676</v>
      </c>
      <c r="G184" s="153" t="s">
        <v>81</v>
      </c>
      <c r="H184" s="153">
        <v>12000000</v>
      </c>
      <c r="I184" s="156">
        <v>16628759.999999998</v>
      </c>
      <c r="J184" s="157" t="s">
        <v>81</v>
      </c>
      <c r="K184" s="153" t="s">
        <v>78</v>
      </c>
      <c r="L184" s="153" t="s">
        <v>81</v>
      </c>
      <c r="M184" s="153" t="s">
        <v>78</v>
      </c>
      <c r="N184" s="153" t="s">
        <v>81</v>
      </c>
      <c r="O184" s="153">
        <v>0</v>
      </c>
      <c r="P184" s="158" t="s">
        <v>78</v>
      </c>
      <c r="Q184" s="153">
        <v>0</v>
      </c>
      <c r="R184" s="155" t="s">
        <v>78</v>
      </c>
      <c r="S184" s="153">
        <v>0</v>
      </c>
      <c r="T184" s="153" t="s">
        <v>78</v>
      </c>
      <c r="U184" s="153">
        <v>0</v>
      </c>
      <c r="V184" s="159" t="s">
        <v>81</v>
      </c>
      <c r="W184" s="159" t="s">
        <v>78</v>
      </c>
      <c r="X184" s="159" t="s">
        <v>81</v>
      </c>
      <c r="Y184" s="159" t="s">
        <v>78</v>
      </c>
      <c r="Z184" s="159" t="s">
        <v>78</v>
      </c>
      <c r="AA184" s="159" t="s">
        <v>81</v>
      </c>
      <c r="AB184" s="159" t="s">
        <v>81</v>
      </c>
      <c r="AC184" s="159" t="s">
        <v>78</v>
      </c>
      <c r="AD184" s="159" t="s">
        <v>81</v>
      </c>
      <c r="AE184" s="159">
        <v>1</v>
      </c>
    </row>
    <row r="185" spans="1:31" s="149" customFormat="1" ht="25.05" customHeight="1" x14ac:dyDescent="0.3">
      <c r="A185" s="153" t="s">
        <v>1235</v>
      </c>
      <c r="B185" s="154" t="s">
        <v>1236</v>
      </c>
      <c r="C185" s="155" t="s">
        <v>78</v>
      </c>
      <c r="D185" s="155" t="s">
        <v>567</v>
      </c>
      <c r="E185" s="153" t="s">
        <v>256</v>
      </c>
      <c r="F185" s="153" t="s">
        <v>676</v>
      </c>
      <c r="G185" s="153" t="s">
        <v>81</v>
      </c>
      <c r="H185" s="153">
        <v>65800000</v>
      </c>
      <c r="I185" s="156">
        <v>91181034</v>
      </c>
      <c r="J185" s="157" t="s">
        <v>75</v>
      </c>
      <c r="K185" s="153" t="s">
        <v>1237</v>
      </c>
      <c r="L185" s="153" t="s">
        <v>81</v>
      </c>
      <c r="M185" s="153" t="s">
        <v>78</v>
      </c>
      <c r="N185" s="153" t="s">
        <v>75</v>
      </c>
      <c r="O185" s="153">
        <v>999</v>
      </c>
      <c r="P185" s="158" t="s">
        <v>1238</v>
      </c>
      <c r="Q185" s="153">
        <v>0</v>
      </c>
      <c r="R185" s="155" t="s">
        <v>78</v>
      </c>
      <c r="S185" s="153">
        <v>0</v>
      </c>
      <c r="T185" s="153" t="s">
        <v>78</v>
      </c>
      <c r="U185" s="153">
        <v>1</v>
      </c>
      <c r="V185" s="159" t="s">
        <v>75</v>
      </c>
      <c r="W185" s="159" t="s">
        <v>1239</v>
      </c>
      <c r="X185" s="159" t="s">
        <v>75</v>
      </c>
      <c r="Y185" s="159" t="s">
        <v>466</v>
      </c>
      <c r="Z185" s="159" t="s">
        <v>704</v>
      </c>
      <c r="AA185" s="159" t="s">
        <v>81</v>
      </c>
      <c r="AB185" s="159" t="s">
        <v>81</v>
      </c>
      <c r="AC185" s="159" t="s">
        <v>78</v>
      </c>
      <c r="AD185" s="159" t="s">
        <v>81</v>
      </c>
      <c r="AE185" s="159">
        <v>1</v>
      </c>
    </row>
    <row r="186" spans="1:31" s="149" customFormat="1" ht="25.05" customHeight="1" x14ac:dyDescent="0.3">
      <c r="A186" s="153" t="s">
        <v>1240</v>
      </c>
      <c r="B186" s="154" t="s">
        <v>1241</v>
      </c>
      <c r="C186" s="155" t="s">
        <v>78</v>
      </c>
      <c r="D186" s="155" t="s">
        <v>557</v>
      </c>
      <c r="E186" s="153" t="s">
        <v>115</v>
      </c>
      <c r="F186" s="153" t="s">
        <v>676</v>
      </c>
      <c r="G186" s="153" t="s">
        <v>81</v>
      </c>
      <c r="H186" s="153">
        <v>3200000</v>
      </c>
      <c r="I186" s="156">
        <v>4434336</v>
      </c>
      <c r="J186" s="157" t="s">
        <v>81</v>
      </c>
      <c r="K186" s="153" t="s">
        <v>78</v>
      </c>
      <c r="L186" s="153" t="s">
        <v>81</v>
      </c>
      <c r="M186" s="153" t="s">
        <v>78</v>
      </c>
      <c r="N186" s="153" t="s">
        <v>81</v>
      </c>
      <c r="O186" s="153">
        <v>0</v>
      </c>
      <c r="P186" s="158" t="s">
        <v>78</v>
      </c>
      <c r="Q186" s="153">
        <v>0</v>
      </c>
      <c r="R186" s="155" t="s">
        <v>78</v>
      </c>
      <c r="S186" s="153">
        <v>0</v>
      </c>
      <c r="T186" s="153" t="s">
        <v>78</v>
      </c>
      <c r="U186" s="153">
        <v>0</v>
      </c>
      <c r="V186" s="159" t="s">
        <v>81</v>
      </c>
      <c r="W186" s="159" t="s">
        <v>78</v>
      </c>
      <c r="X186" s="159" t="s">
        <v>81</v>
      </c>
      <c r="Y186" s="159" t="s">
        <v>78</v>
      </c>
      <c r="Z186" s="159" t="s">
        <v>78</v>
      </c>
      <c r="AA186" s="159" t="s">
        <v>81</v>
      </c>
      <c r="AB186" s="159" t="s">
        <v>81</v>
      </c>
      <c r="AC186" s="159" t="s">
        <v>78</v>
      </c>
      <c r="AD186" s="159" t="s">
        <v>81</v>
      </c>
      <c r="AE186" s="159">
        <v>1</v>
      </c>
    </row>
    <row r="187" spans="1:31" s="149" customFormat="1" ht="25.05" customHeight="1" x14ac:dyDescent="0.3">
      <c r="A187" s="153" t="s">
        <v>1243</v>
      </c>
      <c r="B187" s="154" t="s">
        <v>1244</v>
      </c>
      <c r="C187" s="155" t="s">
        <v>78</v>
      </c>
      <c r="D187" s="155" t="s">
        <v>534</v>
      </c>
      <c r="E187" s="153" t="s">
        <v>228</v>
      </c>
      <c r="F187" s="153" t="s">
        <v>689</v>
      </c>
      <c r="G187" s="153" t="s">
        <v>81</v>
      </c>
      <c r="H187" s="153">
        <v>400000</v>
      </c>
      <c r="I187" s="156">
        <v>554292</v>
      </c>
      <c r="J187" s="157" t="s">
        <v>81</v>
      </c>
      <c r="K187" s="153" t="s">
        <v>78</v>
      </c>
      <c r="L187" s="153" t="s">
        <v>81</v>
      </c>
      <c r="M187" s="153" t="s">
        <v>78</v>
      </c>
      <c r="N187" s="153" t="s">
        <v>81</v>
      </c>
      <c r="O187" s="153">
        <v>0</v>
      </c>
      <c r="P187" s="158" t="s">
        <v>78</v>
      </c>
      <c r="Q187" s="153">
        <v>0</v>
      </c>
      <c r="R187" s="155" t="s">
        <v>78</v>
      </c>
      <c r="S187" s="153">
        <v>0</v>
      </c>
      <c r="T187" s="153" t="s">
        <v>78</v>
      </c>
      <c r="U187" s="153">
        <v>0</v>
      </c>
      <c r="V187" s="159" t="s">
        <v>81</v>
      </c>
      <c r="W187" s="159" t="s">
        <v>78</v>
      </c>
      <c r="X187" s="159" t="s">
        <v>81</v>
      </c>
      <c r="Y187" s="159" t="s">
        <v>78</v>
      </c>
      <c r="Z187" s="159" t="s">
        <v>78</v>
      </c>
      <c r="AA187" s="159" t="s">
        <v>81</v>
      </c>
      <c r="AB187" s="159" t="s">
        <v>81</v>
      </c>
      <c r="AC187" s="159" t="s">
        <v>78</v>
      </c>
      <c r="AD187" s="159" t="s">
        <v>81</v>
      </c>
      <c r="AE187" s="159">
        <v>1</v>
      </c>
    </row>
    <row r="188" spans="1:31" s="149" customFormat="1" ht="25.05" customHeight="1" x14ac:dyDescent="0.3">
      <c r="A188" s="153" t="s">
        <v>1245</v>
      </c>
      <c r="B188" s="154" t="s">
        <v>1246</v>
      </c>
      <c r="C188" s="155" t="s">
        <v>78</v>
      </c>
      <c r="D188" s="155" t="s">
        <v>560</v>
      </c>
      <c r="E188" s="153" t="s">
        <v>115</v>
      </c>
      <c r="F188" s="153" t="s">
        <v>676</v>
      </c>
      <c r="G188" s="153" t="s">
        <v>81</v>
      </c>
      <c r="H188" s="153">
        <v>3000000</v>
      </c>
      <c r="I188" s="156">
        <v>4157189.9999999995</v>
      </c>
      <c r="J188" s="157" t="s">
        <v>81</v>
      </c>
      <c r="K188" s="153" t="s">
        <v>78</v>
      </c>
      <c r="L188" s="153" t="s">
        <v>81</v>
      </c>
      <c r="M188" s="153" t="s">
        <v>78</v>
      </c>
      <c r="N188" s="153" t="s">
        <v>81</v>
      </c>
      <c r="O188" s="153">
        <v>0</v>
      </c>
      <c r="P188" s="158" t="s">
        <v>78</v>
      </c>
      <c r="Q188" s="153">
        <v>0</v>
      </c>
      <c r="R188" s="155" t="s">
        <v>78</v>
      </c>
      <c r="S188" s="153">
        <v>0</v>
      </c>
      <c r="T188" s="153" t="s">
        <v>78</v>
      </c>
      <c r="U188" s="153">
        <v>0</v>
      </c>
      <c r="V188" s="159" t="s">
        <v>81</v>
      </c>
      <c r="W188" s="159" t="s">
        <v>78</v>
      </c>
      <c r="X188" s="159" t="s">
        <v>81</v>
      </c>
      <c r="Y188" s="159" t="s">
        <v>78</v>
      </c>
      <c r="Z188" s="159" t="s">
        <v>78</v>
      </c>
      <c r="AA188" s="159" t="s">
        <v>81</v>
      </c>
      <c r="AB188" s="159" t="s">
        <v>81</v>
      </c>
      <c r="AC188" s="159" t="s">
        <v>78</v>
      </c>
      <c r="AD188" s="159" t="s">
        <v>81</v>
      </c>
      <c r="AE188" s="159">
        <v>1</v>
      </c>
    </row>
    <row r="189" spans="1:31" s="149" customFormat="1" ht="25.05" customHeight="1" x14ac:dyDescent="0.3">
      <c r="A189" s="153" t="s">
        <v>1247</v>
      </c>
      <c r="B189" s="154" t="s">
        <v>1248</v>
      </c>
      <c r="C189" s="155" t="s">
        <v>78</v>
      </c>
      <c r="D189" s="155" t="s">
        <v>567</v>
      </c>
      <c r="E189" s="153" t="s">
        <v>228</v>
      </c>
      <c r="F189" s="153" t="s">
        <v>689</v>
      </c>
      <c r="G189" s="153" t="s">
        <v>81</v>
      </c>
      <c r="H189" s="153">
        <v>55471580.759999998</v>
      </c>
      <c r="I189" s="156">
        <v>76868633.606554791</v>
      </c>
      <c r="J189" s="157" t="s">
        <v>81</v>
      </c>
      <c r="K189" s="153" t="s">
        <v>78</v>
      </c>
      <c r="L189" s="153" t="s">
        <v>81</v>
      </c>
      <c r="M189" s="153" t="s">
        <v>78</v>
      </c>
      <c r="N189" s="153" t="s">
        <v>81</v>
      </c>
      <c r="O189" s="153">
        <v>0</v>
      </c>
      <c r="P189" s="158" t="s">
        <v>78</v>
      </c>
      <c r="Q189" s="153">
        <v>0</v>
      </c>
      <c r="R189" s="155" t="s">
        <v>78</v>
      </c>
      <c r="S189" s="153">
        <v>0</v>
      </c>
      <c r="T189" s="153" t="s">
        <v>78</v>
      </c>
      <c r="U189" s="153">
        <v>0</v>
      </c>
      <c r="V189" s="159" t="s">
        <v>81</v>
      </c>
      <c r="W189" s="159" t="s">
        <v>78</v>
      </c>
      <c r="X189" s="159" t="s">
        <v>81</v>
      </c>
      <c r="Y189" s="159" t="s">
        <v>78</v>
      </c>
      <c r="Z189" s="159" t="s">
        <v>78</v>
      </c>
      <c r="AA189" s="159" t="s">
        <v>81</v>
      </c>
      <c r="AB189" s="159" t="s">
        <v>81</v>
      </c>
      <c r="AC189" s="159" t="s">
        <v>78</v>
      </c>
      <c r="AD189" s="159" t="s">
        <v>81</v>
      </c>
      <c r="AE189" s="159">
        <v>1</v>
      </c>
    </row>
    <row r="190" spans="1:31" s="149" customFormat="1" ht="25.05" customHeight="1" x14ac:dyDescent="0.3">
      <c r="A190" s="153" t="s">
        <v>1249</v>
      </c>
      <c r="B190" s="154" t="s">
        <v>1250</v>
      </c>
      <c r="C190" s="155" t="s">
        <v>78</v>
      </c>
      <c r="D190" s="155" t="s">
        <v>536</v>
      </c>
      <c r="E190" s="153" t="s">
        <v>256</v>
      </c>
      <c r="F190" s="153" t="s">
        <v>689</v>
      </c>
      <c r="G190" s="153" t="s">
        <v>81</v>
      </c>
      <c r="H190" s="153">
        <v>55044876.289999999</v>
      </c>
      <c r="I190" s="156">
        <v>76277336.421341687</v>
      </c>
      <c r="J190" s="157" t="s">
        <v>81</v>
      </c>
      <c r="K190" s="153" t="s">
        <v>78</v>
      </c>
      <c r="L190" s="153" t="s">
        <v>81</v>
      </c>
      <c r="M190" s="153" t="s">
        <v>78</v>
      </c>
      <c r="N190" s="153" t="s">
        <v>81</v>
      </c>
      <c r="O190" s="153">
        <v>0</v>
      </c>
      <c r="P190" s="158" t="s">
        <v>78</v>
      </c>
      <c r="Q190" s="153">
        <v>0</v>
      </c>
      <c r="R190" s="155" t="s">
        <v>78</v>
      </c>
      <c r="S190" s="153">
        <v>0</v>
      </c>
      <c r="T190" s="153" t="s">
        <v>78</v>
      </c>
      <c r="U190" s="153">
        <v>0</v>
      </c>
      <c r="V190" s="159" t="s">
        <v>81</v>
      </c>
      <c r="W190" s="159" t="s">
        <v>78</v>
      </c>
      <c r="X190" s="159" t="s">
        <v>81</v>
      </c>
      <c r="Y190" s="159" t="s">
        <v>78</v>
      </c>
      <c r="Z190" s="159" t="s">
        <v>78</v>
      </c>
      <c r="AA190" s="159" t="s">
        <v>81</v>
      </c>
      <c r="AB190" s="159" t="s">
        <v>81</v>
      </c>
      <c r="AC190" s="159" t="s">
        <v>78</v>
      </c>
      <c r="AD190" s="159" t="s">
        <v>81</v>
      </c>
      <c r="AE190" s="159">
        <v>1</v>
      </c>
    </row>
    <row r="191" spans="1:31" s="149" customFormat="1" ht="25.05" customHeight="1" x14ac:dyDescent="0.3">
      <c r="A191" s="153" t="s">
        <v>1251</v>
      </c>
      <c r="B191" s="154" t="s">
        <v>1252</v>
      </c>
      <c r="C191" s="155" t="s">
        <v>78</v>
      </c>
      <c r="D191" s="155" t="s">
        <v>553</v>
      </c>
      <c r="E191" s="153" t="s">
        <v>101</v>
      </c>
      <c r="F191" s="153" t="s">
        <v>689</v>
      </c>
      <c r="G191" s="153" t="s">
        <v>81</v>
      </c>
      <c r="H191" s="153">
        <v>10000000</v>
      </c>
      <c r="I191" s="156">
        <v>13857299.999999998</v>
      </c>
      <c r="J191" s="157" t="s">
        <v>81</v>
      </c>
      <c r="K191" s="153" t="s">
        <v>78</v>
      </c>
      <c r="L191" s="153" t="s">
        <v>81</v>
      </c>
      <c r="M191" s="153" t="s">
        <v>78</v>
      </c>
      <c r="N191" s="153" t="s">
        <v>81</v>
      </c>
      <c r="O191" s="153">
        <v>0</v>
      </c>
      <c r="P191" s="158" t="s">
        <v>78</v>
      </c>
      <c r="Q191" s="153">
        <v>0</v>
      </c>
      <c r="R191" s="155" t="s">
        <v>78</v>
      </c>
      <c r="S191" s="153">
        <v>0</v>
      </c>
      <c r="T191" s="153" t="s">
        <v>78</v>
      </c>
      <c r="U191" s="153">
        <v>0</v>
      </c>
      <c r="V191" s="159" t="s">
        <v>81</v>
      </c>
      <c r="W191" s="159" t="s">
        <v>78</v>
      </c>
      <c r="X191" s="159" t="s">
        <v>81</v>
      </c>
      <c r="Y191" s="159" t="s">
        <v>78</v>
      </c>
      <c r="Z191" s="159" t="s">
        <v>78</v>
      </c>
      <c r="AA191" s="159" t="s">
        <v>81</v>
      </c>
      <c r="AB191" s="159" t="s">
        <v>81</v>
      </c>
      <c r="AC191" s="159" t="s">
        <v>78</v>
      </c>
      <c r="AD191" s="159" t="s">
        <v>81</v>
      </c>
      <c r="AE191" s="159">
        <v>1</v>
      </c>
    </row>
    <row r="192" spans="1:31" s="149" customFormat="1" ht="25.05" customHeight="1" x14ac:dyDescent="0.3">
      <c r="A192" s="153" t="s">
        <v>1253</v>
      </c>
      <c r="B192" s="154" t="s">
        <v>1254</v>
      </c>
      <c r="C192" s="155" t="s">
        <v>78</v>
      </c>
      <c r="D192" s="155" t="s">
        <v>553</v>
      </c>
      <c r="E192" s="153" t="s">
        <v>228</v>
      </c>
      <c r="F192" s="153" t="s">
        <v>689</v>
      </c>
      <c r="G192" s="153" t="s">
        <v>81</v>
      </c>
      <c r="H192" s="153">
        <v>723227.91</v>
      </c>
      <c r="I192" s="156">
        <v>1002198.6117243</v>
      </c>
      <c r="J192" s="157" t="s">
        <v>75</v>
      </c>
      <c r="K192" s="153" t="s">
        <v>1255</v>
      </c>
      <c r="L192" s="153" t="s">
        <v>81</v>
      </c>
      <c r="M192" s="153" t="s">
        <v>78</v>
      </c>
      <c r="N192" s="153" t="s">
        <v>75</v>
      </c>
      <c r="O192" s="153">
        <v>999</v>
      </c>
      <c r="P192" s="158" t="s">
        <v>1256</v>
      </c>
      <c r="Q192" s="153">
        <v>999</v>
      </c>
      <c r="R192" s="155" t="s">
        <v>1257</v>
      </c>
      <c r="S192" s="153">
        <v>999</v>
      </c>
      <c r="T192" s="153" t="s">
        <v>1258</v>
      </c>
      <c r="U192" s="153">
        <v>3</v>
      </c>
      <c r="V192" s="159" t="s">
        <v>81</v>
      </c>
      <c r="W192" s="159" t="s">
        <v>78</v>
      </c>
      <c r="X192" s="159" t="s">
        <v>75</v>
      </c>
      <c r="Y192" s="159" t="s">
        <v>256</v>
      </c>
      <c r="Z192" s="159" t="s">
        <v>78</v>
      </c>
      <c r="AA192" s="159" t="s">
        <v>81</v>
      </c>
      <c r="AB192" s="159" t="s">
        <v>81</v>
      </c>
      <c r="AC192" s="159" t="s">
        <v>78</v>
      </c>
      <c r="AD192" s="159" t="s">
        <v>81</v>
      </c>
      <c r="AE192" s="159">
        <v>1</v>
      </c>
    </row>
    <row r="193" spans="1:31" s="149" customFormat="1" ht="25.05" customHeight="1" x14ac:dyDescent="0.3">
      <c r="A193" s="153" t="s">
        <v>1259</v>
      </c>
      <c r="B193" s="154" t="s">
        <v>1260</v>
      </c>
      <c r="C193" s="155" t="s">
        <v>78</v>
      </c>
      <c r="D193" s="155" t="s">
        <v>562</v>
      </c>
      <c r="E193" s="153" t="s">
        <v>228</v>
      </c>
      <c r="F193" s="153" t="s">
        <v>689</v>
      </c>
      <c r="G193" s="153" t="s">
        <v>81</v>
      </c>
      <c r="H193" s="153">
        <v>11500000</v>
      </c>
      <c r="I193" s="156">
        <v>15935894.999999998</v>
      </c>
      <c r="J193" s="157" t="s">
        <v>75</v>
      </c>
      <c r="K193" s="153" t="s">
        <v>1261</v>
      </c>
      <c r="L193" s="153" t="s">
        <v>81</v>
      </c>
      <c r="M193" s="153" t="s">
        <v>78</v>
      </c>
      <c r="N193" s="153" t="s">
        <v>75</v>
      </c>
      <c r="O193" s="153">
        <v>0</v>
      </c>
      <c r="P193" s="158" t="s">
        <v>78</v>
      </c>
      <c r="Q193" s="153">
        <v>999</v>
      </c>
      <c r="R193" s="155" t="s">
        <v>1262</v>
      </c>
      <c r="S193" s="153">
        <v>0</v>
      </c>
      <c r="T193" s="153" t="s">
        <v>78</v>
      </c>
      <c r="U193" s="153">
        <v>1</v>
      </c>
      <c r="V193" s="159" t="s">
        <v>81</v>
      </c>
      <c r="W193" s="159" t="s">
        <v>78</v>
      </c>
      <c r="X193" s="159" t="s">
        <v>81</v>
      </c>
      <c r="Y193" s="159" t="s">
        <v>78</v>
      </c>
      <c r="Z193" s="159" t="s">
        <v>78</v>
      </c>
      <c r="AA193" s="159" t="s">
        <v>81</v>
      </c>
      <c r="AB193" s="159" t="s">
        <v>81</v>
      </c>
      <c r="AC193" s="159" t="s">
        <v>78</v>
      </c>
      <c r="AD193" s="159" t="s">
        <v>81</v>
      </c>
      <c r="AE193" s="159">
        <v>1</v>
      </c>
    </row>
    <row r="194" spans="1:31" s="149" customFormat="1" ht="25.05" customHeight="1" x14ac:dyDescent="0.3">
      <c r="A194" s="153" t="s">
        <v>1263</v>
      </c>
      <c r="B194" s="154" t="s">
        <v>1264</v>
      </c>
      <c r="C194" s="155" t="s">
        <v>78</v>
      </c>
      <c r="D194" s="155" t="s">
        <v>559</v>
      </c>
      <c r="E194" s="153" t="s">
        <v>228</v>
      </c>
      <c r="F194" s="153" t="s">
        <v>689</v>
      </c>
      <c r="G194" s="153" t="s">
        <v>81</v>
      </c>
      <c r="H194" s="153">
        <v>12877296.59</v>
      </c>
      <c r="I194" s="156">
        <v>17844456.203660697</v>
      </c>
      <c r="J194" s="157" t="s">
        <v>75</v>
      </c>
      <c r="K194" s="153" t="s">
        <v>1265</v>
      </c>
      <c r="L194" s="153" t="s">
        <v>81</v>
      </c>
      <c r="M194" s="153" t="s">
        <v>78</v>
      </c>
      <c r="N194" s="153" t="s">
        <v>75</v>
      </c>
      <c r="O194" s="153">
        <v>999</v>
      </c>
      <c r="P194" s="158" t="s">
        <v>1266</v>
      </c>
      <c r="Q194" s="153">
        <v>999</v>
      </c>
      <c r="R194" s="155" t="s">
        <v>1267</v>
      </c>
      <c r="S194" s="153">
        <v>0</v>
      </c>
      <c r="T194" s="153" t="s">
        <v>78</v>
      </c>
      <c r="U194" s="153">
        <v>2</v>
      </c>
      <c r="V194" s="159" t="s">
        <v>81</v>
      </c>
      <c r="W194" s="159" t="s">
        <v>78</v>
      </c>
      <c r="X194" s="159" t="s">
        <v>75</v>
      </c>
      <c r="Y194" s="159" t="s">
        <v>228</v>
      </c>
      <c r="Z194" s="159" t="s">
        <v>78</v>
      </c>
      <c r="AA194" s="159" t="s">
        <v>81</v>
      </c>
      <c r="AB194" s="159" t="s">
        <v>81</v>
      </c>
      <c r="AC194" s="159" t="s">
        <v>78</v>
      </c>
      <c r="AD194" s="159" t="s">
        <v>81</v>
      </c>
      <c r="AE194" s="159">
        <v>1</v>
      </c>
    </row>
    <row r="195" spans="1:31" s="149" customFormat="1" ht="25.05" customHeight="1" x14ac:dyDescent="0.3">
      <c r="A195" s="153" t="s">
        <v>1268</v>
      </c>
      <c r="B195" s="154" t="s">
        <v>1269</v>
      </c>
      <c r="C195" s="155" t="s">
        <v>78</v>
      </c>
      <c r="D195" s="155" t="s">
        <v>559</v>
      </c>
      <c r="E195" s="153" t="s">
        <v>101</v>
      </c>
      <c r="F195" s="153" t="s">
        <v>689</v>
      </c>
      <c r="G195" s="153" t="s">
        <v>81</v>
      </c>
      <c r="H195" s="153">
        <v>34780000</v>
      </c>
      <c r="I195" s="156">
        <v>48195689.399999999</v>
      </c>
      <c r="J195" s="157" t="s">
        <v>81</v>
      </c>
      <c r="K195" s="153" t="s">
        <v>78</v>
      </c>
      <c r="L195" s="153" t="s">
        <v>81</v>
      </c>
      <c r="M195" s="153" t="s">
        <v>78</v>
      </c>
      <c r="N195" s="153" t="s">
        <v>81</v>
      </c>
      <c r="O195" s="153">
        <v>0</v>
      </c>
      <c r="P195" s="158" t="s">
        <v>78</v>
      </c>
      <c r="Q195" s="153">
        <v>0</v>
      </c>
      <c r="R195" s="155" t="s">
        <v>78</v>
      </c>
      <c r="S195" s="153">
        <v>0</v>
      </c>
      <c r="T195" s="153" t="s">
        <v>78</v>
      </c>
      <c r="U195" s="153">
        <v>0</v>
      </c>
      <c r="V195" s="159" t="s">
        <v>81</v>
      </c>
      <c r="W195" s="159" t="s">
        <v>78</v>
      </c>
      <c r="X195" s="159" t="s">
        <v>81</v>
      </c>
      <c r="Y195" s="159" t="s">
        <v>78</v>
      </c>
      <c r="Z195" s="159" t="s">
        <v>78</v>
      </c>
      <c r="AA195" s="159" t="s">
        <v>81</v>
      </c>
      <c r="AB195" s="159" t="s">
        <v>81</v>
      </c>
      <c r="AC195" s="159" t="s">
        <v>78</v>
      </c>
      <c r="AD195" s="159" t="s">
        <v>81</v>
      </c>
      <c r="AE195" s="159">
        <v>1</v>
      </c>
    </row>
    <row r="196" spans="1:31" s="149" customFormat="1" ht="25.05" customHeight="1" x14ac:dyDescent="0.3">
      <c r="A196" s="153" t="s">
        <v>1270</v>
      </c>
      <c r="B196" s="154" t="s">
        <v>1271</v>
      </c>
      <c r="C196" s="155" t="s">
        <v>78</v>
      </c>
      <c r="D196" s="155" t="s">
        <v>559</v>
      </c>
      <c r="E196" s="153" t="s">
        <v>256</v>
      </c>
      <c r="F196" s="153" t="s">
        <v>689</v>
      </c>
      <c r="G196" s="153" t="s">
        <v>81</v>
      </c>
      <c r="H196" s="153">
        <v>53313648.289999999</v>
      </c>
      <c r="I196" s="156">
        <v>73878321.844901696</v>
      </c>
      <c r="J196" s="157" t="s">
        <v>75</v>
      </c>
      <c r="K196" s="153" t="s">
        <v>1272</v>
      </c>
      <c r="L196" s="153" t="s">
        <v>81</v>
      </c>
      <c r="M196" s="153" t="s">
        <v>78</v>
      </c>
      <c r="N196" s="153" t="s">
        <v>75</v>
      </c>
      <c r="O196" s="153">
        <v>999</v>
      </c>
      <c r="P196" s="158" t="s">
        <v>1273</v>
      </c>
      <c r="Q196" s="153">
        <v>999</v>
      </c>
      <c r="R196" s="155" t="s">
        <v>1272</v>
      </c>
      <c r="S196" s="153">
        <v>0</v>
      </c>
      <c r="T196" s="153" t="s">
        <v>78</v>
      </c>
      <c r="U196" s="153">
        <v>2</v>
      </c>
      <c r="V196" s="159" t="s">
        <v>81</v>
      </c>
      <c r="W196" s="159" t="s">
        <v>78</v>
      </c>
      <c r="X196" s="159" t="s">
        <v>81</v>
      </c>
      <c r="Y196" s="159" t="s">
        <v>78</v>
      </c>
      <c r="Z196" s="159" t="s">
        <v>78</v>
      </c>
      <c r="AA196" s="159" t="s">
        <v>81</v>
      </c>
      <c r="AB196" s="159" t="s">
        <v>81</v>
      </c>
      <c r="AC196" s="159" t="s">
        <v>78</v>
      </c>
      <c r="AD196" s="159" t="s">
        <v>81</v>
      </c>
      <c r="AE196" s="159">
        <v>1</v>
      </c>
    </row>
    <row r="197" spans="1:31" s="149" customFormat="1" ht="25.05" customHeight="1" x14ac:dyDescent="0.3">
      <c r="A197" s="153" t="s">
        <v>1274</v>
      </c>
      <c r="B197" s="154" t="s">
        <v>1275</v>
      </c>
      <c r="C197" s="155" t="s">
        <v>78</v>
      </c>
      <c r="D197" s="155" t="s">
        <v>565</v>
      </c>
      <c r="E197" s="153" t="s">
        <v>256</v>
      </c>
      <c r="F197" s="153" t="s">
        <v>689</v>
      </c>
      <c r="G197" s="153" t="s">
        <v>81</v>
      </c>
      <c r="H197" s="153">
        <v>101459973.8</v>
      </c>
      <c r="I197" s="156">
        <v>140596129.49387398</v>
      </c>
      <c r="J197" s="157" t="s">
        <v>75</v>
      </c>
      <c r="K197" s="153" t="s">
        <v>1276</v>
      </c>
      <c r="L197" s="153" t="s">
        <v>81</v>
      </c>
      <c r="M197" s="153" t="s">
        <v>78</v>
      </c>
      <c r="N197" s="153" t="s">
        <v>81</v>
      </c>
      <c r="O197" s="153">
        <v>0</v>
      </c>
      <c r="P197" s="158" t="s">
        <v>78</v>
      </c>
      <c r="Q197" s="153">
        <v>0</v>
      </c>
      <c r="R197" s="155" t="s">
        <v>78</v>
      </c>
      <c r="S197" s="153">
        <v>0</v>
      </c>
      <c r="T197" s="153" t="s">
        <v>78</v>
      </c>
      <c r="U197" s="153">
        <v>0</v>
      </c>
      <c r="V197" s="159" t="s">
        <v>81</v>
      </c>
      <c r="W197" s="159" t="s">
        <v>78</v>
      </c>
      <c r="X197" s="159" t="s">
        <v>75</v>
      </c>
      <c r="Y197" s="159" t="s">
        <v>256</v>
      </c>
      <c r="Z197" s="159" t="s">
        <v>78</v>
      </c>
      <c r="AA197" s="159" t="s">
        <v>81</v>
      </c>
      <c r="AB197" s="159" t="s">
        <v>81</v>
      </c>
      <c r="AC197" s="159" t="s">
        <v>78</v>
      </c>
      <c r="AD197" s="159" t="s">
        <v>81</v>
      </c>
      <c r="AE197" s="159">
        <v>1</v>
      </c>
    </row>
    <row r="198" spans="1:31" s="149" customFormat="1" ht="25.05" customHeight="1" x14ac:dyDescent="0.3">
      <c r="A198" s="153" t="s">
        <v>1277</v>
      </c>
      <c r="B198" s="154" t="s">
        <v>1278</v>
      </c>
      <c r="C198" s="155" t="s">
        <v>78</v>
      </c>
      <c r="D198" s="155" t="s">
        <v>78</v>
      </c>
      <c r="E198" s="153" t="s">
        <v>101</v>
      </c>
      <c r="F198" s="153" t="s">
        <v>689</v>
      </c>
      <c r="G198" s="153" t="s">
        <v>81</v>
      </c>
      <c r="H198" s="153">
        <v>151402746.5</v>
      </c>
      <c r="I198" s="156">
        <v>209803327.90744498</v>
      </c>
      <c r="J198" s="157" t="s">
        <v>81</v>
      </c>
      <c r="K198" s="153" t="s">
        <v>78</v>
      </c>
      <c r="L198" s="153" t="s">
        <v>81</v>
      </c>
      <c r="M198" s="153" t="s">
        <v>78</v>
      </c>
      <c r="N198" s="153" t="s">
        <v>81</v>
      </c>
      <c r="O198" s="153">
        <v>0</v>
      </c>
      <c r="P198" s="158" t="s">
        <v>78</v>
      </c>
      <c r="Q198" s="153">
        <v>0</v>
      </c>
      <c r="R198" s="155" t="s">
        <v>78</v>
      </c>
      <c r="S198" s="153">
        <v>0</v>
      </c>
      <c r="T198" s="153" t="s">
        <v>78</v>
      </c>
      <c r="U198" s="153">
        <v>0</v>
      </c>
      <c r="V198" s="159" t="s">
        <v>81</v>
      </c>
      <c r="W198" s="159" t="s">
        <v>78</v>
      </c>
      <c r="X198" s="159" t="s">
        <v>81</v>
      </c>
      <c r="Y198" s="159" t="s">
        <v>78</v>
      </c>
      <c r="Z198" s="159" t="s">
        <v>78</v>
      </c>
      <c r="AA198" s="159" t="s">
        <v>81</v>
      </c>
      <c r="AB198" s="159" t="s">
        <v>81</v>
      </c>
      <c r="AC198" s="159" t="s">
        <v>78</v>
      </c>
      <c r="AD198" s="159" t="s">
        <v>81</v>
      </c>
      <c r="AE198" s="159">
        <v>1</v>
      </c>
    </row>
    <row r="199" spans="1:31" s="149" customFormat="1" ht="25.05" customHeight="1" x14ac:dyDescent="0.3">
      <c r="A199" s="153" t="s">
        <v>1279</v>
      </c>
      <c r="B199" s="154" t="s">
        <v>1280</v>
      </c>
      <c r="C199" s="155" t="s">
        <v>78</v>
      </c>
      <c r="D199" s="155" t="s">
        <v>536</v>
      </c>
      <c r="E199" s="153" t="s">
        <v>101</v>
      </c>
      <c r="F199" s="153" t="s">
        <v>676</v>
      </c>
      <c r="G199" s="153" t="s">
        <v>81</v>
      </c>
      <c r="H199" s="153">
        <v>88660000</v>
      </c>
      <c r="I199" s="156">
        <v>122858821.8</v>
      </c>
      <c r="J199" s="157" t="s">
        <v>75</v>
      </c>
      <c r="K199" s="153" t="s">
        <v>1281</v>
      </c>
      <c r="L199" s="153" t="s">
        <v>81</v>
      </c>
      <c r="M199" s="153" t="s">
        <v>78</v>
      </c>
      <c r="N199" s="153" t="s">
        <v>81</v>
      </c>
      <c r="O199" s="153">
        <v>0</v>
      </c>
      <c r="P199" s="158" t="s">
        <v>78</v>
      </c>
      <c r="Q199" s="153">
        <v>0</v>
      </c>
      <c r="R199" s="155" t="s">
        <v>78</v>
      </c>
      <c r="S199" s="153">
        <v>0</v>
      </c>
      <c r="T199" s="153" t="s">
        <v>78</v>
      </c>
      <c r="U199" s="153">
        <v>0</v>
      </c>
      <c r="V199" s="159" t="s">
        <v>81</v>
      </c>
      <c r="W199" s="159" t="s">
        <v>78</v>
      </c>
      <c r="X199" s="159" t="s">
        <v>75</v>
      </c>
      <c r="Y199" s="159" t="s">
        <v>256</v>
      </c>
      <c r="Z199" s="159" t="s">
        <v>78</v>
      </c>
      <c r="AA199" s="159" t="s">
        <v>81</v>
      </c>
      <c r="AB199" s="159" t="s">
        <v>81</v>
      </c>
      <c r="AC199" s="159" t="s">
        <v>78</v>
      </c>
      <c r="AD199" s="159" t="s">
        <v>81</v>
      </c>
      <c r="AE199" s="159">
        <v>1</v>
      </c>
    </row>
    <row r="200" spans="1:31" s="149" customFormat="1" ht="25.05" customHeight="1" x14ac:dyDescent="0.3">
      <c r="A200" s="153" t="s">
        <v>1282</v>
      </c>
      <c r="B200" s="154" t="s">
        <v>1283</v>
      </c>
      <c r="C200" s="155" t="s">
        <v>78</v>
      </c>
      <c r="D200" s="155" t="s">
        <v>543</v>
      </c>
      <c r="E200" s="153" t="s">
        <v>228</v>
      </c>
      <c r="F200" s="153" t="s">
        <v>689</v>
      </c>
      <c r="G200" s="153" t="s">
        <v>81</v>
      </c>
      <c r="H200" s="153">
        <v>33958372.700000003</v>
      </c>
      <c r="I200" s="156">
        <v>47057135.801571004</v>
      </c>
      <c r="J200" s="157" t="s">
        <v>81</v>
      </c>
      <c r="K200" s="153" t="s">
        <v>78</v>
      </c>
      <c r="L200" s="153" t="s">
        <v>81</v>
      </c>
      <c r="M200" s="153" t="s">
        <v>78</v>
      </c>
      <c r="N200" s="153" t="s">
        <v>81</v>
      </c>
      <c r="O200" s="153">
        <v>0</v>
      </c>
      <c r="P200" s="158" t="s">
        <v>78</v>
      </c>
      <c r="Q200" s="153">
        <v>0</v>
      </c>
      <c r="R200" s="155" t="s">
        <v>78</v>
      </c>
      <c r="S200" s="153">
        <v>0</v>
      </c>
      <c r="T200" s="153" t="s">
        <v>78</v>
      </c>
      <c r="U200" s="153">
        <v>0</v>
      </c>
      <c r="V200" s="159" t="s">
        <v>81</v>
      </c>
      <c r="W200" s="159" t="s">
        <v>78</v>
      </c>
      <c r="X200" s="159" t="s">
        <v>81</v>
      </c>
      <c r="Y200" s="159" t="s">
        <v>78</v>
      </c>
      <c r="Z200" s="159" t="s">
        <v>78</v>
      </c>
      <c r="AA200" s="159" t="s">
        <v>81</v>
      </c>
      <c r="AB200" s="159" t="s">
        <v>81</v>
      </c>
      <c r="AC200" s="159" t="s">
        <v>78</v>
      </c>
      <c r="AD200" s="159" t="s">
        <v>81</v>
      </c>
      <c r="AE200" s="159">
        <v>1</v>
      </c>
    </row>
    <row r="201" spans="1:31" s="149" customFormat="1" ht="25.05" customHeight="1" x14ac:dyDescent="0.3">
      <c r="A201" s="153" t="s">
        <v>1284</v>
      </c>
      <c r="B201" s="154" t="s">
        <v>1285</v>
      </c>
      <c r="C201" s="155" t="s">
        <v>78</v>
      </c>
      <c r="D201" s="155" t="s">
        <v>543</v>
      </c>
      <c r="E201" s="153" t="s">
        <v>256</v>
      </c>
      <c r="F201" s="153" t="s">
        <v>676</v>
      </c>
      <c r="G201" s="153" t="s">
        <v>81</v>
      </c>
      <c r="H201" s="153">
        <v>51636213.909999996</v>
      </c>
      <c r="I201" s="156">
        <v>71553850.70150429</v>
      </c>
      <c r="J201" s="157" t="s">
        <v>75</v>
      </c>
      <c r="K201" s="153" t="s">
        <v>1286</v>
      </c>
      <c r="L201" s="153" t="s">
        <v>81</v>
      </c>
      <c r="M201" s="153" t="s">
        <v>78</v>
      </c>
      <c r="N201" s="153" t="s">
        <v>75</v>
      </c>
      <c r="O201" s="153">
        <v>999</v>
      </c>
      <c r="P201" s="158" t="s">
        <v>1287</v>
      </c>
      <c r="Q201" s="153">
        <v>999</v>
      </c>
      <c r="R201" s="155" t="s">
        <v>1288</v>
      </c>
      <c r="S201" s="153">
        <v>0</v>
      </c>
      <c r="T201" s="153" t="s">
        <v>78</v>
      </c>
      <c r="U201" s="153">
        <v>2</v>
      </c>
      <c r="V201" s="159" t="s">
        <v>81</v>
      </c>
      <c r="W201" s="159" t="s">
        <v>78</v>
      </c>
      <c r="X201" s="159" t="s">
        <v>75</v>
      </c>
      <c r="Y201" s="159" t="s">
        <v>256</v>
      </c>
      <c r="Z201" s="159" t="s">
        <v>796</v>
      </c>
      <c r="AA201" s="159" t="s">
        <v>81</v>
      </c>
      <c r="AB201" s="159" t="s">
        <v>81</v>
      </c>
      <c r="AC201" s="159" t="s">
        <v>78</v>
      </c>
      <c r="AD201" s="159" t="s">
        <v>81</v>
      </c>
      <c r="AE201" s="159">
        <v>1</v>
      </c>
    </row>
    <row r="202" spans="1:31" s="149" customFormat="1" ht="25.05" customHeight="1" x14ac:dyDescent="0.3">
      <c r="A202" s="153" t="s">
        <v>1289</v>
      </c>
      <c r="B202" s="154" t="s">
        <v>1290</v>
      </c>
      <c r="C202" s="155" t="s">
        <v>78</v>
      </c>
      <c r="D202" s="155" t="s">
        <v>534</v>
      </c>
      <c r="E202" s="153" t="s">
        <v>101</v>
      </c>
      <c r="F202" s="153" t="s">
        <v>689</v>
      </c>
      <c r="G202" s="153" t="s">
        <v>81</v>
      </c>
      <c r="H202" s="153">
        <v>361613955.39999998</v>
      </c>
      <c r="I202" s="156">
        <v>501099306.41644192</v>
      </c>
      <c r="J202" s="157" t="s">
        <v>81</v>
      </c>
      <c r="K202" s="153" t="s">
        <v>78</v>
      </c>
      <c r="L202" s="153" t="s">
        <v>81</v>
      </c>
      <c r="M202" s="153" t="s">
        <v>78</v>
      </c>
      <c r="N202" s="153" t="s">
        <v>81</v>
      </c>
      <c r="O202" s="153">
        <v>0</v>
      </c>
      <c r="P202" s="158" t="s">
        <v>78</v>
      </c>
      <c r="Q202" s="153">
        <v>0</v>
      </c>
      <c r="R202" s="155" t="s">
        <v>78</v>
      </c>
      <c r="S202" s="153">
        <v>0</v>
      </c>
      <c r="T202" s="153" t="s">
        <v>78</v>
      </c>
      <c r="U202" s="153">
        <v>0</v>
      </c>
      <c r="V202" s="159" t="s">
        <v>81</v>
      </c>
      <c r="W202" s="159" t="s">
        <v>78</v>
      </c>
      <c r="X202" s="159" t="s">
        <v>81</v>
      </c>
      <c r="Y202" s="159" t="s">
        <v>78</v>
      </c>
      <c r="Z202" s="159" t="s">
        <v>78</v>
      </c>
      <c r="AA202" s="159" t="s">
        <v>81</v>
      </c>
      <c r="AB202" s="159" t="s">
        <v>81</v>
      </c>
      <c r="AC202" s="159" t="s">
        <v>78</v>
      </c>
      <c r="AD202" s="159" t="s">
        <v>81</v>
      </c>
      <c r="AE202" s="159">
        <v>1</v>
      </c>
    </row>
    <row r="203" spans="1:31" s="149" customFormat="1" ht="25.05" customHeight="1" x14ac:dyDescent="0.3">
      <c r="A203" s="153" t="s">
        <v>1291</v>
      </c>
      <c r="B203" s="154" t="s">
        <v>1292</v>
      </c>
      <c r="C203" s="155" t="s">
        <v>78</v>
      </c>
      <c r="D203" s="155" t="s">
        <v>534</v>
      </c>
      <c r="E203" s="153" t="s">
        <v>115</v>
      </c>
      <c r="F203" s="153" t="s">
        <v>689</v>
      </c>
      <c r="G203" s="153" t="s">
        <v>81</v>
      </c>
      <c r="H203" s="153">
        <v>396000</v>
      </c>
      <c r="I203" s="156">
        <v>548749.07999999996</v>
      </c>
      <c r="J203" s="157" t="s">
        <v>81</v>
      </c>
      <c r="K203" s="153" t="s">
        <v>78</v>
      </c>
      <c r="L203" s="153" t="s">
        <v>81</v>
      </c>
      <c r="M203" s="153" t="s">
        <v>78</v>
      </c>
      <c r="N203" s="153" t="s">
        <v>81</v>
      </c>
      <c r="O203" s="153">
        <v>0</v>
      </c>
      <c r="P203" s="158" t="s">
        <v>78</v>
      </c>
      <c r="Q203" s="153">
        <v>0</v>
      </c>
      <c r="R203" s="155" t="s">
        <v>78</v>
      </c>
      <c r="S203" s="153">
        <v>0</v>
      </c>
      <c r="T203" s="153" t="s">
        <v>78</v>
      </c>
      <c r="U203" s="153">
        <v>0</v>
      </c>
      <c r="V203" s="159" t="s">
        <v>81</v>
      </c>
      <c r="W203" s="159" t="s">
        <v>78</v>
      </c>
      <c r="X203" s="159" t="s">
        <v>81</v>
      </c>
      <c r="Y203" s="159" t="s">
        <v>78</v>
      </c>
      <c r="Z203" s="159" t="s">
        <v>78</v>
      </c>
      <c r="AA203" s="159" t="s">
        <v>81</v>
      </c>
      <c r="AB203" s="159" t="s">
        <v>81</v>
      </c>
      <c r="AC203" s="159" t="s">
        <v>78</v>
      </c>
      <c r="AD203" s="159" t="s">
        <v>81</v>
      </c>
      <c r="AE203" s="159">
        <v>1</v>
      </c>
    </row>
    <row r="204" spans="1:31" s="149" customFormat="1" ht="25.05" customHeight="1" x14ac:dyDescent="0.3">
      <c r="A204" s="153" t="s">
        <v>1293</v>
      </c>
      <c r="B204" s="154" t="s">
        <v>1294</v>
      </c>
      <c r="C204" s="155" t="s">
        <v>78</v>
      </c>
      <c r="D204" s="155" t="s">
        <v>546</v>
      </c>
      <c r="E204" s="153" t="s">
        <v>228</v>
      </c>
      <c r="F204" s="153" t="s">
        <v>689</v>
      </c>
      <c r="G204" s="153" t="s">
        <v>81</v>
      </c>
      <c r="H204" s="153">
        <v>164041994.80000001</v>
      </c>
      <c r="I204" s="156">
        <v>227317913.45420399</v>
      </c>
      <c r="J204" s="157" t="s">
        <v>81</v>
      </c>
      <c r="K204" s="153" t="s">
        <v>78</v>
      </c>
      <c r="L204" s="153" t="s">
        <v>81</v>
      </c>
      <c r="M204" s="153" t="s">
        <v>78</v>
      </c>
      <c r="N204" s="153" t="s">
        <v>81</v>
      </c>
      <c r="O204" s="153">
        <v>0</v>
      </c>
      <c r="P204" s="158" t="s">
        <v>78</v>
      </c>
      <c r="Q204" s="153">
        <v>0</v>
      </c>
      <c r="R204" s="155" t="s">
        <v>78</v>
      </c>
      <c r="S204" s="153">
        <v>0</v>
      </c>
      <c r="T204" s="153" t="s">
        <v>78</v>
      </c>
      <c r="U204" s="153">
        <v>0</v>
      </c>
      <c r="V204" s="159" t="s">
        <v>75</v>
      </c>
      <c r="W204" s="159" t="s">
        <v>1295</v>
      </c>
      <c r="X204" s="159" t="s">
        <v>81</v>
      </c>
      <c r="Y204" s="159" t="s">
        <v>78</v>
      </c>
      <c r="Z204" s="159" t="s">
        <v>78</v>
      </c>
      <c r="AA204" s="159" t="s">
        <v>81</v>
      </c>
      <c r="AB204" s="159" t="s">
        <v>81</v>
      </c>
      <c r="AC204" s="159" t="s">
        <v>78</v>
      </c>
      <c r="AD204" s="159" t="s">
        <v>81</v>
      </c>
      <c r="AE204" s="159">
        <v>1</v>
      </c>
    </row>
    <row r="205" spans="1:31" s="149" customFormat="1" ht="25.05" customHeight="1" x14ac:dyDescent="0.3">
      <c r="A205" s="153" t="s">
        <v>1296</v>
      </c>
      <c r="B205" s="154" t="s">
        <v>1297</v>
      </c>
      <c r="C205" s="155" t="s">
        <v>78</v>
      </c>
      <c r="D205" s="155" t="s">
        <v>546</v>
      </c>
      <c r="E205" s="153" t="s">
        <v>256</v>
      </c>
      <c r="F205" s="153" t="s">
        <v>689</v>
      </c>
      <c r="G205" s="153" t="s">
        <v>81</v>
      </c>
      <c r="H205" s="153">
        <v>72875656.170000002</v>
      </c>
      <c r="I205" s="156">
        <v>100985983.0244541</v>
      </c>
      <c r="J205" s="157" t="s">
        <v>75</v>
      </c>
      <c r="K205" s="153" t="s">
        <v>1298</v>
      </c>
      <c r="L205" s="153" t="s">
        <v>81</v>
      </c>
      <c r="M205" s="153" t="s">
        <v>78</v>
      </c>
      <c r="N205" s="153" t="s">
        <v>75</v>
      </c>
      <c r="O205" s="153">
        <v>999</v>
      </c>
      <c r="P205" s="158" t="s">
        <v>1299</v>
      </c>
      <c r="Q205" s="153">
        <v>999</v>
      </c>
      <c r="R205" s="155" t="s">
        <v>1300</v>
      </c>
      <c r="S205" s="153">
        <v>999</v>
      </c>
      <c r="T205" s="153" t="s">
        <v>1301</v>
      </c>
      <c r="U205" s="153">
        <v>3</v>
      </c>
      <c r="V205" s="159" t="s">
        <v>81</v>
      </c>
      <c r="W205" s="159" t="s">
        <v>78</v>
      </c>
      <c r="X205" s="159" t="s">
        <v>75</v>
      </c>
      <c r="Y205" s="159" t="s">
        <v>256</v>
      </c>
      <c r="Z205" s="159" t="s">
        <v>78</v>
      </c>
      <c r="AA205" s="159" t="s">
        <v>81</v>
      </c>
      <c r="AB205" s="159" t="s">
        <v>81</v>
      </c>
      <c r="AC205" s="159" t="s">
        <v>78</v>
      </c>
      <c r="AD205" s="159" t="s">
        <v>81</v>
      </c>
      <c r="AE205" s="159">
        <v>1</v>
      </c>
    </row>
    <row r="206" spans="1:31" s="149" customFormat="1" ht="25.05" customHeight="1" x14ac:dyDescent="0.3">
      <c r="A206" s="153" t="s">
        <v>1302</v>
      </c>
      <c r="B206" s="154" t="s">
        <v>1303</v>
      </c>
      <c r="C206" s="155" t="s">
        <v>78</v>
      </c>
      <c r="D206" s="155" t="s">
        <v>564</v>
      </c>
      <c r="E206" s="153" t="s">
        <v>101</v>
      </c>
      <c r="F206" s="153" t="s">
        <v>676</v>
      </c>
      <c r="G206" s="153" t="s">
        <v>81</v>
      </c>
      <c r="H206" s="153">
        <v>15000000</v>
      </c>
      <c r="I206" s="156">
        <v>20785950</v>
      </c>
      <c r="J206" s="157" t="s">
        <v>81</v>
      </c>
      <c r="K206" s="153" t="s">
        <v>78</v>
      </c>
      <c r="L206" s="153" t="s">
        <v>81</v>
      </c>
      <c r="M206" s="153" t="s">
        <v>78</v>
      </c>
      <c r="N206" s="153" t="s">
        <v>81</v>
      </c>
      <c r="O206" s="153">
        <v>0</v>
      </c>
      <c r="P206" s="158" t="s">
        <v>78</v>
      </c>
      <c r="Q206" s="153">
        <v>0</v>
      </c>
      <c r="R206" s="155" t="s">
        <v>78</v>
      </c>
      <c r="S206" s="153">
        <v>0</v>
      </c>
      <c r="T206" s="153" t="s">
        <v>78</v>
      </c>
      <c r="U206" s="153">
        <v>0</v>
      </c>
      <c r="V206" s="159" t="s">
        <v>81</v>
      </c>
      <c r="W206" s="159" t="s">
        <v>78</v>
      </c>
      <c r="X206" s="159" t="s">
        <v>81</v>
      </c>
      <c r="Y206" s="159" t="s">
        <v>78</v>
      </c>
      <c r="Z206" s="159" t="s">
        <v>78</v>
      </c>
      <c r="AA206" s="159" t="s">
        <v>81</v>
      </c>
      <c r="AB206" s="159" t="s">
        <v>81</v>
      </c>
      <c r="AC206" s="159" t="s">
        <v>78</v>
      </c>
      <c r="AD206" s="159" t="s">
        <v>81</v>
      </c>
      <c r="AE206" s="159">
        <v>1</v>
      </c>
    </row>
    <row r="207" spans="1:31" s="149" customFormat="1" ht="25.05" customHeight="1" x14ac:dyDescent="0.3">
      <c r="A207" s="153" t="s">
        <v>1304</v>
      </c>
      <c r="B207" s="154" t="s">
        <v>1305</v>
      </c>
      <c r="C207" s="155" t="s">
        <v>78</v>
      </c>
      <c r="D207" s="155" t="s">
        <v>547</v>
      </c>
      <c r="E207" s="153" t="s">
        <v>101</v>
      </c>
      <c r="F207" s="153" t="s">
        <v>676</v>
      </c>
      <c r="G207" s="153" t="s">
        <v>81</v>
      </c>
      <c r="H207" s="153">
        <v>43093832.020000003</v>
      </c>
      <c r="I207" s="156">
        <v>59716415.845074601</v>
      </c>
      <c r="J207" s="157" t="s">
        <v>75</v>
      </c>
      <c r="K207" s="153" t="s">
        <v>1306</v>
      </c>
      <c r="L207" s="153" t="s">
        <v>81</v>
      </c>
      <c r="M207" s="153" t="s">
        <v>78</v>
      </c>
      <c r="N207" s="153" t="s">
        <v>81</v>
      </c>
      <c r="O207" s="153">
        <v>0</v>
      </c>
      <c r="P207" s="158" t="s">
        <v>78</v>
      </c>
      <c r="Q207" s="153">
        <v>0</v>
      </c>
      <c r="R207" s="155" t="s">
        <v>78</v>
      </c>
      <c r="S207" s="153">
        <v>0</v>
      </c>
      <c r="T207" s="153" t="s">
        <v>78</v>
      </c>
      <c r="U207" s="153">
        <v>0</v>
      </c>
      <c r="V207" s="159" t="s">
        <v>81</v>
      </c>
      <c r="W207" s="159" t="s">
        <v>78</v>
      </c>
      <c r="X207" s="159" t="s">
        <v>75</v>
      </c>
      <c r="Y207" s="159" t="s">
        <v>256</v>
      </c>
      <c r="Z207" s="159" t="s">
        <v>78</v>
      </c>
      <c r="AA207" s="159" t="s">
        <v>81</v>
      </c>
      <c r="AB207" s="159" t="s">
        <v>81</v>
      </c>
      <c r="AC207" s="159" t="s">
        <v>78</v>
      </c>
      <c r="AD207" s="159" t="s">
        <v>81</v>
      </c>
      <c r="AE207" s="159">
        <v>1</v>
      </c>
    </row>
    <row r="208" spans="1:31" s="149" customFormat="1" ht="25.05" customHeight="1" x14ac:dyDescent="0.3">
      <c r="A208" s="153" t="s">
        <v>1307</v>
      </c>
      <c r="B208" s="154" t="s">
        <v>1308</v>
      </c>
      <c r="C208" s="155" t="s">
        <v>78</v>
      </c>
      <c r="D208" s="155" t="s">
        <v>547</v>
      </c>
      <c r="E208" s="153" t="s">
        <v>115</v>
      </c>
      <c r="F208" s="153" t="s">
        <v>689</v>
      </c>
      <c r="G208" s="153" t="s">
        <v>81</v>
      </c>
      <c r="H208" s="153">
        <v>723227.91</v>
      </c>
      <c r="I208" s="156">
        <v>1002198.6117243</v>
      </c>
      <c r="J208" s="157" t="s">
        <v>75</v>
      </c>
      <c r="K208" s="153" t="s">
        <v>1309</v>
      </c>
      <c r="L208" s="153" t="s">
        <v>75</v>
      </c>
      <c r="M208" s="153" t="s">
        <v>1310</v>
      </c>
      <c r="N208" s="153" t="s">
        <v>75</v>
      </c>
      <c r="O208" s="153">
        <v>999</v>
      </c>
      <c r="P208" s="158" t="s">
        <v>1311</v>
      </c>
      <c r="Q208" s="153">
        <v>999</v>
      </c>
      <c r="R208" s="155" t="s">
        <v>1312</v>
      </c>
      <c r="S208" s="160">
        <v>0</v>
      </c>
      <c r="T208" s="153" t="s">
        <v>78</v>
      </c>
      <c r="U208" s="153">
        <v>2</v>
      </c>
      <c r="V208" s="159" t="s">
        <v>81</v>
      </c>
      <c r="W208" s="159" t="s">
        <v>78</v>
      </c>
      <c r="X208" s="159" t="s">
        <v>75</v>
      </c>
      <c r="Y208" s="159" t="s">
        <v>256</v>
      </c>
      <c r="Z208" s="159" t="s">
        <v>78</v>
      </c>
      <c r="AA208" s="159" t="s">
        <v>81</v>
      </c>
      <c r="AB208" s="159" t="s">
        <v>81</v>
      </c>
      <c r="AC208" s="159" t="s">
        <v>78</v>
      </c>
      <c r="AD208" s="159" t="s">
        <v>75</v>
      </c>
      <c r="AE208" s="159">
        <v>1</v>
      </c>
    </row>
    <row r="209" spans="1:31" s="149" customFormat="1" ht="25.05" customHeight="1" x14ac:dyDescent="0.3">
      <c r="A209" s="153" t="s">
        <v>1313</v>
      </c>
      <c r="B209" s="154" t="s">
        <v>1314</v>
      </c>
      <c r="C209" s="155" t="s">
        <v>78</v>
      </c>
      <c r="D209" s="155" t="s">
        <v>532</v>
      </c>
      <c r="E209" s="153" t="s">
        <v>466</v>
      </c>
      <c r="F209" s="153" t="s">
        <v>689</v>
      </c>
      <c r="G209" s="153" t="s">
        <v>81</v>
      </c>
      <c r="H209" s="153">
        <v>800000</v>
      </c>
      <c r="I209" s="156">
        <v>1108584</v>
      </c>
      <c r="J209" s="157" t="s">
        <v>81</v>
      </c>
      <c r="K209" s="153" t="s">
        <v>78</v>
      </c>
      <c r="L209" s="153" t="s">
        <v>81</v>
      </c>
      <c r="M209" s="153" t="s">
        <v>78</v>
      </c>
      <c r="N209" s="153" t="s">
        <v>81</v>
      </c>
      <c r="O209" s="153">
        <v>0</v>
      </c>
      <c r="P209" s="158" t="s">
        <v>78</v>
      </c>
      <c r="Q209" s="153">
        <v>0</v>
      </c>
      <c r="R209" s="155" t="s">
        <v>78</v>
      </c>
      <c r="S209" s="160">
        <v>0</v>
      </c>
      <c r="T209" s="153" t="s">
        <v>78</v>
      </c>
      <c r="U209" s="153">
        <v>0</v>
      </c>
      <c r="V209" s="159" t="s">
        <v>81</v>
      </c>
      <c r="W209" s="159" t="s">
        <v>78</v>
      </c>
      <c r="X209" s="159" t="s">
        <v>81</v>
      </c>
      <c r="Y209" s="159" t="s">
        <v>78</v>
      </c>
      <c r="Z209" s="159" t="s">
        <v>78</v>
      </c>
      <c r="AA209" s="159" t="s">
        <v>81</v>
      </c>
      <c r="AB209" s="159" t="s">
        <v>81</v>
      </c>
      <c r="AC209" s="159" t="s">
        <v>78</v>
      </c>
      <c r="AD209" s="159" t="s">
        <v>81</v>
      </c>
      <c r="AE209" s="159">
        <v>1</v>
      </c>
    </row>
    <row r="210" spans="1:31" s="149" customFormat="1" ht="25.05" customHeight="1" x14ac:dyDescent="0.3">
      <c r="A210" s="153" t="s">
        <v>1315</v>
      </c>
      <c r="B210" s="154" t="s">
        <v>1316</v>
      </c>
      <c r="C210" s="155" t="s">
        <v>78</v>
      </c>
      <c r="D210" s="155" t="s">
        <v>563</v>
      </c>
      <c r="E210" s="153" t="s">
        <v>256</v>
      </c>
      <c r="F210" s="153" t="s">
        <v>689</v>
      </c>
      <c r="G210" s="153" t="s">
        <v>81</v>
      </c>
      <c r="H210" s="153">
        <v>797416</v>
      </c>
      <c r="I210" s="156">
        <v>1155304.2749599998</v>
      </c>
      <c r="J210" s="157" t="s">
        <v>81</v>
      </c>
      <c r="K210" s="153" t="s">
        <v>78</v>
      </c>
      <c r="L210" s="153" t="s">
        <v>81</v>
      </c>
      <c r="M210" s="153" t="s">
        <v>78</v>
      </c>
      <c r="N210" s="153" t="s">
        <v>75</v>
      </c>
      <c r="O210" s="153">
        <v>0</v>
      </c>
      <c r="P210" s="158" t="s">
        <v>78</v>
      </c>
      <c r="Q210" s="153">
        <v>0</v>
      </c>
      <c r="R210" s="155" t="s">
        <v>78</v>
      </c>
      <c r="S210" s="153">
        <v>0</v>
      </c>
      <c r="T210" s="153" t="s">
        <v>78</v>
      </c>
      <c r="U210" s="153">
        <v>0</v>
      </c>
      <c r="V210" s="159" t="s">
        <v>81</v>
      </c>
      <c r="W210" s="159" t="s">
        <v>78</v>
      </c>
      <c r="X210" s="159" t="s">
        <v>81</v>
      </c>
      <c r="Y210" s="159" t="s">
        <v>78</v>
      </c>
      <c r="Z210" s="159" t="s">
        <v>78</v>
      </c>
      <c r="AA210" s="159" t="s">
        <v>81</v>
      </c>
      <c r="AB210" s="159" t="s">
        <v>81</v>
      </c>
      <c r="AC210" s="159" t="s">
        <v>78</v>
      </c>
      <c r="AD210" s="159" t="s">
        <v>81</v>
      </c>
      <c r="AE210" s="159">
        <v>1</v>
      </c>
    </row>
    <row r="211" spans="1:31" s="149" customFormat="1" ht="25.05" customHeight="1" x14ac:dyDescent="0.3">
      <c r="A211" s="153" t="s">
        <v>1317</v>
      </c>
      <c r="B211" s="154" t="s">
        <v>1318</v>
      </c>
      <c r="C211" s="155" t="s">
        <v>78</v>
      </c>
      <c r="D211" s="155" t="s">
        <v>570</v>
      </c>
      <c r="E211" s="153" t="s">
        <v>256</v>
      </c>
      <c r="F211" s="153" t="s">
        <v>679</v>
      </c>
      <c r="G211" s="153" t="s">
        <v>75</v>
      </c>
      <c r="H211" s="153">
        <v>0</v>
      </c>
      <c r="I211" s="156">
        <v>0</v>
      </c>
      <c r="J211" s="157" t="s">
        <v>81</v>
      </c>
      <c r="K211" s="153" t="s">
        <v>78</v>
      </c>
      <c r="L211" s="153" t="s">
        <v>81</v>
      </c>
      <c r="M211" s="153" t="s">
        <v>78</v>
      </c>
      <c r="N211" s="153" t="s">
        <v>81</v>
      </c>
      <c r="O211" s="153">
        <v>0</v>
      </c>
      <c r="P211" s="158" t="s">
        <v>78</v>
      </c>
      <c r="Q211" s="153">
        <v>0</v>
      </c>
      <c r="R211" s="155" t="s">
        <v>78</v>
      </c>
      <c r="S211" s="153">
        <v>0</v>
      </c>
      <c r="T211" s="153" t="s">
        <v>78</v>
      </c>
      <c r="U211" s="153">
        <v>0</v>
      </c>
      <c r="V211" s="159" t="s">
        <v>81</v>
      </c>
      <c r="W211" s="159" t="s">
        <v>78</v>
      </c>
      <c r="X211" s="159" t="s">
        <v>81</v>
      </c>
      <c r="Y211" s="159" t="s">
        <v>78</v>
      </c>
      <c r="Z211" s="159" t="s">
        <v>78</v>
      </c>
      <c r="AA211" s="159" t="s">
        <v>81</v>
      </c>
      <c r="AB211" s="159" t="s">
        <v>81</v>
      </c>
      <c r="AC211" s="159" t="s">
        <v>78</v>
      </c>
      <c r="AD211" s="159" t="s">
        <v>81</v>
      </c>
      <c r="AE211" s="159">
        <v>1</v>
      </c>
    </row>
    <row r="212" spans="1:31" s="149" customFormat="1" ht="25.05" customHeight="1" x14ac:dyDescent="0.3">
      <c r="A212" s="153" t="s">
        <v>845</v>
      </c>
      <c r="B212" s="154" t="s">
        <v>846</v>
      </c>
      <c r="C212" s="155" t="s">
        <v>78</v>
      </c>
      <c r="D212" s="155" t="s">
        <v>555</v>
      </c>
      <c r="E212" s="153" t="s">
        <v>256</v>
      </c>
      <c r="F212" s="153" t="s">
        <v>689</v>
      </c>
      <c r="G212" s="153" t="s">
        <v>81</v>
      </c>
      <c r="H212" s="153">
        <v>13705168.91</v>
      </c>
      <c r="I212" s="156">
        <v>19856185.768497098</v>
      </c>
      <c r="J212" s="157" t="s">
        <v>81</v>
      </c>
      <c r="K212" s="153" t="s">
        <v>78</v>
      </c>
      <c r="L212" s="153" t="s">
        <v>81</v>
      </c>
      <c r="M212" s="153" t="s">
        <v>78</v>
      </c>
      <c r="N212" s="153" t="s">
        <v>81</v>
      </c>
      <c r="O212" s="153">
        <v>0</v>
      </c>
      <c r="P212" s="158" t="s">
        <v>78</v>
      </c>
      <c r="Q212" s="153">
        <v>0</v>
      </c>
      <c r="R212" s="155" t="s">
        <v>78</v>
      </c>
      <c r="S212" s="160">
        <v>0</v>
      </c>
      <c r="T212" s="153" t="s">
        <v>78</v>
      </c>
      <c r="U212" s="153">
        <v>0</v>
      </c>
      <c r="V212" s="159" t="s">
        <v>81</v>
      </c>
      <c r="W212" s="159" t="s">
        <v>78</v>
      </c>
      <c r="X212" s="159" t="s">
        <v>81</v>
      </c>
      <c r="Y212" s="159" t="s">
        <v>78</v>
      </c>
      <c r="Z212" s="159" t="s">
        <v>78</v>
      </c>
      <c r="AA212" s="159" t="s">
        <v>81</v>
      </c>
      <c r="AB212" s="159" t="s">
        <v>81</v>
      </c>
      <c r="AC212" s="159" t="s">
        <v>78</v>
      </c>
      <c r="AD212" s="159" t="s">
        <v>81</v>
      </c>
      <c r="AE212" s="159">
        <v>1</v>
      </c>
    </row>
    <row r="213" spans="1:31" s="149" customFormat="1" ht="25.05" customHeight="1" x14ac:dyDescent="0.3">
      <c r="A213" s="153" t="s">
        <v>1319</v>
      </c>
      <c r="B213" s="154" t="s">
        <v>1320</v>
      </c>
      <c r="C213" s="155" t="s">
        <v>78</v>
      </c>
      <c r="D213" s="155" t="s">
        <v>570</v>
      </c>
      <c r="E213" s="153" t="s">
        <v>256</v>
      </c>
      <c r="F213" s="153" t="s">
        <v>676</v>
      </c>
      <c r="G213" s="153" t="s">
        <v>81</v>
      </c>
      <c r="H213" s="153">
        <v>24000000</v>
      </c>
      <c r="I213" s="156">
        <v>34771440</v>
      </c>
      <c r="J213" s="157" t="s">
        <v>81</v>
      </c>
      <c r="K213" s="153" t="s">
        <v>78</v>
      </c>
      <c r="L213" s="153" t="s">
        <v>81</v>
      </c>
      <c r="M213" s="153" t="s">
        <v>78</v>
      </c>
      <c r="N213" s="153" t="s">
        <v>81</v>
      </c>
      <c r="O213" s="153">
        <v>0</v>
      </c>
      <c r="P213" s="158" t="s">
        <v>78</v>
      </c>
      <c r="Q213" s="153">
        <v>0</v>
      </c>
      <c r="R213" s="155" t="s">
        <v>78</v>
      </c>
      <c r="S213" s="153">
        <v>0</v>
      </c>
      <c r="T213" s="153" t="s">
        <v>78</v>
      </c>
      <c r="U213" s="153">
        <v>0</v>
      </c>
      <c r="V213" s="159" t="s">
        <v>81</v>
      </c>
      <c r="W213" s="159" t="s">
        <v>78</v>
      </c>
      <c r="X213" s="159" t="s">
        <v>81</v>
      </c>
      <c r="Y213" s="159" t="s">
        <v>78</v>
      </c>
      <c r="Z213" s="159" t="s">
        <v>78</v>
      </c>
      <c r="AA213" s="159" t="s">
        <v>81</v>
      </c>
      <c r="AB213" s="159" t="s">
        <v>81</v>
      </c>
      <c r="AC213" s="159" t="s">
        <v>78</v>
      </c>
      <c r="AD213" s="159" t="s">
        <v>81</v>
      </c>
      <c r="AE213" s="159">
        <v>1</v>
      </c>
    </row>
    <row r="214" spans="1:31" s="149" customFormat="1" ht="25.05" customHeight="1" x14ac:dyDescent="0.3">
      <c r="A214" s="153" t="s">
        <v>1321</v>
      </c>
      <c r="B214" s="154" t="s">
        <v>1322</v>
      </c>
      <c r="C214" s="155" t="s">
        <v>78</v>
      </c>
      <c r="D214" s="155" t="s">
        <v>555</v>
      </c>
      <c r="E214" s="153" t="s">
        <v>228</v>
      </c>
      <c r="F214" s="153" t="s">
        <v>689</v>
      </c>
      <c r="G214" s="153" t="s">
        <v>81</v>
      </c>
      <c r="H214" s="153">
        <v>723227.91</v>
      </c>
      <c r="I214" s="156">
        <v>1047819.8282871</v>
      </c>
      <c r="J214" s="157" t="s">
        <v>81</v>
      </c>
      <c r="K214" s="153" t="s">
        <v>78</v>
      </c>
      <c r="L214" s="153" t="s">
        <v>81</v>
      </c>
      <c r="M214" s="153" t="s">
        <v>78</v>
      </c>
      <c r="N214" s="153" t="s">
        <v>81</v>
      </c>
      <c r="O214" s="153">
        <v>0</v>
      </c>
      <c r="P214" s="158" t="s">
        <v>78</v>
      </c>
      <c r="Q214" s="153">
        <v>0</v>
      </c>
      <c r="R214" s="155" t="s">
        <v>78</v>
      </c>
      <c r="S214" s="153">
        <v>0</v>
      </c>
      <c r="T214" s="153" t="s">
        <v>78</v>
      </c>
      <c r="U214" s="153">
        <v>0</v>
      </c>
      <c r="V214" s="159" t="s">
        <v>81</v>
      </c>
      <c r="W214" s="159" t="s">
        <v>78</v>
      </c>
      <c r="X214" s="159" t="s">
        <v>81</v>
      </c>
      <c r="Y214" s="159" t="s">
        <v>78</v>
      </c>
      <c r="Z214" s="159" t="s">
        <v>78</v>
      </c>
      <c r="AA214" s="159" t="s">
        <v>81</v>
      </c>
      <c r="AB214" s="159" t="s">
        <v>81</v>
      </c>
      <c r="AC214" s="159" t="s">
        <v>78</v>
      </c>
      <c r="AD214" s="159" t="s">
        <v>81</v>
      </c>
      <c r="AE214" s="159">
        <v>1</v>
      </c>
    </row>
    <row r="215" spans="1:31" s="149" customFormat="1" ht="25.05" customHeight="1" x14ac:dyDescent="0.3">
      <c r="A215" s="153" t="s">
        <v>1323</v>
      </c>
      <c r="B215" s="154" t="s">
        <v>1324</v>
      </c>
      <c r="C215" s="155" t="s">
        <v>78</v>
      </c>
      <c r="D215" s="155" t="s">
        <v>569</v>
      </c>
      <c r="E215" s="153" t="s">
        <v>228</v>
      </c>
      <c r="F215" s="153" t="s">
        <v>689</v>
      </c>
      <c r="G215" s="153" t="s">
        <v>81</v>
      </c>
      <c r="H215" s="153">
        <v>32545255.989999998</v>
      </c>
      <c r="I215" s="156">
        <v>47151892.330871895</v>
      </c>
      <c r="J215" s="157" t="s">
        <v>81</v>
      </c>
      <c r="K215" s="153" t="s">
        <v>78</v>
      </c>
      <c r="L215" s="153" t="s">
        <v>81</v>
      </c>
      <c r="M215" s="153" t="s">
        <v>78</v>
      </c>
      <c r="N215" s="153" t="s">
        <v>81</v>
      </c>
      <c r="O215" s="153">
        <v>0</v>
      </c>
      <c r="P215" s="158" t="s">
        <v>78</v>
      </c>
      <c r="Q215" s="153">
        <v>0</v>
      </c>
      <c r="R215" s="155" t="s">
        <v>78</v>
      </c>
      <c r="S215" s="153">
        <v>0</v>
      </c>
      <c r="T215" s="153" t="s">
        <v>78</v>
      </c>
      <c r="U215" s="153">
        <v>0</v>
      </c>
      <c r="V215" s="159" t="s">
        <v>81</v>
      </c>
      <c r="W215" s="159" t="s">
        <v>78</v>
      </c>
      <c r="X215" s="159" t="s">
        <v>81</v>
      </c>
      <c r="Y215" s="159" t="s">
        <v>78</v>
      </c>
      <c r="Z215" s="159" t="s">
        <v>78</v>
      </c>
      <c r="AA215" s="159" t="s">
        <v>81</v>
      </c>
      <c r="AB215" s="159" t="s">
        <v>81</v>
      </c>
      <c r="AC215" s="159" t="s">
        <v>78</v>
      </c>
      <c r="AD215" s="159" t="s">
        <v>81</v>
      </c>
      <c r="AE215" s="159">
        <v>1</v>
      </c>
    </row>
    <row r="216" spans="1:31" s="149" customFormat="1" ht="25.05" customHeight="1" x14ac:dyDescent="0.3">
      <c r="A216" s="153" t="s">
        <v>1325</v>
      </c>
      <c r="B216" s="154" t="s">
        <v>1326</v>
      </c>
      <c r="C216" s="155" t="s">
        <v>78</v>
      </c>
      <c r="D216" s="155" t="s">
        <v>570</v>
      </c>
      <c r="E216" s="153" t="s">
        <v>228</v>
      </c>
      <c r="F216" s="153" t="s">
        <v>676</v>
      </c>
      <c r="G216" s="153" t="s">
        <v>81</v>
      </c>
      <c r="H216" s="153">
        <v>719165.76</v>
      </c>
      <c r="I216" s="156">
        <v>1041934.5447456</v>
      </c>
      <c r="J216" s="157" t="s">
        <v>81</v>
      </c>
      <c r="K216" s="153" t="s">
        <v>78</v>
      </c>
      <c r="L216" s="153" t="s">
        <v>81</v>
      </c>
      <c r="M216" s="153" t="s">
        <v>78</v>
      </c>
      <c r="N216" s="153" t="s">
        <v>81</v>
      </c>
      <c r="O216" s="153">
        <v>0</v>
      </c>
      <c r="P216" s="158" t="s">
        <v>78</v>
      </c>
      <c r="Q216" s="153">
        <v>0</v>
      </c>
      <c r="R216" s="155" t="s">
        <v>78</v>
      </c>
      <c r="S216" s="153">
        <v>0</v>
      </c>
      <c r="T216" s="153" t="s">
        <v>78</v>
      </c>
      <c r="U216" s="153">
        <v>0</v>
      </c>
      <c r="V216" s="159" t="s">
        <v>81</v>
      </c>
      <c r="W216" s="159" t="s">
        <v>78</v>
      </c>
      <c r="X216" s="159" t="s">
        <v>81</v>
      </c>
      <c r="Y216" s="159" t="s">
        <v>78</v>
      </c>
      <c r="Z216" s="159" t="s">
        <v>78</v>
      </c>
      <c r="AA216" s="159" t="s">
        <v>81</v>
      </c>
      <c r="AB216" s="159" t="s">
        <v>81</v>
      </c>
      <c r="AC216" s="159" t="s">
        <v>78</v>
      </c>
      <c r="AD216" s="159" t="s">
        <v>81</v>
      </c>
      <c r="AE216" s="159">
        <v>1</v>
      </c>
    </row>
    <row r="217" spans="1:31" s="149" customFormat="1" ht="25.05" customHeight="1" x14ac:dyDescent="0.3">
      <c r="A217" s="153" t="s">
        <v>1327</v>
      </c>
      <c r="B217" s="154" t="s">
        <v>1328</v>
      </c>
      <c r="C217" s="155" t="s">
        <v>78</v>
      </c>
      <c r="D217" s="155" t="s">
        <v>570</v>
      </c>
      <c r="E217" s="153" t="s">
        <v>256</v>
      </c>
      <c r="F217" s="153" t="s">
        <v>679</v>
      </c>
      <c r="G217" s="153" t="s">
        <v>75</v>
      </c>
      <c r="H217" s="153">
        <v>0</v>
      </c>
      <c r="I217" s="156">
        <v>0</v>
      </c>
      <c r="J217" s="157" t="s">
        <v>75</v>
      </c>
      <c r="K217" s="153" t="s">
        <v>1329</v>
      </c>
      <c r="L217" s="153" t="s">
        <v>81</v>
      </c>
      <c r="M217" s="153" t="s">
        <v>78</v>
      </c>
      <c r="N217" s="153" t="s">
        <v>75</v>
      </c>
      <c r="O217" s="153">
        <v>999</v>
      </c>
      <c r="P217" s="158" t="s">
        <v>1330</v>
      </c>
      <c r="Q217" s="153">
        <v>999</v>
      </c>
      <c r="R217" s="155" t="s">
        <v>1331</v>
      </c>
      <c r="S217" s="153">
        <v>0</v>
      </c>
      <c r="T217" s="153" t="s">
        <v>78</v>
      </c>
      <c r="U217" s="153">
        <v>2</v>
      </c>
      <c r="V217" s="159" t="s">
        <v>81</v>
      </c>
      <c r="W217" s="159" t="s">
        <v>78</v>
      </c>
      <c r="X217" s="159" t="s">
        <v>75</v>
      </c>
      <c r="Y217" s="159" t="s">
        <v>256</v>
      </c>
      <c r="Z217" s="159" t="s">
        <v>704</v>
      </c>
      <c r="AA217" s="159" t="s">
        <v>81</v>
      </c>
      <c r="AB217" s="159" t="s">
        <v>81</v>
      </c>
      <c r="AC217" s="159" t="s">
        <v>78</v>
      </c>
      <c r="AD217" s="159" t="s">
        <v>81</v>
      </c>
      <c r="AE217" s="159">
        <v>1</v>
      </c>
    </row>
    <row r="218" spans="1:31" s="149" customFormat="1" ht="25.05" customHeight="1" x14ac:dyDescent="0.3">
      <c r="A218" s="153" t="s">
        <v>1332</v>
      </c>
      <c r="B218" s="154" t="s">
        <v>1333</v>
      </c>
      <c r="C218" s="155" t="s">
        <v>78</v>
      </c>
      <c r="D218" s="155" t="s">
        <v>556</v>
      </c>
      <c r="E218" s="153" t="s">
        <v>101</v>
      </c>
      <c r="F218" s="153" t="s">
        <v>689</v>
      </c>
      <c r="G218" s="153" t="s">
        <v>81</v>
      </c>
      <c r="H218" s="153">
        <v>7232279.1100000003</v>
      </c>
      <c r="I218" s="156">
        <v>10478198.2973591</v>
      </c>
      <c r="J218" s="157" t="s">
        <v>81</v>
      </c>
      <c r="K218" s="153" t="s">
        <v>78</v>
      </c>
      <c r="L218" s="153" t="s">
        <v>81</v>
      </c>
      <c r="M218" s="153" t="s">
        <v>78</v>
      </c>
      <c r="N218" s="153" t="s">
        <v>81</v>
      </c>
      <c r="O218" s="153">
        <v>0</v>
      </c>
      <c r="P218" s="158" t="s">
        <v>78</v>
      </c>
      <c r="Q218" s="153">
        <v>0</v>
      </c>
      <c r="R218" s="155" t="s">
        <v>78</v>
      </c>
      <c r="S218" s="153">
        <v>0</v>
      </c>
      <c r="T218" s="153" t="s">
        <v>78</v>
      </c>
      <c r="U218" s="153">
        <v>0</v>
      </c>
      <c r="V218" s="159" t="s">
        <v>81</v>
      </c>
      <c r="W218" s="159" t="s">
        <v>78</v>
      </c>
      <c r="X218" s="159" t="s">
        <v>81</v>
      </c>
      <c r="Y218" s="159" t="s">
        <v>78</v>
      </c>
      <c r="Z218" s="159" t="s">
        <v>78</v>
      </c>
      <c r="AA218" s="159" t="s">
        <v>81</v>
      </c>
      <c r="AB218" s="159" t="s">
        <v>81</v>
      </c>
      <c r="AC218" s="159" t="s">
        <v>78</v>
      </c>
      <c r="AD218" s="159" t="s">
        <v>81</v>
      </c>
      <c r="AE218" s="159">
        <v>1</v>
      </c>
    </row>
    <row r="219" spans="1:31" s="149" customFormat="1" ht="25.05" customHeight="1" x14ac:dyDescent="0.3">
      <c r="A219" s="153" t="s">
        <v>1334</v>
      </c>
      <c r="B219" s="154" t="s">
        <v>1335</v>
      </c>
      <c r="C219" s="155" t="s">
        <v>1336</v>
      </c>
      <c r="D219" s="155" t="s">
        <v>1848</v>
      </c>
      <c r="E219" s="153" t="s">
        <v>101</v>
      </c>
      <c r="F219" s="153" t="s">
        <v>676</v>
      </c>
      <c r="G219" s="153" t="s">
        <v>81</v>
      </c>
      <c r="H219" s="153">
        <v>10000000</v>
      </c>
      <c r="I219" s="156">
        <v>14488100</v>
      </c>
      <c r="J219" s="157" t="s">
        <v>81</v>
      </c>
      <c r="K219" s="153" t="s">
        <v>78</v>
      </c>
      <c r="L219" s="153" t="s">
        <v>81</v>
      </c>
      <c r="M219" s="153" t="s">
        <v>78</v>
      </c>
      <c r="N219" s="153" t="s">
        <v>81</v>
      </c>
      <c r="O219" s="153">
        <v>0</v>
      </c>
      <c r="P219" s="158" t="s">
        <v>78</v>
      </c>
      <c r="Q219" s="153">
        <v>0</v>
      </c>
      <c r="R219" s="155" t="s">
        <v>78</v>
      </c>
      <c r="S219" s="153">
        <v>0</v>
      </c>
      <c r="T219" s="153" t="s">
        <v>78</v>
      </c>
      <c r="U219" s="153">
        <v>0</v>
      </c>
      <c r="V219" s="159" t="s">
        <v>81</v>
      </c>
      <c r="W219" s="159" t="s">
        <v>78</v>
      </c>
      <c r="X219" s="159" t="s">
        <v>81</v>
      </c>
      <c r="Y219" s="159" t="s">
        <v>78</v>
      </c>
      <c r="Z219" s="159" t="s">
        <v>78</v>
      </c>
      <c r="AA219" s="159" t="s">
        <v>81</v>
      </c>
      <c r="AB219" s="159" t="s">
        <v>81</v>
      </c>
      <c r="AC219" s="159" t="s">
        <v>78</v>
      </c>
      <c r="AD219" s="159" t="s">
        <v>81</v>
      </c>
      <c r="AE219" s="159">
        <v>1</v>
      </c>
    </row>
    <row r="220" spans="1:31" s="149" customFormat="1" ht="25.05" customHeight="1" x14ac:dyDescent="0.3">
      <c r="A220" s="153" t="s">
        <v>1337</v>
      </c>
      <c r="B220" s="154" t="s">
        <v>1338</v>
      </c>
      <c r="C220" s="155" t="s">
        <v>78</v>
      </c>
      <c r="D220" s="155" t="s">
        <v>566</v>
      </c>
      <c r="E220" s="153" t="s">
        <v>256</v>
      </c>
      <c r="F220" s="153" t="s">
        <v>679</v>
      </c>
      <c r="G220" s="153" t="s">
        <v>81</v>
      </c>
      <c r="H220" s="153">
        <v>121889519.7</v>
      </c>
      <c r="I220" s="156">
        <v>176594755.03655699</v>
      </c>
      <c r="J220" s="157" t="s">
        <v>81</v>
      </c>
      <c r="K220" s="153" t="s">
        <v>78</v>
      </c>
      <c r="L220" s="153" t="s">
        <v>81</v>
      </c>
      <c r="M220" s="153" t="s">
        <v>78</v>
      </c>
      <c r="N220" s="153" t="s">
        <v>81</v>
      </c>
      <c r="O220" s="153">
        <v>0</v>
      </c>
      <c r="P220" s="158" t="s">
        <v>78</v>
      </c>
      <c r="Q220" s="153">
        <v>0</v>
      </c>
      <c r="R220" s="155" t="s">
        <v>78</v>
      </c>
      <c r="S220" s="153">
        <v>0</v>
      </c>
      <c r="T220" s="153" t="s">
        <v>78</v>
      </c>
      <c r="U220" s="153">
        <v>0</v>
      </c>
      <c r="V220" s="159" t="s">
        <v>81</v>
      </c>
      <c r="W220" s="159" t="s">
        <v>78</v>
      </c>
      <c r="X220" s="159" t="s">
        <v>81</v>
      </c>
      <c r="Y220" s="159" t="s">
        <v>78</v>
      </c>
      <c r="Z220" s="159" t="s">
        <v>78</v>
      </c>
      <c r="AA220" s="159" t="s">
        <v>81</v>
      </c>
      <c r="AB220" s="159" t="s">
        <v>81</v>
      </c>
      <c r="AC220" s="159" t="s">
        <v>78</v>
      </c>
      <c r="AD220" s="159" t="s">
        <v>81</v>
      </c>
      <c r="AE220" s="159">
        <v>1</v>
      </c>
    </row>
    <row r="221" spans="1:31" s="149" customFormat="1" ht="25.05" customHeight="1" x14ac:dyDescent="0.3">
      <c r="A221" s="153" t="s">
        <v>1339</v>
      </c>
      <c r="B221" s="154" t="s">
        <v>1340</v>
      </c>
      <c r="C221" s="155" t="s">
        <v>78</v>
      </c>
      <c r="D221" s="155" t="s">
        <v>557</v>
      </c>
      <c r="E221" s="153" t="s">
        <v>256</v>
      </c>
      <c r="F221" s="153" t="s">
        <v>676</v>
      </c>
      <c r="G221" s="153" t="s">
        <v>81</v>
      </c>
      <c r="H221" s="153">
        <v>15000000</v>
      </c>
      <c r="I221" s="156">
        <v>21732150</v>
      </c>
      <c r="J221" s="157" t="s">
        <v>81</v>
      </c>
      <c r="K221" s="153" t="s">
        <v>78</v>
      </c>
      <c r="L221" s="153" t="s">
        <v>81</v>
      </c>
      <c r="M221" s="153" t="s">
        <v>78</v>
      </c>
      <c r="N221" s="153" t="s">
        <v>81</v>
      </c>
      <c r="O221" s="153">
        <v>0</v>
      </c>
      <c r="P221" s="158" t="s">
        <v>78</v>
      </c>
      <c r="Q221" s="153">
        <v>0</v>
      </c>
      <c r="R221" s="155" t="s">
        <v>78</v>
      </c>
      <c r="S221" s="153">
        <v>0</v>
      </c>
      <c r="T221" s="153" t="s">
        <v>78</v>
      </c>
      <c r="U221" s="153">
        <v>0</v>
      </c>
      <c r="V221" s="159" t="s">
        <v>81</v>
      </c>
      <c r="W221" s="159" t="s">
        <v>78</v>
      </c>
      <c r="X221" s="159" t="s">
        <v>81</v>
      </c>
      <c r="Y221" s="159" t="s">
        <v>78</v>
      </c>
      <c r="Z221" s="159" t="s">
        <v>78</v>
      </c>
      <c r="AA221" s="159" t="s">
        <v>81</v>
      </c>
      <c r="AB221" s="159" t="s">
        <v>81</v>
      </c>
      <c r="AC221" s="159" t="s">
        <v>78</v>
      </c>
      <c r="AD221" s="159" t="s">
        <v>81</v>
      </c>
      <c r="AE221" s="159">
        <v>1</v>
      </c>
    </row>
    <row r="222" spans="1:31" s="149" customFormat="1" ht="25.05" customHeight="1" x14ac:dyDescent="0.3">
      <c r="A222" s="153" t="s">
        <v>1341</v>
      </c>
      <c r="B222" s="154" t="s">
        <v>1342</v>
      </c>
      <c r="C222" s="155" t="s">
        <v>78</v>
      </c>
      <c r="D222" s="155" t="s">
        <v>570</v>
      </c>
      <c r="E222" s="153" t="s">
        <v>101</v>
      </c>
      <c r="F222" s="153" t="s">
        <v>676</v>
      </c>
      <c r="G222" s="153" t="s">
        <v>81</v>
      </c>
      <c r="H222" s="153">
        <v>2000000</v>
      </c>
      <c r="I222" s="156">
        <v>2897620</v>
      </c>
      <c r="J222" s="157" t="s">
        <v>81</v>
      </c>
      <c r="K222" s="153" t="s">
        <v>78</v>
      </c>
      <c r="L222" s="153" t="s">
        <v>81</v>
      </c>
      <c r="M222" s="153" t="s">
        <v>78</v>
      </c>
      <c r="N222" s="153" t="s">
        <v>81</v>
      </c>
      <c r="O222" s="153">
        <v>0</v>
      </c>
      <c r="P222" s="158" t="s">
        <v>78</v>
      </c>
      <c r="Q222" s="153">
        <v>0</v>
      </c>
      <c r="R222" s="155" t="s">
        <v>78</v>
      </c>
      <c r="S222" s="153">
        <v>0</v>
      </c>
      <c r="T222" s="153" t="s">
        <v>78</v>
      </c>
      <c r="U222" s="153">
        <v>0</v>
      </c>
      <c r="V222" s="159" t="s">
        <v>81</v>
      </c>
      <c r="W222" s="159" t="s">
        <v>78</v>
      </c>
      <c r="X222" s="159" t="s">
        <v>81</v>
      </c>
      <c r="Y222" s="159" t="s">
        <v>78</v>
      </c>
      <c r="Z222" s="159" t="s">
        <v>78</v>
      </c>
      <c r="AA222" s="159" t="s">
        <v>81</v>
      </c>
      <c r="AB222" s="159" t="s">
        <v>81</v>
      </c>
      <c r="AC222" s="159" t="s">
        <v>78</v>
      </c>
      <c r="AD222" s="159" t="s">
        <v>81</v>
      </c>
      <c r="AE222" s="159">
        <v>1</v>
      </c>
    </row>
    <row r="223" spans="1:31" s="149" customFormat="1" ht="25.05" customHeight="1" x14ac:dyDescent="0.3">
      <c r="A223" s="153" t="s">
        <v>1343</v>
      </c>
      <c r="B223" s="154" t="s">
        <v>1344</v>
      </c>
      <c r="C223" s="155" t="s">
        <v>78</v>
      </c>
      <c r="D223" s="155" t="s">
        <v>78</v>
      </c>
      <c r="E223" s="153" t="s">
        <v>101</v>
      </c>
      <c r="F223" s="153" t="s">
        <v>689</v>
      </c>
      <c r="G223" s="153" t="s">
        <v>81</v>
      </c>
      <c r="H223" s="153">
        <v>787671</v>
      </c>
      <c r="I223" s="156">
        <v>1141185.62151</v>
      </c>
      <c r="J223" s="157" t="s">
        <v>81</v>
      </c>
      <c r="K223" s="153" t="s">
        <v>78</v>
      </c>
      <c r="L223" s="153" t="s">
        <v>81</v>
      </c>
      <c r="M223" s="153" t="s">
        <v>78</v>
      </c>
      <c r="N223" s="153" t="s">
        <v>81</v>
      </c>
      <c r="O223" s="153">
        <v>0</v>
      </c>
      <c r="P223" s="158" t="s">
        <v>78</v>
      </c>
      <c r="Q223" s="153">
        <v>0</v>
      </c>
      <c r="R223" s="155" t="s">
        <v>78</v>
      </c>
      <c r="S223" s="153">
        <v>0</v>
      </c>
      <c r="T223" s="153" t="s">
        <v>78</v>
      </c>
      <c r="U223" s="153">
        <v>0</v>
      </c>
      <c r="V223" s="159" t="s">
        <v>81</v>
      </c>
      <c r="W223" s="159" t="s">
        <v>78</v>
      </c>
      <c r="X223" s="159" t="s">
        <v>81</v>
      </c>
      <c r="Y223" s="159" t="s">
        <v>78</v>
      </c>
      <c r="Z223" s="159" t="s">
        <v>78</v>
      </c>
      <c r="AA223" s="159" t="s">
        <v>81</v>
      </c>
      <c r="AB223" s="159" t="s">
        <v>81</v>
      </c>
      <c r="AC223" s="159" t="s">
        <v>78</v>
      </c>
      <c r="AD223" s="159" t="s">
        <v>81</v>
      </c>
      <c r="AE223" s="159">
        <v>1</v>
      </c>
    </row>
    <row r="224" spans="1:31" s="149" customFormat="1" ht="25.05" customHeight="1" x14ac:dyDescent="0.3">
      <c r="A224" s="153" t="s">
        <v>1345</v>
      </c>
      <c r="B224" s="154" t="s">
        <v>1346</v>
      </c>
      <c r="C224" s="155" t="s">
        <v>78</v>
      </c>
      <c r="D224" s="155" t="s">
        <v>569</v>
      </c>
      <c r="E224" s="153" t="s">
        <v>256</v>
      </c>
      <c r="F224" s="153" t="s">
        <v>679</v>
      </c>
      <c r="G224" s="153" t="s">
        <v>81</v>
      </c>
      <c r="H224" s="153">
        <v>11210032.619999999</v>
      </c>
      <c r="I224" s="156">
        <v>16241207.360182198</v>
      </c>
      <c r="J224" s="157" t="s">
        <v>75</v>
      </c>
      <c r="K224" s="153" t="s">
        <v>1347</v>
      </c>
      <c r="L224" s="153" t="s">
        <v>81</v>
      </c>
      <c r="M224" s="153" t="s">
        <v>78</v>
      </c>
      <c r="N224" s="153" t="s">
        <v>75</v>
      </c>
      <c r="O224" s="153">
        <v>999</v>
      </c>
      <c r="P224" s="158" t="s">
        <v>1013</v>
      </c>
      <c r="Q224" s="153">
        <v>0</v>
      </c>
      <c r="R224" s="155" t="s">
        <v>78</v>
      </c>
      <c r="S224" s="153">
        <v>0</v>
      </c>
      <c r="T224" s="153" t="s">
        <v>78</v>
      </c>
      <c r="U224" s="153">
        <v>1</v>
      </c>
      <c r="V224" s="159" t="s">
        <v>81</v>
      </c>
      <c r="W224" s="159" t="s">
        <v>78</v>
      </c>
      <c r="X224" s="159" t="s">
        <v>75</v>
      </c>
      <c r="Y224" s="159" t="s">
        <v>256</v>
      </c>
      <c r="Z224" s="159" t="s">
        <v>704</v>
      </c>
      <c r="AA224" s="159" t="s">
        <v>81</v>
      </c>
      <c r="AB224" s="159" t="s">
        <v>81</v>
      </c>
      <c r="AC224" s="159" t="s">
        <v>78</v>
      </c>
      <c r="AD224" s="159" t="s">
        <v>81</v>
      </c>
      <c r="AE224" s="159">
        <v>1</v>
      </c>
    </row>
    <row r="225" spans="1:31" s="149" customFormat="1" ht="25.05" customHeight="1" x14ac:dyDescent="0.3">
      <c r="A225" s="153" t="s">
        <v>1348</v>
      </c>
      <c r="B225" s="154" t="s">
        <v>1349</v>
      </c>
      <c r="C225" s="155" t="s">
        <v>78</v>
      </c>
      <c r="D225" s="155" t="s">
        <v>569</v>
      </c>
      <c r="E225" s="153" t="s">
        <v>256</v>
      </c>
      <c r="F225" s="153" t="s">
        <v>689</v>
      </c>
      <c r="G225" s="153" t="s">
        <v>81</v>
      </c>
      <c r="H225" s="153">
        <v>36161395.539999999</v>
      </c>
      <c r="I225" s="156">
        <v>52390991.472307399</v>
      </c>
      <c r="J225" s="157" t="s">
        <v>75</v>
      </c>
      <c r="K225" s="153" t="s">
        <v>1350</v>
      </c>
      <c r="L225" s="153" t="s">
        <v>81</v>
      </c>
      <c r="M225" s="153" t="s">
        <v>78</v>
      </c>
      <c r="N225" s="153" t="s">
        <v>75</v>
      </c>
      <c r="O225" s="153">
        <v>999</v>
      </c>
      <c r="P225" s="158" t="s">
        <v>1351</v>
      </c>
      <c r="Q225" s="153">
        <v>999</v>
      </c>
      <c r="R225" s="155" t="s">
        <v>1331</v>
      </c>
      <c r="S225" s="153">
        <v>0</v>
      </c>
      <c r="T225" s="153" t="s">
        <v>78</v>
      </c>
      <c r="U225" s="153">
        <v>2</v>
      </c>
      <c r="V225" s="159" t="s">
        <v>75</v>
      </c>
      <c r="W225" s="159" t="s">
        <v>1352</v>
      </c>
      <c r="X225" s="159" t="s">
        <v>75</v>
      </c>
      <c r="Y225" s="159" t="s">
        <v>466</v>
      </c>
      <c r="Z225" s="159" t="s">
        <v>704</v>
      </c>
      <c r="AA225" s="159" t="s">
        <v>81</v>
      </c>
      <c r="AB225" s="159" t="s">
        <v>81</v>
      </c>
      <c r="AC225" s="159" t="s">
        <v>78</v>
      </c>
      <c r="AD225" s="159" t="s">
        <v>81</v>
      </c>
      <c r="AE225" s="159">
        <v>1</v>
      </c>
    </row>
    <row r="226" spans="1:31" s="149" customFormat="1" ht="25.05" customHeight="1" x14ac:dyDescent="0.3">
      <c r="A226" s="153" t="s">
        <v>1353</v>
      </c>
      <c r="B226" s="154" t="s">
        <v>1354</v>
      </c>
      <c r="C226" s="155" t="s">
        <v>78</v>
      </c>
      <c r="D226" s="155" t="s">
        <v>566</v>
      </c>
      <c r="E226" s="153" t="s">
        <v>101</v>
      </c>
      <c r="F226" s="153" t="s">
        <v>676</v>
      </c>
      <c r="G226" s="153" t="s">
        <v>81</v>
      </c>
      <c r="H226" s="153">
        <v>50000000</v>
      </c>
      <c r="I226" s="156">
        <v>72440500</v>
      </c>
      <c r="J226" s="157" t="s">
        <v>81</v>
      </c>
      <c r="K226" s="153" t="s">
        <v>78</v>
      </c>
      <c r="L226" s="153" t="s">
        <v>81</v>
      </c>
      <c r="M226" s="153" t="s">
        <v>78</v>
      </c>
      <c r="N226" s="153" t="s">
        <v>81</v>
      </c>
      <c r="O226" s="153">
        <v>0</v>
      </c>
      <c r="P226" s="158" t="s">
        <v>78</v>
      </c>
      <c r="Q226" s="153">
        <v>0</v>
      </c>
      <c r="R226" s="155" t="s">
        <v>78</v>
      </c>
      <c r="S226" s="153">
        <v>0</v>
      </c>
      <c r="T226" s="153" t="s">
        <v>78</v>
      </c>
      <c r="U226" s="153">
        <v>0</v>
      </c>
      <c r="V226" s="159" t="s">
        <v>81</v>
      </c>
      <c r="W226" s="159" t="s">
        <v>78</v>
      </c>
      <c r="X226" s="159" t="s">
        <v>81</v>
      </c>
      <c r="Y226" s="159" t="s">
        <v>78</v>
      </c>
      <c r="Z226" s="159" t="s">
        <v>78</v>
      </c>
      <c r="AA226" s="159" t="s">
        <v>81</v>
      </c>
      <c r="AB226" s="159" t="s">
        <v>81</v>
      </c>
      <c r="AC226" s="159" t="s">
        <v>78</v>
      </c>
      <c r="AD226" s="159" t="s">
        <v>81</v>
      </c>
      <c r="AE226" s="159">
        <v>1</v>
      </c>
    </row>
    <row r="227" spans="1:31" s="149" customFormat="1" ht="25.05" customHeight="1" x14ac:dyDescent="0.3">
      <c r="A227" s="153" t="s">
        <v>1355</v>
      </c>
      <c r="B227" s="154" t="s">
        <v>1356</v>
      </c>
      <c r="C227" s="155" t="s">
        <v>78</v>
      </c>
      <c r="D227" s="155" t="s">
        <v>567</v>
      </c>
      <c r="E227" s="153" t="s">
        <v>228</v>
      </c>
      <c r="F227" s="153" t="s">
        <v>676</v>
      </c>
      <c r="G227" s="153" t="s">
        <v>81</v>
      </c>
      <c r="H227" s="153">
        <v>5000000</v>
      </c>
      <c r="I227" s="156">
        <v>7244050</v>
      </c>
      <c r="J227" s="157" t="s">
        <v>81</v>
      </c>
      <c r="K227" s="153" t="s">
        <v>78</v>
      </c>
      <c r="L227" s="153" t="s">
        <v>81</v>
      </c>
      <c r="M227" s="153" t="s">
        <v>78</v>
      </c>
      <c r="N227" s="153" t="s">
        <v>81</v>
      </c>
      <c r="O227" s="153">
        <v>0</v>
      </c>
      <c r="P227" s="158" t="s">
        <v>78</v>
      </c>
      <c r="Q227" s="153">
        <v>0</v>
      </c>
      <c r="R227" s="155" t="s">
        <v>78</v>
      </c>
      <c r="S227" s="153">
        <v>0</v>
      </c>
      <c r="T227" s="153" t="s">
        <v>78</v>
      </c>
      <c r="U227" s="153">
        <v>0</v>
      </c>
      <c r="V227" s="159" t="s">
        <v>81</v>
      </c>
      <c r="W227" s="159" t="s">
        <v>78</v>
      </c>
      <c r="X227" s="159" t="s">
        <v>81</v>
      </c>
      <c r="Y227" s="159" t="s">
        <v>78</v>
      </c>
      <c r="Z227" s="159" t="s">
        <v>78</v>
      </c>
      <c r="AA227" s="159" t="s">
        <v>81</v>
      </c>
      <c r="AB227" s="159" t="s">
        <v>81</v>
      </c>
      <c r="AC227" s="159" t="s">
        <v>78</v>
      </c>
      <c r="AD227" s="159" t="s">
        <v>81</v>
      </c>
      <c r="AE227" s="159">
        <v>1</v>
      </c>
    </row>
    <row r="228" spans="1:31" s="149" customFormat="1" ht="25.05" customHeight="1" x14ac:dyDescent="0.3">
      <c r="A228" s="153" t="s">
        <v>1357</v>
      </c>
      <c r="B228" s="154" t="s">
        <v>1358</v>
      </c>
      <c r="C228" s="155" t="s">
        <v>78</v>
      </c>
      <c r="D228" s="155" t="s">
        <v>554</v>
      </c>
      <c r="E228" s="153" t="s">
        <v>228</v>
      </c>
      <c r="F228" s="153" t="s">
        <v>689</v>
      </c>
      <c r="G228" s="153" t="s">
        <v>81</v>
      </c>
      <c r="H228" s="153">
        <v>367700</v>
      </c>
      <c r="I228" s="156">
        <v>532727.43699999992</v>
      </c>
      <c r="J228" s="157" t="s">
        <v>81</v>
      </c>
      <c r="K228" s="153" t="s">
        <v>78</v>
      </c>
      <c r="L228" s="153" t="s">
        <v>81</v>
      </c>
      <c r="M228" s="153" t="s">
        <v>78</v>
      </c>
      <c r="N228" s="153" t="s">
        <v>81</v>
      </c>
      <c r="O228" s="153">
        <v>0</v>
      </c>
      <c r="P228" s="158" t="s">
        <v>78</v>
      </c>
      <c r="Q228" s="153">
        <v>0</v>
      </c>
      <c r="R228" s="155" t="s">
        <v>78</v>
      </c>
      <c r="S228" s="153">
        <v>0</v>
      </c>
      <c r="T228" s="153" t="s">
        <v>78</v>
      </c>
      <c r="U228" s="153">
        <v>0</v>
      </c>
      <c r="V228" s="159" t="s">
        <v>81</v>
      </c>
      <c r="W228" s="159" t="s">
        <v>78</v>
      </c>
      <c r="X228" s="159" t="s">
        <v>81</v>
      </c>
      <c r="Y228" s="159" t="s">
        <v>78</v>
      </c>
      <c r="Z228" s="159" t="s">
        <v>78</v>
      </c>
      <c r="AA228" s="159" t="s">
        <v>81</v>
      </c>
      <c r="AB228" s="159" t="s">
        <v>81</v>
      </c>
      <c r="AC228" s="159" t="s">
        <v>78</v>
      </c>
      <c r="AD228" s="159" t="s">
        <v>81</v>
      </c>
      <c r="AE228" s="159">
        <v>1</v>
      </c>
    </row>
    <row r="229" spans="1:31" s="149" customFormat="1" ht="25.05" customHeight="1" x14ac:dyDescent="0.3">
      <c r="A229" s="153" t="s">
        <v>1359</v>
      </c>
      <c r="B229" s="154" t="s">
        <v>1360</v>
      </c>
      <c r="C229" s="155" t="s">
        <v>78</v>
      </c>
      <c r="D229" s="155" t="s">
        <v>556</v>
      </c>
      <c r="E229" s="153" t="s">
        <v>256</v>
      </c>
      <c r="F229" s="153" t="s">
        <v>689</v>
      </c>
      <c r="G229" s="153" t="s">
        <v>81</v>
      </c>
      <c r="H229" s="153">
        <v>16098494.960000001</v>
      </c>
      <c r="I229" s="156">
        <v>23323660.4829976</v>
      </c>
      <c r="J229" s="157" t="s">
        <v>81</v>
      </c>
      <c r="K229" s="153" t="s">
        <v>78</v>
      </c>
      <c r="L229" s="153" t="s">
        <v>81</v>
      </c>
      <c r="M229" s="153" t="s">
        <v>78</v>
      </c>
      <c r="N229" s="153" t="s">
        <v>81</v>
      </c>
      <c r="O229" s="153">
        <v>0</v>
      </c>
      <c r="P229" s="158" t="s">
        <v>78</v>
      </c>
      <c r="Q229" s="153">
        <v>0</v>
      </c>
      <c r="R229" s="155" t="s">
        <v>78</v>
      </c>
      <c r="S229" s="153">
        <v>0</v>
      </c>
      <c r="T229" s="153" t="s">
        <v>78</v>
      </c>
      <c r="U229" s="153">
        <v>0</v>
      </c>
      <c r="V229" s="159" t="s">
        <v>81</v>
      </c>
      <c r="W229" s="159" t="s">
        <v>78</v>
      </c>
      <c r="X229" s="159" t="s">
        <v>81</v>
      </c>
      <c r="Y229" s="159" t="s">
        <v>78</v>
      </c>
      <c r="Z229" s="159" t="s">
        <v>78</v>
      </c>
      <c r="AA229" s="159" t="s">
        <v>81</v>
      </c>
      <c r="AB229" s="159" t="s">
        <v>81</v>
      </c>
      <c r="AC229" s="159" t="s">
        <v>78</v>
      </c>
      <c r="AD229" s="159" t="s">
        <v>81</v>
      </c>
      <c r="AE229" s="159">
        <v>1</v>
      </c>
    </row>
    <row r="230" spans="1:31" s="149" customFormat="1" ht="25.05" customHeight="1" x14ac:dyDescent="0.3">
      <c r="A230" s="153" t="s">
        <v>1361</v>
      </c>
      <c r="B230" s="154" t="s">
        <v>1362</v>
      </c>
      <c r="C230" s="155" t="s">
        <v>78</v>
      </c>
      <c r="D230" s="155" t="s">
        <v>567</v>
      </c>
      <c r="E230" s="153" t="s">
        <v>256</v>
      </c>
      <c r="F230" s="153" t="s">
        <v>679</v>
      </c>
      <c r="G230" s="153" t="s">
        <v>75</v>
      </c>
      <c r="H230" s="153">
        <v>0</v>
      </c>
      <c r="I230" s="156">
        <v>0</v>
      </c>
      <c r="J230" s="157" t="s">
        <v>81</v>
      </c>
      <c r="K230" s="153" t="s">
        <v>78</v>
      </c>
      <c r="L230" s="153" t="s">
        <v>81</v>
      </c>
      <c r="M230" s="153" t="s">
        <v>78</v>
      </c>
      <c r="N230" s="153" t="s">
        <v>81</v>
      </c>
      <c r="O230" s="153">
        <v>0</v>
      </c>
      <c r="P230" s="158" t="s">
        <v>78</v>
      </c>
      <c r="Q230" s="153">
        <v>0</v>
      </c>
      <c r="R230" s="155" t="s">
        <v>78</v>
      </c>
      <c r="S230" s="153">
        <v>0</v>
      </c>
      <c r="T230" s="153" t="s">
        <v>78</v>
      </c>
      <c r="U230" s="153">
        <v>0</v>
      </c>
      <c r="V230" s="159" t="s">
        <v>81</v>
      </c>
      <c r="W230" s="159" t="s">
        <v>78</v>
      </c>
      <c r="X230" s="159" t="s">
        <v>81</v>
      </c>
      <c r="Y230" s="159" t="s">
        <v>78</v>
      </c>
      <c r="Z230" s="159" t="s">
        <v>78</v>
      </c>
      <c r="AA230" s="159" t="s">
        <v>81</v>
      </c>
      <c r="AB230" s="159" t="s">
        <v>81</v>
      </c>
      <c r="AC230" s="159" t="s">
        <v>78</v>
      </c>
      <c r="AD230" s="159" t="s">
        <v>81</v>
      </c>
      <c r="AE230" s="159">
        <v>1</v>
      </c>
    </row>
    <row r="231" spans="1:31" s="149" customFormat="1" ht="25.05" customHeight="1" x14ac:dyDescent="0.3">
      <c r="A231" s="153" t="s">
        <v>1363</v>
      </c>
      <c r="B231" s="154" t="s">
        <v>1364</v>
      </c>
      <c r="C231" s="155" t="s">
        <v>78</v>
      </c>
      <c r="D231" s="155" t="s">
        <v>566</v>
      </c>
      <c r="E231" s="153" t="s">
        <v>256</v>
      </c>
      <c r="F231" s="153" t="s">
        <v>679</v>
      </c>
      <c r="G231" s="153" t="s">
        <v>75</v>
      </c>
      <c r="H231" s="153">
        <v>0</v>
      </c>
      <c r="I231" s="156">
        <v>0</v>
      </c>
      <c r="J231" s="157" t="s">
        <v>81</v>
      </c>
      <c r="K231" s="153" t="s">
        <v>78</v>
      </c>
      <c r="L231" s="153" t="s">
        <v>81</v>
      </c>
      <c r="M231" s="153" t="s">
        <v>78</v>
      </c>
      <c r="N231" s="153" t="s">
        <v>81</v>
      </c>
      <c r="O231" s="153">
        <v>0</v>
      </c>
      <c r="P231" s="158" t="s">
        <v>78</v>
      </c>
      <c r="Q231" s="153">
        <v>0</v>
      </c>
      <c r="R231" s="155" t="s">
        <v>78</v>
      </c>
      <c r="S231" s="153">
        <v>0</v>
      </c>
      <c r="T231" s="153" t="s">
        <v>78</v>
      </c>
      <c r="U231" s="153">
        <v>0</v>
      </c>
      <c r="V231" s="159" t="s">
        <v>81</v>
      </c>
      <c r="W231" s="159" t="s">
        <v>78</v>
      </c>
      <c r="X231" s="159" t="s">
        <v>81</v>
      </c>
      <c r="Y231" s="159" t="s">
        <v>78</v>
      </c>
      <c r="Z231" s="159" t="s">
        <v>78</v>
      </c>
      <c r="AA231" s="159" t="s">
        <v>81</v>
      </c>
      <c r="AB231" s="159" t="s">
        <v>81</v>
      </c>
      <c r="AC231" s="159" t="s">
        <v>78</v>
      </c>
      <c r="AD231" s="159" t="s">
        <v>81</v>
      </c>
      <c r="AE231" s="159">
        <v>1</v>
      </c>
    </row>
    <row r="232" spans="1:31" s="149" customFormat="1" ht="25.05" customHeight="1" x14ac:dyDescent="0.3">
      <c r="A232" s="153" t="s">
        <v>1365</v>
      </c>
      <c r="B232" s="154" t="s">
        <v>1366</v>
      </c>
      <c r="C232" s="155" t="s">
        <v>78</v>
      </c>
      <c r="D232" s="155" t="s">
        <v>562</v>
      </c>
      <c r="E232" s="153" t="s">
        <v>101</v>
      </c>
      <c r="F232" s="153" t="s">
        <v>689</v>
      </c>
      <c r="G232" s="153" t="s">
        <v>81</v>
      </c>
      <c r="H232" s="153">
        <v>2000000</v>
      </c>
      <c r="I232" s="156">
        <v>2897620</v>
      </c>
      <c r="J232" s="157" t="s">
        <v>81</v>
      </c>
      <c r="K232" s="153" t="s">
        <v>78</v>
      </c>
      <c r="L232" s="153" t="s">
        <v>81</v>
      </c>
      <c r="M232" s="153" t="s">
        <v>78</v>
      </c>
      <c r="N232" s="153" t="s">
        <v>81</v>
      </c>
      <c r="O232" s="153">
        <v>0</v>
      </c>
      <c r="P232" s="158" t="s">
        <v>78</v>
      </c>
      <c r="Q232" s="153">
        <v>0</v>
      </c>
      <c r="R232" s="155" t="s">
        <v>78</v>
      </c>
      <c r="S232" s="153">
        <v>0</v>
      </c>
      <c r="T232" s="153" t="s">
        <v>78</v>
      </c>
      <c r="U232" s="153">
        <v>0</v>
      </c>
      <c r="V232" s="159" t="s">
        <v>81</v>
      </c>
      <c r="W232" s="159" t="s">
        <v>78</v>
      </c>
      <c r="X232" s="159" t="s">
        <v>81</v>
      </c>
      <c r="Y232" s="159" t="s">
        <v>78</v>
      </c>
      <c r="Z232" s="159" t="s">
        <v>78</v>
      </c>
      <c r="AA232" s="159" t="s">
        <v>81</v>
      </c>
      <c r="AB232" s="159" t="s">
        <v>81</v>
      </c>
      <c r="AC232" s="159" t="s">
        <v>78</v>
      </c>
      <c r="AD232" s="159" t="s">
        <v>81</v>
      </c>
      <c r="AE232" s="159">
        <v>1</v>
      </c>
    </row>
    <row r="233" spans="1:31" s="149" customFormat="1" ht="25.05" customHeight="1" x14ac:dyDescent="0.3">
      <c r="A233" s="153" t="s">
        <v>1367</v>
      </c>
      <c r="B233" s="154" t="s">
        <v>1368</v>
      </c>
      <c r="C233" s="155" t="s">
        <v>78</v>
      </c>
      <c r="D233" s="155" t="s">
        <v>547</v>
      </c>
      <c r="E233" s="153" t="s">
        <v>228</v>
      </c>
      <c r="F233" s="153" t="s">
        <v>676</v>
      </c>
      <c r="G233" s="153" t="s">
        <v>81</v>
      </c>
      <c r="H233" s="153">
        <v>467666</v>
      </c>
      <c r="I233" s="156">
        <v>677559.17745999992</v>
      </c>
      <c r="J233" s="157" t="s">
        <v>81</v>
      </c>
      <c r="K233" s="153" t="s">
        <v>78</v>
      </c>
      <c r="L233" s="153" t="s">
        <v>81</v>
      </c>
      <c r="M233" s="153" t="s">
        <v>78</v>
      </c>
      <c r="N233" s="153" t="s">
        <v>81</v>
      </c>
      <c r="O233" s="153">
        <v>0</v>
      </c>
      <c r="P233" s="158" t="s">
        <v>78</v>
      </c>
      <c r="Q233" s="153">
        <v>0</v>
      </c>
      <c r="R233" s="155" t="s">
        <v>78</v>
      </c>
      <c r="S233" s="153">
        <v>0</v>
      </c>
      <c r="T233" s="153" t="s">
        <v>78</v>
      </c>
      <c r="U233" s="153">
        <v>0</v>
      </c>
      <c r="V233" s="159" t="s">
        <v>81</v>
      </c>
      <c r="W233" s="159" t="s">
        <v>78</v>
      </c>
      <c r="X233" s="159" t="s">
        <v>81</v>
      </c>
      <c r="Y233" s="159" t="s">
        <v>78</v>
      </c>
      <c r="Z233" s="159" t="s">
        <v>78</v>
      </c>
      <c r="AA233" s="159" t="s">
        <v>81</v>
      </c>
      <c r="AB233" s="159" t="s">
        <v>81</v>
      </c>
      <c r="AC233" s="159" t="s">
        <v>78</v>
      </c>
      <c r="AD233" s="159" t="s">
        <v>81</v>
      </c>
      <c r="AE233" s="159">
        <v>1</v>
      </c>
    </row>
    <row r="234" spans="1:31" s="149" customFormat="1" ht="25.05" customHeight="1" x14ac:dyDescent="0.3">
      <c r="A234" s="153" t="s">
        <v>1369</v>
      </c>
      <c r="B234" s="154" t="s">
        <v>1370</v>
      </c>
      <c r="C234" s="155" t="s">
        <v>78</v>
      </c>
      <c r="D234" s="155" t="s">
        <v>551</v>
      </c>
      <c r="E234" s="153" t="s">
        <v>256</v>
      </c>
      <c r="F234" s="153" t="s">
        <v>676</v>
      </c>
      <c r="G234" s="153" t="s">
        <v>81</v>
      </c>
      <c r="H234" s="153">
        <v>10500000</v>
      </c>
      <c r="I234" s="156">
        <v>15212505</v>
      </c>
      <c r="J234" s="157" t="s">
        <v>75</v>
      </c>
      <c r="K234" s="153" t="s">
        <v>1371</v>
      </c>
      <c r="L234" s="153" t="s">
        <v>75</v>
      </c>
      <c r="M234" s="153" t="s">
        <v>1372</v>
      </c>
      <c r="N234" s="153" t="s">
        <v>75</v>
      </c>
      <c r="O234" s="153">
        <v>999</v>
      </c>
      <c r="P234" s="158" t="s">
        <v>1373</v>
      </c>
      <c r="Q234" s="153">
        <v>999</v>
      </c>
      <c r="R234" s="155" t="s">
        <v>1374</v>
      </c>
      <c r="S234" s="153">
        <v>999</v>
      </c>
      <c r="T234" s="153" t="s">
        <v>1375</v>
      </c>
      <c r="U234" s="153">
        <v>3</v>
      </c>
      <c r="V234" s="159" t="s">
        <v>81</v>
      </c>
      <c r="W234" s="159" t="s">
        <v>78</v>
      </c>
      <c r="X234" s="159" t="s">
        <v>75</v>
      </c>
      <c r="Y234" s="159" t="s">
        <v>256</v>
      </c>
      <c r="Z234" s="159" t="s">
        <v>796</v>
      </c>
      <c r="AA234" s="159" t="s">
        <v>81</v>
      </c>
      <c r="AB234" s="159" t="s">
        <v>81</v>
      </c>
      <c r="AC234" s="159" t="s">
        <v>78</v>
      </c>
      <c r="AD234" s="159" t="s">
        <v>75</v>
      </c>
      <c r="AE234" s="159">
        <v>1</v>
      </c>
    </row>
    <row r="235" spans="1:31" s="149" customFormat="1" ht="25.05" customHeight="1" x14ac:dyDescent="0.3">
      <c r="A235" s="153" t="s">
        <v>1376</v>
      </c>
      <c r="B235" s="154" t="s">
        <v>1377</v>
      </c>
      <c r="C235" s="155" t="s">
        <v>78</v>
      </c>
      <c r="D235" s="155" t="s">
        <v>551</v>
      </c>
      <c r="E235" s="153" t="s">
        <v>228</v>
      </c>
      <c r="F235" s="153" t="s">
        <v>837</v>
      </c>
      <c r="G235" s="153" t="s">
        <v>81</v>
      </c>
      <c r="H235" s="153">
        <v>20000000</v>
      </c>
      <c r="I235" s="156">
        <v>28976200</v>
      </c>
      <c r="J235" s="157" t="s">
        <v>81</v>
      </c>
      <c r="K235" s="153" t="s">
        <v>78</v>
      </c>
      <c r="L235" s="153" t="s">
        <v>81</v>
      </c>
      <c r="M235" s="153" t="s">
        <v>78</v>
      </c>
      <c r="N235" s="153" t="s">
        <v>81</v>
      </c>
      <c r="O235" s="153">
        <v>0</v>
      </c>
      <c r="P235" s="158" t="s">
        <v>78</v>
      </c>
      <c r="Q235" s="153">
        <v>0</v>
      </c>
      <c r="R235" s="155" t="s">
        <v>78</v>
      </c>
      <c r="S235" s="153">
        <v>0</v>
      </c>
      <c r="T235" s="153" t="s">
        <v>78</v>
      </c>
      <c r="U235" s="153">
        <v>0</v>
      </c>
      <c r="V235" s="159" t="s">
        <v>75</v>
      </c>
      <c r="W235" s="159" t="s">
        <v>442</v>
      </c>
      <c r="X235" s="159" t="s">
        <v>81</v>
      </c>
      <c r="Y235" s="159" t="s">
        <v>78</v>
      </c>
      <c r="Z235" s="159" t="s">
        <v>78</v>
      </c>
      <c r="AA235" s="159" t="s">
        <v>81</v>
      </c>
      <c r="AB235" s="159" t="s">
        <v>81</v>
      </c>
      <c r="AC235" s="159" t="s">
        <v>78</v>
      </c>
      <c r="AD235" s="159" t="s">
        <v>81</v>
      </c>
      <c r="AE235" s="159">
        <v>1</v>
      </c>
    </row>
    <row r="236" spans="1:31" s="149" customFormat="1" ht="25.05" customHeight="1" x14ac:dyDescent="0.3">
      <c r="A236" s="153" t="s">
        <v>1378</v>
      </c>
      <c r="B236" s="154" t="s">
        <v>1379</v>
      </c>
      <c r="C236" s="155" t="s">
        <v>1380</v>
      </c>
      <c r="D236" s="155" t="s">
        <v>1848</v>
      </c>
      <c r="E236" s="153" t="s">
        <v>101</v>
      </c>
      <c r="F236" s="153" t="s">
        <v>676</v>
      </c>
      <c r="G236" s="153" t="s">
        <v>81</v>
      </c>
      <c r="H236" s="153">
        <v>687510</v>
      </c>
      <c r="I236" s="156">
        <v>996071.36309999996</v>
      </c>
      <c r="J236" s="157" t="s">
        <v>81</v>
      </c>
      <c r="K236" s="153" t="s">
        <v>78</v>
      </c>
      <c r="L236" s="153" t="s">
        <v>81</v>
      </c>
      <c r="M236" s="153" t="s">
        <v>78</v>
      </c>
      <c r="N236" s="153" t="s">
        <v>81</v>
      </c>
      <c r="O236" s="153">
        <v>0</v>
      </c>
      <c r="P236" s="158" t="s">
        <v>78</v>
      </c>
      <c r="Q236" s="153">
        <v>0</v>
      </c>
      <c r="R236" s="155" t="s">
        <v>78</v>
      </c>
      <c r="S236" s="153">
        <v>0</v>
      </c>
      <c r="T236" s="153" t="s">
        <v>78</v>
      </c>
      <c r="U236" s="153">
        <v>0</v>
      </c>
      <c r="V236" s="159" t="s">
        <v>81</v>
      </c>
      <c r="W236" s="159" t="s">
        <v>78</v>
      </c>
      <c r="X236" s="159" t="s">
        <v>81</v>
      </c>
      <c r="Y236" s="159" t="s">
        <v>78</v>
      </c>
      <c r="Z236" s="159" t="s">
        <v>78</v>
      </c>
      <c r="AA236" s="159" t="s">
        <v>81</v>
      </c>
      <c r="AB236" s="159" t="s">
        <v>81</v>
      </c>
      <c r="AC236" s="159" t="s">
        <v>78</v>
      </c>
      <c r="AD236" s="159" t="s">
        <v>81</v>
      </c>
      <c r="AE236" s="159">
        <v>1</v>
      </c>
    </row>
    <row r="237" spans="1:31" s="149" customFormat="1" ht="25.05" customHeight="1" x14ac:dyDescent="0.3">
      <c r="A237" s="153" t="s">
        <v>1381</v>
      </c>
      <c r="B237" s="154" t="s">
        <v>1382</v>
      </c>
      <c r="C237" s="155" t="s">
        <v>1383</v>
      </c>
      <c r="D237" s="155" t="s">
        <v>1848</v>
      </c>
      <c r="E237" s="153" t="s">
        <v>101</v>
      </c>
      <c r="F237" s="153" t="s">
        <v>676</v>
      </c>
      <c r="G237" s="153" t="s">
        <v>81</v>
      </c>
      <c r="H237" s="153">
        <v>495365</v>
      </c>
      <c r="I237" s="156">
        <v>717689.76564999996</v>
      </c>
      <c r="J237" s="157" t="s">
        <v>81</v>
      </c>
      <c r="K237" s="153" t="s">
        <v>78</v>
      </c>
      <c r="L237" s="153" t="s">
        <v>81</v>
      </c>
      <c r="M237" s="153" t="s">
        <v>78</v>
      </c>
      <c r="N237" s="153" t="s">
        <v>81</v>
      </c>
      <c r="O237" s="153">
        <v>0</v>
      </c>
      <c r="P237" s="158" t="s">
        <v>78</v>
      </c>
      <c r="Q237" s="153">
        <v>0</v>
      </c>
      <c r="R237" s="155" t="s">
        <v>78</v>
      </c>
      <c r="S237" s="153">
        <v>0</v>
      </c>
      <c r="T237" s="153" t="s">
        <v>78</v>
      </c>
      <c r="U237" s="153">
        <v>0</v>
      </c>
      <c r="V237" s="159" t="s">
        <v>81</v>
      </c>
      <c r="W237" s="159" t="s">
        <v>78</v>
      </c>
      <c r="X237" s="159" t="s">
        <v>81</v>
      </c>
      <c r="Y237" s="159" t="s">
        <v>78</v>
      </c>
      <c r="Z237" s="159" t="s">
        <v>78</v>
      </c>
      <c r="AA237" s="159" t="s">
        <v>81</v>
      </c>
      <c r="AB237" s="159" t="s">
        <v>81</v>
      </c>
      <c r="AC237" s="159" t="s">
        <v>78</v>
      </c>
      <c r="AD237" s="159" t="s">
        <v>81</v>
      </c>
      <c r="AE237" s="159">
        <v>1</v>
      </c>
    </row>
    <row r="238" spans="1:31" s="149" customFormat="1" ht="25.05" customHeight="1" x14ac:dyDescent="0.3">
      <c r="A238" s="153" t="s">
        <v>1384</v>
      </c>
      <c r="B238" s="154" t="s">
        <v>1385</v>
      </c>
      <c r="C238" s="155" t="s">
        <v>78</v>
      </c>
      <c r="D238" s="155" t="s">
        <v>559</v>
      </c>
      <c r="E238" s="153" t="s">
        <v>228</v>
      </c>
      <c r="F238" s="153" t="s">
        <v>676</v>
      </c>
      <c r="G238" s="153" t="s">
        <v>81</v>
      </c>
      <c r="H238" s="153">
        <v>22250000</v>
      </c>
      <c r="I238" s="156">
        <v>32236022.5</v>
      </c>
      <c r="J238" s="157" t="s">
        <v>75</v>
      </c>
      <c r="K238" s="153" t="s">
        <v>1386</v>
      </c>
      <c r="L238" s="153" t="s">
        <v>75</v>
      </c>
      <c r="M238" s="153" t="s">
        <v>1387</v>
      </c>
      <c r="N238" s="153" t="s">
        <v>75</v>
      </c>
      <c r="O238" s="153">
        <v>999</v>
      </c>
      <c r="P238" s="158" t="s">
        <v>1388</v>
      </c>
      <c r="Q238" s="153">
        <v>0</v>
      </c>
      <c r="R238" s="155" t="s">
        <v>78</v>
      </c>
      <c r="S238" s="153">
        <v>999</v>
      </c>
      <c r="T238" s="153" t="s">
        <v>1389</v>
      </c>
      <c r="U238" s="153">
        <v>2</v>
      </c>
      <c r="V238" s="159" t="s">
        <v>81</v>
      </c>
      <c r="W238" s="159" t="s">
        <v>78</v>
      </c>
      <c r="X238" s="159" t="s">
        <v>75</v>
      </c>
      <c r="Y238" s="159" t="s">
        <v>228</v>
      </c>
      <c r="Z238" s="159" t="s">
        <v>78</v>
      </c>
      <c r="AA238" s="159" t="s">
        <v>81</v>
      </c>
      <c r="AB238" s="159" t="s">
        <v>81</v>
      </c>
      <c r="AC238" s="159" t="s">
        <v>78</v>
      </c>
      <c r="AD238" s="159" t="s">
        <v>75</v>
      </c>
      <c r="AE238" s="159">
        <v>1</v>
      </c>
    </row>
    <row r="239" spans="1:31" s="149" customFormat="1" ht="25.05" customHeight="1" x14ac:dyDescent="0.3">
      <c r="A239" s="153" t="s">
        <v>1390</v>
      </c>
      <c r="B239" s="153" t="s">
        <v>1066</v>
      </c>
      <c r="C239" s="155" t="s">
        <v>78</v>
      </c>
      <c r="D239" s="155" t="s">
        <v>537</v>
      </c>
      <c r="E239" s="153" t="s">
        <v>256</v>
      </c>
      <c r="F239" s="153" t="s">
        <v>1391</v>
      </c>
      <c r="G239" s="153" t="s">
        <v>81</v>
      </c>
      <c r="H239" s="153">
        <v>60702180.93</v>
      </c>
      <c r="I239" s="156">
        <v>84423986.215634704</v>
      </c>
      <c r="J239" s="153" t="s">
        <v>75</v>
      </c>
      <c r="K239" s="153" t="s">
        <v>1392</v>
      </c>
      <c r="L239" s="153" t="s">
        <v>75</v>
      </c>
      <c r="M239" s="153" t="s">
        <v>1393</v>
      </c>
      <c r="N239" s="153" t="s">
        <v>75</v>
      </c>
      <c r="O239" s="153">
        <v>0</v>
      </c>
      <c r="P239" s="158" t="s">
        <v>78</v>
      </c>
      <c r="Q239" s="153">
        <v>999</v>
      </c>
      <c r="R239" s="155" t="s">
        <v>1394</v>
      </c>
      <c r="S239" s="153">
        <v>0</v>
      </c>
      <c r="T239" s="153" t="s">
        <v>78</v>
      </c>
      <c r="U239" s="153">
        <v>1</v>
      </c>
      <c r="V239" s="159" t="s">
        <v>81</v>
      </c>
      <c r="W239" s="159" t="s">
        <v>78</v>
      </c>
      <c r="X239" s="159" t="s">
        <v>75</v>
      </c>
      <c r="Y239" s="159" t="s">
        <v>1395</v>
      </c>
      <c r="Z239" s="159" t="s">
        <v>121</v>
      </c>
      <c r="AA239" s="159" t="s">
        <v>75</v>
      </c>
      <c r="AB239" s="159" t="s">
        <v>81</v>
      </c>
      <c r="AC239" s="159" t="s">
        <v>78</v>
      </c>
      <c r="AD239" s="159" t="s">
        <v>75</v>
      </c>
      <c r="AE239" s="159">
        <v>1</v>
      </c>
    </row>
    <row r="240" spans="1:31" s="149" customFormat="1" ht="25.05" customHeight="1" x14ac:dyDescent="0.3">
      <c r="A240" s="153" t="s">
        <v>1396</v>
      </c>
      <c r="B240" s="153" t="s">
        <v>1397</v>
      </c>
      <c r="C240" s="155" t="s">
        <v>78</v>
      </c>
      <c r="D240" s="155" t="s">
        <v>564</v>
      </c>
      <c r="E240" s="153" t="s">
        <v>228</v>
      </c>
      <c r="F240" s="153" t="s">
        <v>1398</v>
      </c>
      <c r="G240" s="153" t="s">
        <v>75</v>
      </c>
      <c r="H240" s="153">
        <v>0</v>
      </c>
      <c r="I240" s="156">
        <v>0</v>
      </c>
      <c r="J240" s="153" t="s">
        <v>75</v>
      </c>
      <c r="K240" s="153" t="s">
        <v>1399</v>
      </c>
      <c r="L240" s="153" t="s">
        <v>75</v>
      </c>
      <c r="M240" s="153" t="s">
        <v>1400</v>
      </c>
      <c r="N240" s="153" t="s">
        <v>75</v>
      </c>
      <c r="O240" s="153">
        <v>0</v>
      </c>
      <c r="P240" s="158" t="s">
        <v>78</v>
      </c>
      <c r="Q240" s="153">
        <v>999</v>
      </c>
      <c r="R240" s="155" t="s">
        <v>1401</v>
      </c>
      <c r="S240" s="153">
        <v>0</v>
      </c>
      <c r="T240" s="153" t="s">
        <v>78</v>
      </c>
      <c r="U240" s="153">
        <v>2</v>
      </c>
      <c r="V240" s="159" t="s">
        <v>75</v>
      </c>
      <c r="W240" s="159" t="s">
        <v>442</v>
      </c>
      <c r="X240" s="159" t="s">
        <v>75</v>
      </c>
      <c r="Y240" s="159" t="s">
        <v>1402</v>
      </c>
      <c r="Z240" s="159" t="s">
        <v>286</v>
      </c>
      <c r="AA240" s="159" t="s">
        <v>75</v>
      </c>
      <c r="AB240" s="159" t="s">
        <v>81</v>
      </c>
      <c r="AC240" s="159" t="s">
        <v>78</v>
      </c>
      <c r="AD240" s="159" t="s">
        <v>75</v>
      </c>
      <c r="AE240" s="159">
        <v>1</v>
      </c>
    </row>
    <row r="241" spans="1:31" s="149" customFormat="1" ht="25.05" customHeight="1" x14ac:dyDescent="0.3">
      <c r="A241" s="153" t="s">
        <v>1403</v>
      </c>
      <c r="B241" s="153" t="s">
        <v>1404</v>
      </c>
      <c r="C241" s="155" t="s">
        <v>78</v>
      </c>
      <c r="D241" s="155" t="s">
        <v>540</v>
      </c>
      <c r="E241" s="153" t="s">
        <v>228</v>
      </c>
      <c r="F241" s="153" t="s">
        <v>1398</v>
      </c>
      <c r="G241" s="153" t="s">
        <v>75</v>
      </c>
      <c r="H241" s="153">
        <v>0</v>
      </c>
      <c r="I241" s="156">
        <v>0</v>
      </c>
      <c r="J241" s="153" t="s">
        <v>75</v>
      </c>
      <c r="K241" s="153" t="s">
        <v>1399</v>
      </c>
      <c r="L241" s="153" t="s">
        <v>75</v>
      </c>
      <c r="M241" s="153" t="s">
        <v>1405</v>
      </c>
      <c r="N241" s="153" t="s">
        <v>75</v>
      </c>
      <c r="O241" s="153">
        <v>999</v>
      </c>
      <c r="P241" s="158" t="s">
        <v>1406</v>
      </c>
      <c r="Q241" s="153">
        <v>0</v>
      </c>
      <c r="R241" s="155" t="s">
        <v>78</v>
      </c>
      <c r="S241" s="153">
        <v>0</v>
      </c>
      <c r="T241" s="153" t="s">
        <v>78</v>
      </c>
      <c r="U241" s="153">
        <v>1</v>
      </c>
      <c r="V241" s="159" t="s">
        <v>75</v>
      </c>
      <c r="W241" s="159" t="s">
        <v>442</v>
      </c>
      <c r="X241" s="159" t="s">
        <v>75</v>
      </c>
      <c r="Y241" s="159" t="s">
        <v>1402</v>
      </c>
      <c r="Z241" s="159" t="s">
        <v>286</v>
      </c>
      <c r="AA241" s="159" t="s">
        <v>75</v>
      </c>
      <c r="AB241" s="159" t="s">
        <v>81</v>
      </c>
      <c r="AC241" s="159" t="s">
        <v>78</v>
      </c>
      <c r="AD241" s="159" t="s">
        <v>75</v>
      </c>
      <c r="AE241" s="159">
        <v>1</v>
      </c>
    </row>
    <row r="242" spans="1:31" s="149" customFormat="1" ht="25.05" customHeight="1" x14ac:dyDescent="0.3">
      <c r="A242" s="153" t="s">
        <v>1407</v>
      </c>
      <c r="B242" s="153" t="s">
        <v>1408</v>
      </c>
      <c r="C242" s="155" t="s">
        <v>78</v>
      </c>
      <c r="D242" s="155" t="s">
        <v>539</v>
      </c>
      <c r="E242" s="153" t="s">
        <v>101</v>
      </c>
      <c r="F242" s="153" t="s">
        <v>679</v>
      </c>
      <c r="G242" s="153" t="s">
        <v>75</v>
      </c>
      <c r="H242" s="153">
        <v>0</v>
      </c>
      <c r="I242" s="156">
        <v>0</v>
      </c>
      <c r="J242" s="153" t="s">
        <v>81</v>
      </c>
      <c r="K242" s="153" t="s">
        <v>78</v>
      </c>
      <c r="L242" s="153" t="s">
        <v>81</v>
      </c>
      <c r="M242" s="153" t="s">
        <v>1409</v>
      </c>
      <c r="N242" s="153" t="s">
        <v>81</v>
      </c>
      <c r="O242" s="153">
        <v>0</v>
      </c>
      <c r="P242" s="158" t="s">
        <v>78</v>
      </c>
      <c r="Q242" s="153">
        <v>0</v>
      </c>
      <c r="R242" s="155" t="s">
        <v>78</v>
      </c>
      <c r="S242" s="153">
        <v>0</v>
      </c>
      <c r="T242" s="153" t="s">
        <v>78</v>
      </c>
      <c r="U242" s="153">
        <v>0</v>
      </c>
      <c r="V242" s="159" t="s">
        <v>81</v>
      </c>
      <c r="W242" s="159" t="s">
        <v>78</v>
      </c>
      <c r="X242" s="159" t="s">
        <v>81</v>
      </c>
      <c r="Y242" s="159" t="s">
        <v>1410</v>
      </c>
      <c r="Z242" s="159" t="s">
        <v>286</v>
      </c>
      <c r="AA242" s="159" t="s">
        <v>75</v>
      </c>
      <c r="AB242" s="159" t="s">
        <v>81</v>
      </c>
      <c r="AC242" s="159" t="s">
        <v>78</v>
      </c>
      <c r="AD242" s="159" t="s">
        <v>81</v>
      </c>
      <c r="AE242" s="159">
        <v>1</v>
      </c>
    </row>
    <row r="243" spans="1:31" s="149" customFormat="1" ht="25.05" customHeight="1" x14ac:dyDescent="0.3">
      <c r="A243" s="153" t="s">
        <v>1411</v>
      </c>
      <c r="B243" s="153" t="s">
        <v>1412</v>
      </c>
      <c r="C243" s="155" t="s">
        <v>78</v>
      </c>
      <c r="D243" s="155" t="s">
        <v>570</v>
      </c>
      <c r="E243" s="153" t="s">
        <v>256</v>
      </c>
      <c r="F243" s="153" t="s">
        <v>1413</v>
      </c>
      <c r="G243" s="153" t="s">
        <v>75</v>
      </c>
      <c r="H243" s="153">
        <v>0</v>
      </c>
      <c r="I243" s="156">
        <v>0</v>
      </c>
      <c r="J243" s="153" t="s">
        <v>75</v>
      </c>
      <c r="K243" s="153" t="s">
        <v>1414</v>
      </c>
      <c r="L243" s="153" t="s">
        <v>75</v>
      </c>
      <c r="M243" s="153" t="s">
        <v>1415</v>
      </c>
      <c r="N243" s="153" t="s">
        <v>75</v>
      </c>
      <c r="O243" s="153">
        <v>999</v>
      </c>
      <c r="P243" s="158" t="s">
        <v>1416</v>
      </c>
      <c r="Q243" s="153">
        <v>999</v>
      </c>
      <c r="R243" s="155" t="s">
        <v>1417</v>
      </c>
      <c r="S243" s="153">
        <v>0</v>
      </c>
      <c r="T243" s="153" t="s">
        <v>78</v>
      </c>
      <c r="U243" s="153">
        <v>2</v>
      </c>
      <c r="V243" s="159" t="s">
        <v>81</v>
      </c>
      <c r="W243" s="159" t="s">
        <v>78</v>
      </c>
      <c r="X243" s="159" t="s">
        <v>75</v>
      </c>
      <c r="Y243" s="159" t="s">
        <v>1418</v>
      </c>
      <c r="Z243" s="159" t="s">
        <v>121</v>
      </c>
      <c r="AA243" s="159" t="s">
        <v>81</v>
      </c>
      <c r="AB243" s="159" t="s">
        <v>75</v>
      </c>
      <c r="AC243" s="159" t="s">
        <v>78</v>
      </c>
      <c r="AD243" s="159" t="s">
        <v>75</v>
      </c>
      <c r="AE243" s="159">
        <v>1</v>
      </c>
    </row>
    <row r="244" spans="1:31" s="149" customFormat="1" ht="25.05" customHeight="1" x14ac:dyDescent="0.3">
      <c r="A244" s="153" t="s">
        <v>1419</v>
      </c>
      <c r="B244" s="153" t="s">
        <v>1859</v>
      </c>
      <c r="C244" s="155" t="s">
        <v>1421</v>
      </c>
      <c r="D244" s="155" t="s">
        <v>1848</v>
      </c>
      <c r="E244" s="153" t="s">
        <v>101</v>
      </c>
      <c r="F244" s="153" t="s">
        <v>676</v>
      </c>
      <c r="G244" s="153" t="s">
        <v>81</v>
      </c>
      <c r="H244" s="153">
        <v>12000000</v>
      </c>
      <c r="I244" s="156">
        <v>16689480</v>
      </c>
      <c r="J244" s="153" t="s">
        <v>81</v>
      </c>
      <c r="K244" s="153" t="s">
        <v>78</v>
      </c>
      <c r="L244" s="153" t="s">
        <v>81</v>
      </c>
      <c r="M244" s="153" t="s">
        <v>1422</v>
      </c>
      <c r="N244" s="153" t="s">
        <v>81</v>
      </c>
      <c r="O244" s="153">
        <v>0</v>
      </c>
      <c r="P244" s="158" t="s">
        <v>78</v>
      </c>
      <c r="Q244" s="153">
        <v>0</v>
      </c>
      <c r="R244" s="155" t="s">
        <v>78</v>
      </c>
      <c r="S244" s="153">
        <v>0</v>
      </c>
      <c r="T244" s="153" t="s">
        <v>78</v>
      </c>
      <c r="U244" s="153">
        <v>0</v>
      </c>
      <c r="V244" s="159" t="s">
        <v>81</v>
      </c>
      <c r="W244" s="159" t="s">
        <v>78</v>
      </c>
      <c r="X244" s="159" t="s">
        <v>81</v>
      </c>
      <c r="Y244" s="159" t="s">
        <v>1423</v>
      </c>
      <c r="Z244" s="159" t="s">
        <v>397</v>
      </c>
      <c r="AA244" s="159" t="s">
        <v>75</v>
      </c>
      <c r="AB244" s="159" t="s">
        <v>81</v>
      </c>
      <c r="AC244" s="159" t="s">
        <v>78</v>
      </c>
      <c r="AD244" s="159" t="s">
        <v>81</v>
      </c>
      <c r="AE244" s="159">
        <v>1</v>
      </c>
    </row>
    <row r="245" spans="1:31" s="149" customFormat="1" ht="25.05" customHeight="1" x14ac:dyDescent="0.3">
      <c r="A245" s="153" t="s">
        <v>1424</v>
      </c>
      <c r="B245" s="153" t="s">
        <v>1425</v>
      </c>
      <c r="C245" s="155" t="s">
        <v>78</v>
      </c>
      <c r="D245" s="155" t="s">
        <v>527</v>
      </c>
      <c r="E245" s="153" t="s">
        <v>228</v>
      </c>
      <c r="F245" s="153" t="s">
        <v>676</v>
      </c>
      <c r="G245" s="153" t="s">
        <v>81</v>
      </c>
      <c r="H245" s="153">
        <v>13030000</v>
      </c>
      <c r="I245" s="156">
        <v>18121993.699999999</v>
      </c>
      <c r="J245" s="153" t="s">
        <v>75</v>
      </c>
      <c r="K245" s="153" t="s">
        <v>1426</v>
      </c>
      <c r="L245" s="153" t="s">
        <v>75</v>
      </c>
      <c r="M245" s="153" t="s">
        <v>1427</v>
      </c>
      <c r="N245" s="153" t="s">
        <v>75</v>
      </c>
      <c r="O245" s="153">
        <v>999</v>
      </c>
      <c r="P245" s="158" t="s">
        <v>1428</v>
      </c>
      <c r="Q245" s="153">
        <v>999</v>
      </c>
      <c r="R245" s="155" t="s">
        <v>1429</v>
      </c>
      <c r="S245" s="153">
        <v>999</v>
      </c>
      <c r="T245" s="153" t="s">
        <v>1430</v>
      </c>
      <c r="U245" s="153">
        <v>3</v>
      </c>
      <c r="V245" s="159" t="s">
        <v>81</v>
      </c>
      <c r="W245" s="159" t="s">
        <v>78</v>
      </c>
      <c r="X245" s="159" t="s">
        <v>75</v>
      </c>
      <c r="Y245" s="159" t="s">
        <v>1431</v>
      </c>
      <c r="Z245" s="159" t="s">
        <v>121</v>
      </c>
      <c r="AA245" s="159" t="s">
        <v>75</v>
      </c>
      <c r="AB245" s="159" t="s">
        <v>81</v>
      </c>
      <c r="AC245" s="159" t="s">
        <v>78</v>
      </c>
      <c r="AD245" s="159" t="s">
        <v>75</v>
      </c>
      <c r="AE245" s="159">
        <v>1</v>
      </c>
    </row>
    <row r="246" spans="1:31" s="149" customFormat="1" ht="25.05" customHeight="1" x14ac:dyDescent="0.3">
      <c r="A246" s="153" t="s">
        <v>1432</v>
      </c>
      <c r="B246" s="153" t="s">
        <v>1433</v>
      </c>
      <c r="C246" s="155" t="s">
        <v>78</v>
      </c>
      <c r="D246" s="155" t="s">
        <v>564</v>
      </c>
      <c r="E246" s="153" t="s">
        <v>228</v>
      </c>
      <c r="F246" s="153" t="s">
        <v>679</v>
      </c>
      <c r="G246" s="153" t="s">
        <v>75</v>
      </c>
      <c r="H246" s="153">
        <v>0</v>
      </c>
      <c r="I246" s="156">
        <v>0</v>
      </c>
      <c r="J246" s="153" t="s">
        <v>75</v>
      </c>
      <c r="K246" s="153" t="s">
        <v>1434</v>
      </c>
      <c r="L246" s="153" t="s">
        <v>75</v>
      </c>
      <c r="M246" s="153" t="s">
        <v>1435</v>
      </c>
      <c r="N246" s="153" t="s">
        <v>75</v>
      </c>
      <c r="O246" s="153">
        <v>999</v>
      </c>
      <c r="P246" s="158" t="s">
        <v>1436</v>
      </c>
      <c r="Q246" s="153">
        <v>999</v>
      </c>
      <c r="R246" s="155" t="s">
        <v>1437</v>
      </c>
      <c r="S246" s="153">
        <v>0</v>
      </c>
      <c r="T246" s="153" t="s">
        <v>78</v>
      </c>
      <c r="U246" s="153">
        <v>3</v>
      </c>
      <c r="V246" s="159" t="s">
        <v>81</v>
      </c>
      <c r="W246" s="159" t="s">
        <v>78</v>
      </c>
      <c r="X246" s="159" t="s">
        <v>75</v>
      </c>
      <c r="Y246" s="159" t="s">
        <v>1438</v>
      </c>
      <c r="Z246" s="159" t="s">
        <v>132</v>
      </c>
      <c r="AA246" s="159" t="s">
        <v>75</v>
      </c>
      <c r="AB246" s="159" t="s">
        <v>75</v>
      </c>
      <c r="AC246" s="159" t="s">
        <v>78</v>
      </c>
      <c r="AD246" s="159" t="s">
        <v>75</v>
      </c>
      <c r="AE246" s="159">
        <v>1</v>
      </c>
    </row>
    <row r="247" spans="1:31" s="149" customFormat="1" ht="25.05" customHeight="1" x14ac:dyDescent="0.3">
      <c r="A247" s="153" t="s">
        <v>1439</v>
      </c>
      <c r="B247" s="153" t="s">
        <v>1440</v>
      </c>
      <c r="C247" s="155" t="s">
        <v>78</v>
      </c>
      <c r="D247" s="155" t="s">
        <v>492</v>
      </c>
      <c r="E247" s="153" t="s">
        <v>115</v>
      </c>
      <c r="F247" s="153" t="s">
        <v>679</v>
      </c>
      <c r="G247" s="153" t="s">
        <v>81</v>
      </c>
      <c r="H247" s="153">
        <v>60000000</v>
      </c>
      <c r="I247" s="156">
        <v>83447400</v>
      </c>
      <c r="J247" s="153" t="s">
        <v>75</v>
      </c>
      <c r="K247" s="153" t="s">
        <v>1441</v>
      </c>
      <c r="L247" s="153" t="s">
        <v>75</v>
      </c>
      <c r="M247" s="153" t="s">
        <v>1442</v>
      </c>
      <c r="N247" s="153" t="s">
        <v>75</v>
      </c>
      <c r="O247" s="153">
        <v>999</v>
      </c>
      <c r="P247" s="158" t="s">
        <v>1443</v>
      </c>
      <c r="Q247" s="153">
        <v>999</v>
      </c>
      <c r="R247" s="155" t="s">
        <v>1444</v>
      </c>
      <c r="S247" s="153">
        <v>0</v>
      </c>
      <c r="T247" s="153" t="s">
        <v>78</v>
      </c>
      <c r="U247" s="153">
        <v>3</v>
      </c>
      <c r="V247" s="159" t="s">
        <v>81</v>
      </c>
      <c r="W247" s="159" t="s">
        <v>78</v>
      </c>
      <c r="X247" s="159" t="s">
        <v>75</v>
      </c>
      <c r="Y247" s="159" t="s">
        <v>1445</v>
      </c>
      <c r="Z247" s="159" t="s">
        <v>1446</v>
      </c>
      <c r="AA247" s="159" t="s">
        <v>75</v>
      </c>
      <c r="AB247" s="159" t="s">
        <v>75</v>
      </c>
      <c r="AC247" s="159" t="s">
        <v>78</v>
      </c>
      <c r="AD247" s="159" t="s">
        <v>75</v>
      </c>
      <c r="AE247" s="159">
        <v>1</v>
      </c>
    </row>
    <row r="248" spans="1:31" s="149" customFormat="1" ht="25.05" customHeight="1" x14ac:dyDescent="0.3">
      <c r="A248" s="153" t="s">
        <v>1447</v>
      </c>
      <c r="B248" s="153" t="s">
        <v>1448</v>
      </c>
      <c r="C248" s="155" t="s">
        <v>78</v>
      </c>
      <c r="D248" s="155" t="s">
        <v>551</v>
      </c>
      <c r="E248" s="153" t="s">
        <v>256</v>
      </c>
      <c r="F248" s="153" t="s">
        <v>679</v>
      </c>
      <c r="G248" s="153" t="s">
        <v>75</v>
      </c>
      <c r="H248" s="153">
        <v>0</v>
      </c>
      <c r="I248" s="156">
        <v>0</v>
      </c>
      <c r="J248" s="153" t="s">
        <v>75</v>
      </c>
      <c r="K248" s="153" t="s">
        <v>1449</v>
      </c>
      <c r="L248" s="153" t="s">
        <v>75</v>
      </c>
      <c r="M248" s="153" t="s">
        <v>1450</v>
      </c>
      <c r="N248" s="153" t="s">
        <v>75</v>
      </c>
      <c r="O248" s="153">
        <v>999</v>
      </c>
      <c r="P248" s="158" t="s">
        <v>1451</v>
      </c>
      <c r="Q248" s="153">
        <v>999</v>
      </c>
      <c r="R248" s="155" t="s">
        <v>1452</v>
      </c>
      <c r="S248" s="153">
        <v>999</v>
      </c>
      <c r="T248" s="153" t="s">
        <v>1453</v>
      </c>
      <c r="U248" s="153">
        <v>4</v>
      </c>
      <c r="V248" s="159" t="s">
        <v>81</v>
      </c>
      <c r="W248" s="159" t="s">
        <v>78</v>
      </c>
      <c r="X248" s="159" t="s">
        <v>75</v>
      </c>
      <c r="Y248" s="159" t="s">
        <v>1454</v>
      </c>
      <c r="Z248" s="159" t="s">
        <v>121</v>
      </c>
      <c r="AA248" s="159" t="s">
        <v>75</v>
      </c>
      <c r="AB248" s="159" t="s">
        <v>75</v>
      </c>
      <c r="AC248" s="159" t="s">
        <v>78</v>
      </c>
      <c r="AD248" s="159" t="s">
        <v>75</v>
      </c>
      <c r="AE248" s="159">
        <v>1</v>
      </c>
    </row>
    <row r="249" spans="1:31" s="149" customFormat="1" ht="25.05" customHeight="1" x14ac:dyDescent="0.3">
      <c r="A249" s="153" t="s">
        <v>1455</v>
      </c>
      <c r="B249" s="153" t="s">
        <v>1456</v>
      </c>
      <c r="C249" s="155" t="s">
        <v>1457</v>
      </c>
      <c r="D249" s="155" t="s">
        <v>1848</v>
      </c>
      <c r="E249" s="153" t="s">
        <v>256</v>
      </c>
      <c r="F249" s="153" t="s">
        <v>679</v>
      </c>
      <c r="G249" s="153" t="s">
        <v>75</v>
      </c>
      <c r="H249" s="153">
        <v>0</v>
      </c>
      <c r="I249" s="156">
        <v>0</v>
      </c>
      <c r="J249" s="153" t="s">
        <v>75</v>
      </c>
      <c r="K249" s="153" t="s">
        <v>1458</v>
      </c>
      <c r="L249" s="153" t="s">
        <v>75</v>
      </c>
      <c r="M249" s="153" t="s">
        <v>1459</v>
      </c>
      <c r="N249" s="153" t="s">
        <v>81</v>
      </c>
      <c r="O249" s="153">
        <v>0</v>
      </c>
      <c r="P249" s="158" t="s">
        <v>78</v>
      </c>
      <c r="Q249" s="153">
        <v>0</v>
      </c>
      <c r="R249" s="155" t="s">
        <v>78</v>
      </c>
      <c r="S249" s="153">
        <v>0</v>
      </c>
      <c r="T249" s="153" t="s">
        <v>78</v>
      </c>
      <c r="U249" s="153">
        <v>0</v>
      </c>
      <c r="V249" s="159" t="s">
        <v>81</v>
      </c>
      <c r="W249" s="159" t="s">
        <v>78</v>
      </c>
      <c r="X249" s="159" t="s">
        <v>81</v>
      </c>
      <c r="Y249" s="159" t="s">
        <v>1423</v>
      </c>
      <c r="Z249" s="159" t="s">
        <v>121</v>
      </c>
      <c r="AA249" s="159" t="s">
        <v>81</v>
      </c>
      <c r="AB249" s="159" t="s">
        <v>81</v>
      </c>
      <c r="AC249" s="159" t="s">
        <v>78</v>
      </c>
      <c r="AD249" s="159" t="s">
        <v>81</v>
      </c>
      <c r="AE249" s="159">
        <v>1</v>
      </c>
    </row>
    <row r="250" spans="1:31" s="149" customFormat="1" ht="25.05" customHeight="1" x14ac:dyDescent="0.3">
      <c r="A250" s="153" t="s">
        <v>1460</v>
      </c>
      <c r="B250" s="153" t="s">
        <v>1461</v>
      </c>
      <c r="C250" s="155" t="s">
        <v>78</v>
      </c>
      <c r="D250" s="155" t="s">
        <v>553</v>
      </c>
      <c r="E250" s="153" t="s">
        <v>228</v>
      </c>
      <c r="F250" s="153" t="s">
        <v>679</v>
      </c>
      <c r="G250" s="153" t="s">
        <v>81</v>
      </c>
      <c r="H250" s="153">
        <v>82000000</v>
      </c>
      <c r="I250" s="156">
        <v>114044780</v>
      </c>
      <c r="J250" s="153" t="s">
        <v>75</v>
      </c>
      <c r="K250" s="153" t="s">
        <v>1462</v>
      </c>
      <c r="L250" s="153" t="s">
        <v>75</v>
      </c>
      <c r="M250" s="153" t="s">
        <v>1463</v>
      </c>
      <c r="N250" s="153" t="s">
        <v>75</v>
      </c>
      <c r="O250" s="153">
        <v>0</v>
      </c>
      <c r="P250" s="158" t="s">
        <v>78</v>
      </c>
      <c r="Q250" s="153">
        <v>999</v>
      </c>
      <c r="R250" s="155" t="s">
        <v>1464</v>
      </c>
      <c r="S250" s="153">
        <v>0</v>
      </c>
      <c r="T250" s="153" t="s">
        <v>78</v>
      </c>
      <c r="U250" s="153">
        <v>1</v>
      </c>
      <c r="V250" s="159" t="s">
        <v>81</v>
      </c>
      <c r="W250" s="159" t="s">
        <v>78</v>
      </c>
      <c r="X250" s="159" t="s">
        <v>81</v>
      </c>
      <c r="Y250" s="159" t="s">
        <v>1423</v>
      </c>
      <c r="Z250" s="159" t="s">
        <v>132</v>
      </c>
      <c r="AA250" s="159" t="s">
        <v>75</v>
      </c>
      <c r="AB250" s="159" t="s">
        <v>81</v>
      </c>
      <c r="AC250" s="159" t="s">
        <v>78</v>
      </c>
      <c r="AD250" s="159" t="s">
        <v>75</v>
      </c>
      <c r="AE250" s="159">
        <v>1</v>
      </c>
    </row>
    <row r="251" spans="1:31" s="149" customFormat="1" ht="25.05" customHeight="1" x14ac:dyDescent="0.3">
      <c r="A251" s="153" t="s">
        <v>1465</v>
      </c>
      <c r="B251" s="153" t="s">
        <v>1466</v>
      </c>
      <c r="C251" s="155" t="s">
        <v>78</v>
      </c>
      <c r="D251" s="155" t="s">
        <v>492</v>
      </c>
      <c r="E251" s="153" t="s">
        <v>228</v>
      </c>
      <c r="F251" s="153" t="s">
        <v>676</v>
      </c>
      <c r="G251" s="153" t="s">
        <v>81</v>
      </c>
      <c r="H251" s="153">
        <v>20000000</v>
      </c>
      <c r="I251" s="156">
        <v>27815800</v>
      </c>
      <c r="J251" s="153" t="s">
        <v>75</v>
      </c>
      <c r="K251" s="153" t="s">
        <v>1467</v>
      </c>
      <c r="L251" s="153" t="s">
        <v>75</v>
      </c>
      <c r="M251" s="153" t="s">
        <v>1468</v>
      </c>
      <c r="N251" s="153" t="s">
        <v>75</v>
      </c>
      <c r="O251" s="153">
        <v>999</v>
      </c>
      <c r="P251" s="158" t="s">
        <v>1469</v>
      </c>
      <c r="Q251" s="153">
        <v>0</v>
      </c>
      <c r="R251" s="155" t="s">
        <v>78</v>
      </c>
      <c r="S251" s="153">
        <v>999</v>
      </c>
      <c r="T251" s="153" t="s">
        <v>1470</v>
      </c>
      <c r="U251" s="153">
        <v>3</v>
      </c>
      <c r="V251" s="159" t="s">
        <v>81</v>
      </c>
      <c r="W251" s="159" t="s">
        <v>78</v>
      </c>
      <c r="X251" s="159" t="s">
        <v>75</v>
      </c>
      <c r="Y251" s="159" t="s">
        <v>1471</v>
      </c>
      <c r="Z251" s="159" t="s">
        <v>121</v>
      </c>
      <c r="AA251" s="159" t="s">
        <v>75</v>
      </c>
      <c r="AB251" s="159" t="s">
        <v>75</v>
      </c>
      <c r="AC251" s="159" t="s">
        <v>78</v>
      </c>
      <c r="AD251" s="159" t="s">
        <v>75</v>
      </c>
      <c r="AE251" s="159">
        <v>1</v>
      </c>
    </row>
    <row r="252" spans="1:31" s="149" customFormat="1" ht="25.05" customHeight="1" x14ac:dyDescent="0.3">
      <c r="A252" s="153" t="s">
        <v>1472</v>
      </c>
      <c r="B252" s="153" t="s">
        <v>1473</v>
      </c>
      <c r="C252" s="155" t="s">
        <v>78</v>
      </c>
      <c r="D252" s="155" t="s">
        <v>550</v>
      </c>
      <c r="E252" s="153" t="s">
        <v>228</v>
      </c>
      <c r="F252" s="153" t="s">
        <v>689</v>
      </c>
      <c r="G252" s="153" t="s">
        <v>81</v>
      </c>
      <c r="H252" s="153">
        <v>80951995</v>
      </c>
      <c r="I252" s="156">
        <v>112587225.12605</v>
      </c>
      <c r="J252" s="153" t="s">
        <v>81</v>
      </c>
      <c r="K252" s="153" t="s">
        <v>78</v>
      </c>
      <c r="L252" s="153" t="s">
        <v>81</v>
      </c>
      <c r="M252" s="153" t="s">
        <v>1474</v>
      </c>
      <c r="N252" s="153" t="s">
        <v>81</v>
      </c>
      <c r="O252" s="153">
        <v>0</v>
      </c>
      <c r="P252" s="158" t="s">
        <v>78</v>
      </c>
      <c r="Q252" s="153">
        <v>0</v>
      </c>
      <c r="R252" s="155" t="s">
        <v>78</v>
      </c>
      <c r="S252" s="153">
        <v>0</v>
      </c>
      <c r="T252" s="153" t="s">
        <v>78</v>
      </c>
      <c r="U252" s="153">
        <v>0</v>
      </c>
      <c r="V252" s="159" t="s">
        <v>81</v>
      </c>
      <c r="W252" s="159" t="s">
        <v>78</v>
      </c>
      <c r="X252" s="159" t="s">
        <v>81</v>
      </c>
      <c r="Y252" s="159" t="s">
        <v>1423</v>
      </c>
      <c r="Z252" s="159" t="s">
        <v>397</v>
      </c>
      <c r="AA252" s="159" t="s">
        <v>75</v>
      </c>
      <c r="AB252" s="159" t="s">
        <v>81</v>
      </c>
      <c r="AC252" s="159" t="s">
        <v>78</v>
      </c>
      <c r="AD252" s="159" t="s">
        <v>81</v>
      </c>
      <c r="AE252" s="159">
        <v>1</v>
      </c>
    </row>
    <row r="253" spans="1:31" s="149" customFormat="1" ht="25.05" customHeight="1" x14ac:dyDescent="0.3">
      <c r="A253" s="161" t="s">
        <v>1475</v>
      </c>
      <c r="B253" s="161" t="s">
        <v>1476</v>
      </c>
      <c r="C253" s="162" t="s">
        <v>78</v>
      </c>
      <c r="D253" s="155" t="s">
        <v>545</v>
      </c>
      <c r="E253" s="153" t="s">
        <v>256</v>
      </c>
      <c r="F253" s="153" t="s">
        <v>679</v>
      </c>
      <c r="G253" s="153" t="s">
        <v>75</v>
      </c>
      <c r="H253" s="153">
        <v>0</v>
      </c>
      <c r="I253" s="156">
        <v>0</v>
      </c>
      <c r="J253" s="153" t="s">
        <v>75</v>
      </c>
      <c r="K253" s="153" t="s">
        <v>1477</v>
      </c>
      <c r="L253" s="153" t="s">
        <v>75</v>
      </c>
      <c r="M253" s="153" t="s">
        <v>1478</v>
      </c>
      <c r="N253" s="153" t="s">
        <v>75</v>
      </c>
      <c r="O253" s="153">
        <v>999</v>
      </c>
      <c r="P253" s="158" t="s">
        <v>1479</v>
      </c>
      <c r="Q253" s="153">
        <v>999</v>
      </c>
      <c r="R253" s="155" t="s">
        <v>1480</v>
      </c>
      <c r="S253" s="153">
        <v>999</v>
      </c>
      <c r="T253" s="153" t="s">
        <v>1481</v>
      </c>
      <c r="U253" s="153">
        <v>3</v>
      </c>
      <c r="V253" s="159" t="s">
        <v>81</v>
      </c>
      <c r="W253" s="159" t="s">
        <v>78</v>
      </c>
      <c r="X253" s="159" t="s">
        <v>75</v>
      </c>
      <c r="Y253" s="159" t="s">
        <v>1482</v>
      </c>
      <c r="Z253" s="159" t="s">
        <v>121</v>
      </c>
      <c r="AA253" s="159" t="s">
        <v>75</v>
      </c>
      <c r="AB253" s="159" t="s">
        <v>75</v>
      </c>
      <c r="AC253" s="159" t="s">
        <v>78</v>
      </c>
      <c r="AD253" s="159" t="s">
        <v>75</v>
      </c>
      <c r="AE253" s="159">
        <v>1</v>
      </c>
    </row>
    <row r="254" spans="1:31" s="149" customFormat="1" ht="25.05" customHeight="1" x14ac:dyDescent="0.3">
      <c r="A254" s="161" t="s">
        <v>1483</v>
      </c>
      <c r="B254" s="161" t="s">
        <v>1484</v>
      </c>
      <c r="C254" s="162" t="s">
        <v>78</v>
      </c>
      <c r="D254" s="155" t="s">
        <v>547</v>
      </c>
      <c r="E254" s="153" t="s">
        <v>101</v>
      </c>
      <c r="F254" s="153" t="s">
        <v>679</v>
      </c>
      <c r="G254" s="153" t="s">
        <v>75</v>
      </c>
      <c r="H254" s="153">
        <v>0</v>
      </c>
      <c r="I254" s="156">
        <v>0</v>
      </c>
      <c r="J254" s="153" t="s">
        <v>81</v>
      </c>
      <c r="K254" s="153" t="s">
        <v>78</v>
      </c>
      <c r="L254" s="153" t="s">
        <v>81</v>
      </c>
      <c r="M254" s="153" t="s">
        <v>1409</v>
      </c>
      <c r="N254" s="153" t="s">
        <v>81</v>
      </c>
      <c r="O254" s="153">
        <v>0</v>
      </c>
      <c r="P254" s="158" t="s">
        <v>78</v>
      </c>
      <c r="Q254" s="153">
        <v>0</v>
      </c>
      <c r="R254" s="155" t="s">
        <v>78</v>
      </c>
      <c r="S254" s="153">
        <v>0</v>
      </c>
      <c r="T254" s="153" t="s">
        <v>78</v>
      </c>
      <c r="U254" s="153">
        <v>0</v>
      </c>
      <c r="V254" s="159" t="s">
        <v>81</v>
      </c>
      <c r="W254" s="159" t="s">
        <v>78</v>
      </c>
      <c r="X254" s="159" t="s">
        <v>81</v>
      </c>
      <c r="Y254" s="159" t="s">
        <v>1423</v>
      </c>
      <c r="Z254" s="159" t="s">
        <v>286</v>
      </c>
      <c r="AA254" s="159" t="s">
        <v>75</v>
      </c>
      <c r="AB254" s="159" t="s">
        <v>81</v>
      </c>
      <c r="AC254" s="159" t="s">
        <v>78</v>
      </c>
      <c r="AD254" s="159" t="s">
        <v>81</v>
      </c>
      <c r="AE254" s="159">
        <v>1</v>
      </c>
    </row>
    <row r="255" spans="1:31" s="149" customFormat="1" ht="25.05" customHeight="1" x14ac:dyDescent="0.3">
      <c r="A255" s="161" t="s">
        <v>1485</v>
      </c>
      <c r="B255" s="161" t="s">
        <v>1486</v>
      </c>
      <c r="C255" s="162" t="s">
        <v>78</v>
      </c>
      <c r="D255" s="155" t="s">
        <v>536</v>
      </c>
      <c r="E255" s="153" t="s">
        <v>228</v>
      </c>
      <c r="F255" s="153" t="s">
        <v>679</v>
      </c>
      <c r="G255" s="153" t="s">
        <v>75</v>
      </c>
      <c r="H255" s="153">
        <v>0</v>
      </c>
      <c r="I255" s="156">
        <v>0</v>
      </c>
      <c r="J255" s="153" t="s">
        <v>75</v>
      </c>
      <c r="K255" s="153" t="s">
        <v>1487</v>
      </c>
      <c r="L255" s="153" t="s">
        <v>75</v>
      </c>
      <c r="M255" s="153" t="s">
        <v>1488</v>
      </c>
      <c r="N255" s="153" t="s">
        <v>75</v>
      </c>
      <c r="O255" s="153">
        <v>0</v>
      </c>
      <c r="P255" s="158" t="s">
        <v>78</v>
      </c>
      <c r="Q255" s="153">
        <v>999</v>
      </c>
      <c r="R255" s="155" t="s">
        <v>1489</v>
      </c>
      <c r="S255" s="153">
        <v>0</v>
      </c>
      <c r="T255" s="153" t="s">
        <v>78</v>
      </c>
      <c r="U255" s="153">
        <v>1</v>
      </c>
      <c r="V255" s="159" t="s">
        <v>81</v>
      </c>
      <c r="W255" s="159" t="s">
        <v>78</v>
      </c>
      <c r="X255" s="159" t="s">
        <v>75</v>
      </c>
      <c r="Y255" s="159" t="s">
        <v>1490</v>
      </c>
      <c r="Z255" s="159" t="s">
        <v>1491</v>
      </c>
      <c r="AA255" s="159" t="s">
        <v>75</v>
      </c>
      <c r="AB255" s="159" t="s">
        <v>81</v>
      </c>
      <c r="AC255" s="159" t="s">
        <v>78</v>
      </c>
      <c r="AD255" s="159" t="s">
        <v>75</v>
      </c>
      <c r="AE255" s="159">
        <v>1</v>
      </c>
    </row>
    <row r="256" spans="1:31" s="149" customFormat="1" ht="25.05" customHeight="1" x14ac:dyDescent="0.3">
      <c r="A256" s="161" t="s">
        <v>1492</v>
      </c>
      <c r="B256" s="161" t="s">
        <v>1493</v>
      </c>
      <c r="C256" s="162" t="s">
        <v>78</v>
      </c>
      <c r="D256" s="155" t="s">
        <v>561</v>
      </c>
      <c r="E256" s="153" t="s">
        <v>256</v>
      </c>
      <c r="F256" s="153" t="s">
        <v>679</v>
      </c>
      <c r="G256" s="153" t="s">
        <v>81</v>
      </c>
      <c r="H256" s="153">
        <v>8000000</v>
      </c>
      <c r="I256" s="156">
        <v>11126320</v>
      </c>
      <c r="J256" s="153" t="s">
        <v>75</v>
      </c>
      <c r="K256" s="153" t="s">
        <v>1494</v>
      </c>
      <c r="L256" s="153" t="s">
        <v>75</v>
      </c>
      <c r="M256" s="153" t="s">
        <v>1495</v>
      </c>
      <c r="N256" s="153" t="s">
        <v>75</v>
      </c>
      <c r="O256" s="153">
        <v>999</v>
      </c>
      <c r="P256" s="158" t="s">
        <v>1496</v>
      </c>
      <c r="Q256" s="153">
        <v>0</v>
      </c>
      <c r="R256" s="155" t="s">
        <v>78</v>
      </c>
      <c r="S256" s="153">
        <v>999</v>
      </c>
      <c r="T256" s="153" t="s">
        <v>1497</v>
      </c>
      <c r="U256" s="153">
        <v>3</v>
      </c>
      <c r="V256" s="159" t="s">
        <v>75</v>
      </c>
      <c r="W256" s="159" t="s">
        <v>1498</v>
      </c>
      <c r="X256" s="159" t="s">
        <v>75</v>
      </c>
      <c r="Y256" s="159" t="s">
        <v>1499</v>
      </c>
      <c r="Z256" s="159" t="s">
        <v>121</v>
      </c>
      <c r="AA256" s="159" t="s">
        <v>75</v>
      </c>
      <c r="AB256" s="159" t="s">
        <v>75</v>
      </c>
      <c r="AC256" s="159" t="s">
        <v>78</v>
      </c>
      <c r="AD256" s="159" t="s">
        <v>75</v>
      </c>
      <c r="AE256" s="159">
        <v>1</v>
      </c>
    </row>
    <row r="257" spans="1:31" s="149" customFormat="1" ht="25.05" customHeight="1" x14ac:dyDescent="0.3">
      <c r="A257" s="161" t="s">
        <v>1500</v>
      </c>
      <c r="B257" s="161" t="s">
        <v>1501</v>
      </c>
      <c r="C257" s="162" t="s">
        <v>78</v>
      </c>
      <c r="D257" s="155" t="s">
        <v>541</v>
      </c>
      <c r="E257" s="153" t="s">
        <v>228</v>
      </c>
      <c r="F257" s="153" t="s">
        <v>679</v>
      </c>
      <c r="G257" s="153" t="s">
        <v>81</v>
      </c>
      <c r="H257" s="153">
        <v>45445839</v>
      </c>
      <c r="I257" s="156">
        <v>63205618.422809996</v>
      </c>
      <c r="J257" s="153" t="s">
        <v>75</v>
      </c>
      <c r="K257" s="153" t="s">
        <v>1502</v>
      </c>
      <c r="L257" s="153" t="s">
        <v>75</v>
      </c>
      <c r="M257" s="153" t="s">
        <v>1503</v>
      </c>
      <c r="N257" s="153" t="s">
        <v>75</v>
      </c>
      <c r="O257" s="153">
        <v>999</v>
      </c>
      <c r="P257" s="158" t="s">
        <v>1504</v>
      </c>
      <c r="Q257" s="153">
        <v>999</v>
      </c>
      <c r="R257" s="155" t="s">
        <v>1505</v>
      </c>
      <c r="S257" s="153">
        <v>999</v>
      </c>
      <c r="T257" s="153" t="s">
        <v>1506</v>
      </c>
      <c r="U257" s="153">
        <v>5</v>
      </c>
      <c r="V257" s="159" t="s">
        <v>75</v>
      </c>
      <c r="W257" s="159" t="s">
        <v>1084</v>
      </c>
      <c r="X257" s="159" t="s">
        <v>75</v>
      </c>
      <c r="Y257" s="159" t="s">
        <v>1507</v>
      </c>
      <c r="Z257" s="159" t="s">
        <v>121</v>
      </c>
      <c r="AA257" s="159" t="s">
        <v>75</v>
      </c>
      <c r="AB257" s="159" t="s">
        <v>75</v>
      </c>
      <c r="AC257" s="159" t="s">
        <v>78</v>
      </c>
      <c r="AD257" s="159" t="s">
        <v>75</v>
      </c>
      <c r="AE257" s="159">
        <v>1</v>
      </c>
    </row>
    <row r="258" spans="1:31" s="149" customFormat="1" ht="25.05" customHeight="1" x14ac:dyDescent="0.3">
      <c r="A258" s="161" t="s">
        <v>1508</v>
      </c>
      <c r="B258" s="161" t="s">
        <v>1509</v>
      </c>
      <c r="C258" s="162" t="s">
        <v>78</v>
      </c>
      <c r="D258" s="155" t="s">
        <v>565</v>
      </c>
      <c r="E258" s="153" t="s">
        <v>228</v>
      </c>
      <c r="F258" s="153" t="s">
        <v>679</v>
      </c>
      <c r="G258" s="153" t="s">
        <v>81</v>
      </c>
      <c r="H258" s="153">
        <v>20636363</v>
      </c>
      <c r="I258" s="156">
        <v>28700847.296769999</v>
      </c>
      <c r="J258" s="153" t="s">
        <v>75</v>
      </c>
      <c r="K258" s="153" t="s">
        <v>1510</v>
      </c>
      <c r="L258" s="153" t="s">
        <v>75</v>
      </c>
      <c r="M258" s="153" t="s">
        <v>1511</v>
      </c>
      <c r="N258" s="153" t="s">
        <v>81</v>
      </c>
      <c r="O258" s="153">
        <v>0</v>
      </c>
      <c r="P258" s="158" t="s">
        <v>78</v>
      </c>
      <c r="Q258" s="153">
        <v>0</v>
      </c>
      <c r="R258" s="155" t="s">
        <v>78</v>
      </c>
      <c r="S258" s="153">
        <v>0</v>
      </c>
      <c r="T258" s="153" t="s">
        <v>78</v>
      </c>
      <c r="U258" s="153">
        <v>0</v>
      </c>
      <c r="V258" s="159" t="s">
        <v>81</v>
      </c>
      <c r="W258" s="159" t="s">
        <v>78</v>
      </c>
      <c r="X258" s="159" t="s">
        <v>81</v>
      </c>
      <c r="Y258" s="159" t="s">
        <v>1423</v>
      </c>
      <c r="Z258" s="159" t="s">
        <v>132</v>
      </c>
      <c r="AA258" s="159" t="s">
        <v>75</v>
      </c>
      <c r="AB258" s="159" t="s">
        <v>81</v>
      </c>
      <c r="AC258" s="159" t="s">
        <v>78</v>
      </c>
      <c r="AD258" s="159" t="s">
        <v>81</v>
      </c>
      <c r="AE258" s="159">
        <v>1</v>
      </c>
    </row>
    <row r="259" spans="1:31" s="149" customFormat="1" ht="25.05" customHeight="1" x14ac:dyDescent="0.3">
      <c r="A259" s="161" t="s">
        <v>1512</v>
      </c>
      <c r="B259" s="161" t="s">
        <v>1513</v>
      </c>
      <c r="C259" s="162" t="s">
        <v>78</v>
      </c>
      <c r="D259" s="155" t="s">
        <v>554</v>
      </c>
      <c r="E259" s="153" t="s">
        <v>228</v>
      </c>
      <c r="F259" s="153" t="s">
        <v>1514</v>
      </c>
      <c r="G259" s="153" t="s">
        <v>75</v>
      </c>
      <c r="H259" s="153">
        <v>0</v>
      </c>
      <c r="I259" s="156">
        <v>0</v>
      </c>
      <c r="J259" s="153" t="s">
        <v>75</v>
      </c>
      <c r="K259" s="153" t="s">
        <v>1515</v>
      </c>
      <c r="L259" s="153" t="s">
        <v>75</v>
      </c>
      <c r="M259" s="153" t="s">
        <v>1516</v>
      </c>
      <c r="N259" s="153" t="s">
        <v>81</v>
      </c>
      <c r="O259" s="153">
        <v>0</v>
      </c>
      <c r="P259" s="158" t="s">
        <v>78</v>
      </c>
      <c r="Q259" s="153">
        <v>0</v>
      </c>
      <c r="R259" s="155" t="s">
        <v>78</v>
      </c>
      <c r="S259" s="153">
        <v>0</v>
      </c>
      <c r="T259" s="153" t="s">
        <v>78</v>
      </c>
      <c r="U259" s="153">
        <v>0</v>
      </c>
      <c r="V259" s="159" t="s">
        <v>81</v>
      </c>
      <c r="W259" s="159" t="s">
        <v>78</v>
      </c>
      <c r="X259" s="159" t="s">
        <v>81</v>
      </c>
      <c r="Y259" s="159" t="s">
        <v>1423</v>
      </c>
      <c r="Z259" s="159" t="s">
        <v>397</v>
      </c>
      <c r="AA259" s="159" t="s">
        <v>75</v>
      </c>
      <c r="AB259" s="159" t="s">
        <v>81</v>
      </c>
      <c r="AC259" s="159" t="s">
        <v>78</v>
      </c>
      <c r="AD259" s="159" t="s">
        <v>81</v>
      </c>
      <c r="AE259" s="159">
        <v>1</v>
      </c>
    </row>
    <row r="260" spans="1:31" s="149" customFormat="1" ht="25.05" customHeight="1" x14ac:dyDescent="0.3">
      <c r="A260" s="161" t="s">
        <v>1517</v>
      </c>
      <c r="B260" s="161" t="s">
        <v>1518</v>
      </c>
      <c r="C260" s="162" t="s">
        <v>78</v>
      </c>
      <c r="D260" s="155" t="s">
        <v>559</v>
      </c>
      <c r="E260" s="153" t="s">
        <v>228</v>
      </c>
      <c r="F260" s="153" t="s">
        <v>679</v>
      </c>
      <c r="G260" s="153" t="s">
        <v>81</v>
      </c>
      <c r="H260" s="153">
        <v>49794128</v>
      </c>
      <c r="I260" s="156">
        <v>69253175.281120002</v>
      </c>
      <c r="J260" s="153" t="s">
        <v>81</v>
      </c>
      <c r="K260" s="153" t="s">
        <v>78</v>
      </c>
      <c r="L260" s="153" t="s">
        <v>81</v>
      </c>
      <c r="M260" s="153" t="s">
        <v>1519</v>
      </c>
      <c r="N260" s="153" t="s">
        <v>81</v>
      </c>
      <c r="O260" s="153">
        <v>0</v>
      </c>
      <c r="P260" s="158" t="s">
        <v>78</v>
      </c>
      <c r="Q260" s="153">
        <v>0</v>
      </c>
      <c r="R260" s="155" t="s">
        <v>78</v>
      </c>
      <c r="S260" s="153">
        <v>0</v>
      </c>
      <c r="T260" s="153" t="s">
        <v>78</v>
      </c>
      <c r="U260" s="153">
        <v>0</v>
      </c>
      <c r="V260" s="159" t="s">
        <v>81</v>
      </c>
      <c r="W260" s="159" t="s">
        <v>78</v>
      </c>
      <c r="X260" s="159" t="s">
        <v>81</v>
      </c>
      <c r="Y260" s="159" t="s">
        <v>1423</v>
      </c>
      <c r="Z260" s="159" t="s">
        <v>132</v>
      </c>
      <c r="AA260" s="159" t="s">
        <v>81</v>
      </c>
      <c r="AB260" s="159" t="s">
        <v>81</v>
      </c>
      <c r="AC260" s="159" t="s">
        <v>78</v>
      </c>
      <c r="AD260" s="159" t="s">
        <v>81</v>
      </c>
      <c r="AE260" s="159">
        <v>1</v>
      </c>
    </row>
    <row r="261" spans="1:31" s="149" customFormat="1" ht="25.05" customHeight="1" x14ac:dyDescent="0.3">
      <c r="A261" s="161" t="s">
        <v>1520</v>
      </c>
      <c r="B261" s="161" t="s">
        <v>1513</v>
      </c>
      <c r="C261" s="162" t="s">
        <v>78</v>
      </c>
      <c r="D261" s="155" t="s">
        <v>1848</v>
      </c>
      <c r="E261" s="153" t="s">
        <v>115</v>
      </c>
      <c r="F261" s="153" t="s">
        <v>1521</v>
      </c>
      <c r="G261" s="153" t="s">
        <v>75</v>
      </c>
      <c r="H261" s="153">
        <v>0</v>
      </c>
      <c r="I261" s="156">
        <v>0</v>
      </c>
      <c r="J261" s="153" t="s">
        <v>81</v>
      </c>
      <c r="K261" s="153" t="s">
        <v>78</v>
      </c>
      <c r="L261" s="153" t="s">
        <v>81</v>
      </c>
      <c r="M261" s="153" t="s">
        <v>1522</v>
      </c>
      <c r="N261" s="153" t="s">
        <v>81</v>
      </c>
      <c r="O261" s="153">
        <v>0</v>
      </c>
      <c r="P261" s="158" t="s">
        <v>78</v>
      </c>
      <c r="Q261" s="153">
        <v>0</v>
      </c>
      <c r="R261" s="155" t="s">
        <v>78</v>
      </c>
      <c r="S261" s="153">
        <v>0</v>
      </c>
      <c r="T261" s="153" t="s">
        <v>78</v>
      </c>
      <c r="U261" s="153">
        <v>0</v>
      </c>
      <c r="V261" s="159" t="s">
        <v>81</v>
      </c>
      <c r="W261" s="159" t="s">
        <v>78</v>
      </c>
      <c r="X261" s="159" t="s">
        <v>81</v>
      </c>
      <c r="Y261" s="159" t="s">
        <v>1423</v>
      </c>
      <c r="Z261" s="159" t="s">
        <v>1523</v>
      </c>
      <c r="AA261" s="159" t="s">
        <v>81</v>
      </c>
      <c r="AB261" s="159" t="s">
        <v>81</v>
      </c>
      <c r="AC261" s="159" t="s">
        <v>78</v>
      </c>
      <c r="AD261" s="159" t="s">
        <v>81</v>
      </c>
      <c r="AE261" s="159">
        <v>1</v>
      </c>
    </row>
    <row r="262" spans="1:31" s="149" customFormat="1" ht="25.05" customHeight="1" x14ac:dyDescent="0.3">
      <c r="A262" s="161" t="s">
        <v>1524</v>
      </c>
      <c r="B262" s="161" t="s">
        <v>1513</v>
      </c>
      <c r="C262" s="162" t="s">
        <v>78</v>
      </c>
      <c r="D262" s="155" t="s">
        <v>566</v>
      </c>
      <c r="E262" s="153" t="s">
        <v>228</v>
      </c>
      <c r="F262" s="153" t="s">
        <v>1514</v>
      </c>
      <c r="G262" s="153" t="s">
        <v>75</v>
      </c>
      <c r="H262" s="153">
        <v>0</v>
      </c>
      <c r="I262" s="156">
        <v>0</v>
      </c>
      <c r="J262" s="153" t="s">
        <v>75</v>
      </c>
      <c r="K262" s="153" t="s">
        <v>1525</v>
      </c>
      <c r="L262" s="153" t="s">
        <v>75</v>
      </c>
      <c r="M262" s="153" t="s">
        <v>1516</v>
      </c>
      <c r="N262" s="153" t="s">
        <v>81</v>
      </c>
      <c r="O262" s="153">
        <v>0</v>
      </c>
      <c r="P262" s="158" t="s">
        <v>78</v>
      </c>
      <c r="Q262" s="153">
        <v>0</v>
      </c>
      <c r="R262" s="155" t="s">
        <v>78</v>
      </c>
      <c r="S262" s="153">
        <v>0</v>
      </c>
      <c r="T262" s="153" t="s">
        <v>78</v>
      </c>
      <c r="U262" s="153">
        <v>0</v>
      </c>
      <c r="V262" s="159" t="s">
        <v>81</v>
      </c>
      <c r="W262" s="159" t="s">
        <v>78</v>
      </c>
      <c r="X262" s="159" t="s">
        <v>81</v>
      </c>
      <c r="Y262" s="159" t="s">
        <v>1423</v>
      </c>
      <c r="Z262" s="159" t="s">
        <v>397</v>
      </c>
      <c r="AA262" s="159" t="s">
        <v>81</v>
      </c>
      <c r="AB262" s="159" t="s">
        <v>81</v>
      </c>
      <c r="AC262" s="159" t="s">
        <v>78</v>
      </c>
      <c r="AD262" s="159" t="s">
        <v>81</v>
      </c>
      <c r="AE262" s="159">
        <v>1</v>
      </c>
    </row>
    <row r="263" spans="1:31" s="149" customFormat="1" ht="25.05" customHeight="1" x14ac:dyDescent="0.3">
      <c r="A263" s="161" t="s">
        <v>1526</v>
      </c>
      <c r="B263" s="161" t="s">
        <v>1527</v>
      </c>
      <c r="C263" s="162" t="s">
        <v>78</v>
      </c>
      <c r="D263" s="155" t="s">
        <v>558</v>
      </c>
      <c r="E263" s="153" t="s">
        <v>228</v>
      </c>
      <c r="F263" s="153" t="s">
        <v>676</v>
      </c>
      <c r="G263" s="153" t="s">
        <v>81</v>
      </c>
      <c r="H263" s="153">
        <v>7990000</v>
      </c>
      <c r="I263" s="156">
        <v>11112412.1</v>
      </c>
      <c r="J263" s="153" t="s">
        <v>75</v>
      </c>
      <c r="K263" s="153" t="s">
        <v>1528</v>
      </c>
      <c r="L263" s="153" t="s">
        <v>75</v>
      </c>
      <c r="M263" s="153" t="s">
        <v>1529</v>
      </c>
      <c r="N263" s="153" t="s">
        <v>81</v>
      </c>
      <c r="O263" s="153">
        <v>0</v>
      </c>
      <c r="P263" s="158" t="s">
        <v>78</v>
      </c>
      <c r="Q263" s="153">
        <v>0</v>
      </c>
      <c r="R263" s="155" t="s">
        <v>78</v>
      </c>
      <c r="S263" s="153">
        <v>0</v>
      </c>
      <c r="T263" s="153" t="s">
        <v>78</v>
      </c>
      <c r="U263" s="153">
        <v>0</v>
      </c>
      <c r="V263" s="159" t="s">
        <v>75</v>
      </c>
      <c r="W263" s="159" t="s">
        <v>1530</v>
      </c>
      <c r="X263" s="159" t="s">
        <v>75</v>
      </c>
      <c r="Y263" s="159" t="s">
        <v>1531</v>
      </c>
      <c r="Z263" s="159" t="s">
        <v>132</v>
      </c>
      <c r="AA263" s="159" t="s">
        <v>75</v>
      </c>
      <c r="AB263" s="159" t="s">
        <v>75</v>
      </c>
      <c r="AC263" s="159" t="s">
        <v>78</v>
      </c>
      <c r="AD263" s="159" t="s">
        <v>81</v>
      </c>
      <c r="AE263" s="159">
        <v>1</v>
      </c>
    </row>
    <row r="264" spans="1:31" s="149" customFormat="1" ht="25.05" customHeight="1" x14ac:dyDescent="0.3">
      <c r="A264" s="153" t="s">
        <v>1532</v>
      </c>
      <c r="B264" s="153" t="s">
        <v>1533</v>
      </c>
      <c r="C264" s="155" t="s">
        <v>78</v>
      </c>
      <c r="D264" s="155" t="s">
        <v>560</v>
      </c>
      <c r="E264" s="153" t="s">
        <v>256</v>
      </c>
      <c r="F264" s="153" t="s">
        <v>676</v>
      </c>
      <c r="G264" s="153" t="s">
        <v>75</v>
      </c>
      <c r="H264" s="153">
        <v>0</v>
      </c>
      <c r="I264" s="156">
        <v>0</v>
      </c>
      <c r="J264" s="153" t="s">
        <v>75</v>
      </c>
      <c r="K264" s="153" t="s">
        <v>1534</v>
      </c>
      <c r="L264" s="153" t="s">
        <v>75</v>
      </c>
      <c r="M264" s="153" t="s">
        <v>1535</v>
      </c>
      <c r="N264" s="153" t="s">
        <v>75</v>
      </c>
      <c r="O264" s="153">
        <v>999</v>
      </c>
      <c r="P264" s="158" t="s">
        <v>1536</v>
      </c>
      <c r="Q264" s="153">
        <v>999</v>
      </c>
      <c r="R264" s="155" t="s">
        <v>1537</v>
      </c>
      <c r="S264" s="153">
        <v>999</v>
      </c>
      <c r="T264" s="153" t="s">
        <v>1538</v>
      </c>
      <c r="U264" s="153">
        <v>3</v>
      </c>
      <c r="V264" s="159" t="s">
        <v>75</v>
      </c>
      <c r="W264" s="159" t="s">
        <v>1539</v>
      </c>
      <c r="X264" s="159" t="s">
        <v>75</v>
      </c>
      <c r="Y264" s="159" t="s">
        <v>1540</v>
      </c>
      <c r="Z264" s="159" t="s">
        <v>121</v>
      </c>
      <c r="AA264" s="159" t="s">
        <v>75</v>
      </c>
      <c r="AB264" s="159" t="s">
        <v>75</v>
      </c>
      <c r="AC264" s="159" t="s">
        <v>78</v>
      </c>
      <c r="AD264" s="159" t="s">
        <v>75</v>
      </c>
      <c r="AE264" s="159">
        <v>1</v>
      </c>
    </row>
    <row r="265" spans="1:31" s="149" customFormat="1" ht="25.05" customHeight="1" x14ac:dyDescent="0.3">
      <c r="A265" s="153" t="s">
        <v>1541</v>
      </c>
      <c r="B265" s="153" t="s">
        <v>1542</v>
      </c>
      <c r="C265" s="155" t="s">
        <v>78</v>
      </c>
      <c r="D265" s="155" t="s">
        <v>525</v>
      </c>
      <c r="E265" s="153" t="s">
        <v>228</v>
      </c>
      <c r="F265" s="153" t="s">
        <v>679</v>
      </c>
      <c r="G265" s="153" t="s">
        <v>81</v>
      </c>
      <c r="H265" s="153">
        <v>26052504</v>
      </c>
      <c r="I265" s="156">
        <v>36233562.038159996</v>
      </c>
      <c r="J265" s="153" t="s">
        <v>75</v>
      </c>
      <c r="K265" s="153" t="s">
        <v>1543</v>
      </c>
      <c r="L265" s="153" t="s">
        <v>75</v>
      </c>
      <c r="M265" s="153" t="s">
        <v>1544</v>
      </c>
      <c r="N265" s="153" t="s">
        <v>75</v>
      </c>
      <c r="O265" s="153">
        <v>0</v>
      </c>
      <c r="P265" s="158" t="s">
        <v>78</v>
      </c>
      <c r="Q265" s="153">
        <v>0</v>
      </c>
      <c r="R265" s="155" t="s">
        <v>78</v>
      </c>
      <c r="S265" s="153">
        <v>999</v>
      </c>
      <c r="T265" s="153" t="s">
        <v>1545</v>
      </c>
      <c r="U265" s="153">
        <v>1</v>
      </c>
      <c r="V265" s="159" t="s">
        <v>75</v>
      </c>
      <c r="W265" s="159" t="s">
        <v>1546</v>
      </c>
      <c r="X265" s="159" t="s">
        <v>75</v>
      </c>
      <c r="Y265" s="159" t="s">
        <v>1547</v>
      </c>
      <c r="Z265" s="159" t="s">
        <v>121</v>
      </c>
      <c r="AA265" s="159" t="s">
        <v>75</v>
      </c>
      <c r="AB265" s="159" t="s">
        <v>81</v>
      </c>
      <c r="AC265" s="159" t="s">
        <v>78</v>
      </c>
      <c r="AD265" s="159" t="s">
        <v>81</v>
      </c>
      <c r="AE265" s="159">
        <v>1</v>
      </c>
    </row>
    <row r="266" spans="1:31" s="149" customFormat="1" ht="25.05" customHeight="1" x14ac:dyDescent="0.3">
      <c r="A266" s="153" t="s">
        <v>1548</v>
      </c>
      <c r="B266" s="153" t="s">
        <v>1549</v>
      </c>
      <c r="C266" s="155" t="s">
        <v>78</v>
      </c>
      <c r="D266" s="155" t="s">
        <v>78</v>
      </c>
      <c r="E266" s="153" t="s">
        <v>228</v>
      </c>
      <c r="F266" s="153" t="s">
        <v>676</v>
      </c>
      <c r="G266" s="153" t="s">
        <v>75</v>
      </c>
      <c r="H266" s="153">
        <v>0</v>
      </c>
      <c r="I266" s="156">
        <v>0</v>
      </c>
      <c r="J266" s="153" t="s">
        <v>75</v>
      </c>
      <c r="K266" s="153" t="s">
        <v>1550</v>
      </c>
      <c r="L266" s="153" t="s">
        <v>75</v>
      </c>
      <c r="M266" s="153" t="s">
        <v>1551</v>
      </c>
      <c r="N266" s="153" t="s">
        <v>75</v>
      </c>
      <c r="O266" s="153">
        <v>0</v>
      </c>
      <c r="P266" s="158" t="s">
        <v>78</v>
      </c>
      <c r="Q266" s="153">
        <v>999</v>
      </c>
      <c r="R266" s="155" t="s">
        <v>1552</v>
      </c>
      <c r="S266" s="153">
        <v>999</v>
      </c>
      <c r="T266" s="153" t="s">
        <v>1553</v>
      </c>
      <c r="U266" s="153">
        <v>2</v>
      </c>
      <c r="V266" s="159" t="s">
        <v>81</v>
      </c>
      <c r="W266" s="159" t="s">
        <v>78</v>
      </c>
      <c r="X266" s="159" t="s">
        <v>75</v>
      </c>
      <c r="Y266" s="159" t="s">
        <v>1554</v>
      </c>
      <c r="Z266" s="159" t="s">
        <v>121</v>
      </c>
      <c r="AA266" s="159" t="s">
        <v>75</v>
      </c>
      <c r="AB266" s="159" t="s">
        <v>81</v>
      </c>
      <c r="AC266" s="159" t="s">
        <v>78</v>
      </c>
      <c r="AD266" s="159" t="s">
        <v>75</v>
      </c>
      <c r="AE266" s="159">
        <v>1</v>
      </c>
    </row>
    <row r="267" spans="1:31" s="149" customFormat="1" ht="25.05" customHeight="1" x14ac:dyDescent="0.3">
      <c r="A267" s="153" t="s">
        <v>1555</v>
      </c>
      <c r="B267" s="153" t="s">
        <v>1556</v>
      </c>
      <c r="C267" s="155" t="s">
        <v>78</v>
      </c>
      <c r="D267" s="155" t="s">
        <v>550</v>
      </c>
      <c r="E267" s="153" t="s">
        <v>228</v>
      </c>
      <c r="F267" s="153" t="s">
        <v>1557</v>
      </c>
      <c r="G267" s="153" t="s">
        <v>81</v>
      </c>
      <c r="H267" s="153">
        <v>14616250</v>
      </c>
      <c r="I267" s="156">
        <v>20328134.337499999</v>
      </c>
      <c r="J267" s="153" t="s">
        <v>81</v>
      </c>
      <c r="K267" s="153" t="s">
        <v>78</v>
      </c>
      <c r="L267" s="153" t="s">
        <v>81</v>
      </c>
      <c r="M267" s="153" t="s">
        <v>1558</v>
      </c>
      <c r="N267" s="153" t="s">
        <v>81</v>
      </c>
      <c r="O267" s="153">
        <v>0</v>
      </c>
      <c r="P267" s="158" t="s">
        <v>78</v>
      </c>
      <c r="Q267" s="153">
        <v>0</v>
      </c>
      <c r="R267" s="155" t="s">
        <v>78</v>
      </c>
      <c r="S267" s="153">
        <v>0</v>
      </c>
      <c r="T267" s="153" t="s">
        <v>78</v>
      </c>
      <c r="U267" s="153">
        <v>0</v>
      </c>
      <c r="V267" s="159" t="s">
        <v>81</v>
      </c>
      <c r="W267" s="159" t="s">
        <v>78</v>
      </c>
      <c r="X267" s="159" t="s">
        <v>81</v>
      </c>
      <c r="Y267" s="159" t="s">
        <v>1423</v>
      </c>
      <c r="Z267" s="159" t="s">
        <v>397</v>
      </c>
      <c r="AA267" s="159" t="s">
        <v>75</v>
      </c>
      <c r="AB267" s="159" t="s">
        <v>81</v>
      </c>
      <c r="AC267" s="159" t="s">
        <v>78</v>
      </c>
      <c r="AD267" s="159" t="s">
        <v>81</v>
      </c>
      <c r="AE267" s="159">
        <v>1</v>
      </c>
    </row>
    <row r="268" spans="1:31" s="149" customFormat="1" ht="25.05" customHeight="1" x14ac:dyDescent="0.3">
      <c r="A268" s="153" t="s">
        <v>1559</v>
      </c>
      <c r="B268" s="156" t="s">
        <v>1560</v>
      </c>
      <c r="C268" s="155" t="s">
        <v>78</v>
      </c>
      <c r="D268" s="155" t="s">
        <v>561</v>
      </c>
      <c r="E268" s="153" t="s">
        <v>115</v>
      </c>
      <c r="F268" s="153" t="s">
        <v>676</v>
      </c>
      <c r="G268" s="153" t="s">
        <v>81</v>
      </c>
      <c r="H268" s="153">
        <v>12850000</v>
      </c>
      <c r="I268" s="156">
        <v>17871651.5</v>
      </c>
      <c r="J268" s="153" t="s">
        <v>75</v>
      </c>
      <c r="K268" s="153" t="s">
        <v>1561</v>
      </c>
      <c r="L268" s="153" t="s">
        <v>81</v>
      </c>
      <c r="M268" s="153" t="s">
        <v>1562</v>
      </c>
      <c r="N268" s="153" t="s">
        <v>81</v>
      </c>
      <c r="O268" s="153">
        <v>0</v>
      </c>
      <c r="P268" s="158" t="s">
        <v>78</v>
      </c>
      <c r="Q268" s="153">
        <v>0</v>
      </c>
      <c r="R268" s="155" t="s">
        <v>78</v>
      </c>
      <c r="S268" s="153">
        <v>0</v>
      </c>
      <c r="T268" s="153" t="s">
        <v>78</v>
      </c>
      <c r="U268" s="153">
        <v>0</v>
      </c>
      <c r="V268" s="159" t="s">
        <v>81</v>
      </c>
      <c r="W268" s="159" t="s">
        <v>78</v>
      </c>
      <c r="X268" s="159" t="s">
        <v>81</v>
      </c>
      <c r="Y268" s="159" t="s">
        <v>1423</v>
      </c>
      <c r="Z268" s="159" t="s">
        <v>1147</v>
      </c>
      <c r="AA268" s="159" t="s">
        <v>75</v>
      </c>
      <c r="AB268" s="159" t="s">
        <v>75</v>
      </c>
      <c r="AC268" s="159" t="s">
        <v>78</v>
      </c>
      <c r="AD268" s="159" t="s">
        <v>81</v>
      </c>
      <c r="AE268" s="159">
        <v>1</v>
      </c>
    </row>
    <row r="269" spans="1:31" s="149" customFormat="1" ht="25.05" customHeight="1" x14ac:dyDescent="0.3">
      <c r="A269" s="153" t="s">
        <v>1563</v>
      </c>
      <c r="B269" s="153" t="s">
        <v>1564</v>
      </c>
      <c r="C269" s="155" t="s">
        <v>78</v>
      </c>
      <c r="D269" s="155" t="s">
        <v>524</v>
      </c>
      <c r="E269" s="153" t="s">
        <v>101</v>
      </c>
      <c r="F269" s="153" t="s">
        <v>1565</v>
      </c>
      <c r="G269" s="153" t="s">
        <v>75</v>
      </c>
      <c r="H269" s="153">
        <v>0</v>
      </c>
      <c r="I269" s="156">
        <v>0</v>
      </c>
      <c r="J269" s="153" t="s">
        <v>81</v>
      </c>
      <c r="K269" s="153" t="s">
        <v>78</v>
      </c>
      <c r="L269" s="153" t="s">
        <v>81</v>
      </c>
      <c r="M269" s="153" t="s">
        <v>1566</v>
      </c>
      <c r="N269" s="153" t="s">
        <v>81</v>
      </c>
      <c r="O269" s="153">
        <v>0</v>
      </c>
      <c r="P269" s="158" t="s">
        <v>78</v>
      </c>
      <c r="Q269" s="153">
        <v>0</v>
      </c>
      <c r="R269" s="155" t="s">
        <v>78</v>
      </c>
      <c r="S269" s="153">
        <v>0</v>
      </c>
      <c r="T269" s="153" t="s">
        <v>78</v>
      </c>
      <c r="U269" s="153">
        <v>0</v>
      </c>
      <c r="V269" s="159" t="s">
        <v>81</v>
      </c>
      <c r="W269" s="159" t="s">
        <v>78</v>
      </c>
      <c r="X269" s="159" t="s">
        <v>81</v>
      </c>
      <c r="Y269" s="159" t="s">
        <v>1423</v>
      </c>
      <c r="Z269" s="159" t="s">
        <v>1174</v>
      </c>
      <c r="AA269" s="159" t="s">
        <v>75</v>
      </c>
      <c r="AB269" s="159" t="s">
        <v>81</v>
      </c>
      <c r="AC269" s="159" t="s">
        <v>78</v>
      </c>
      <c r="AD269" s="159" t="s">
        <v>81</v>
      </c>
      <c r="AE269" s="159">
        <v>1</v>
      </c>
    </row>
    <row r="270" spans="1:31" s="149" customFormat="1" ht="25.05" customHeight="1" x14ac:dyDescent="0.3">
      <c r="A270" s="153" t="s">
        <v>1567</v>
      </c>
      <c r="B270" s="153" t="s">
        <v>1568</v>
      </c>
      <c r="C270" s="155" t="s">
        <v>78</v>
      </c>
      <c r="D270" s="155" t="s">
        <v>542</v>
      </c>
      <c r="E270" s="153" t="s">
        <v>228</v>
      </c>
      <c r="F270" s="153" t="s">
        <v>679</v>
      </c>
      <c r="G270" s="153" t="s">
        <v>81</v>
      </c>
      <c r="H270" s="153">
        <v>1060000</v>
      </c>
      <c r="I270" s="156">
        <v>1474237.4</v>
      </c>
      <c r="J270" s="153" t="s">
        <v>75</v>
      </c>
      <c r="K270" s="153" t="s">
        <v>1569</v>
      </c>
      <c r="L270" s="153" t="s">
        <v>75</v>
      </c>
      <c r="M270" s="153" t="s">
        <v>1570</v>
      </c>
      <c r="N270" s="153" t="s">
        <v>81</v>
      </c>
      <c r="O270" s="153">
        <v>0</v>
      </c>
      <c r="P270" s="158" t="s">
        <v>78</v>
      </c>
      <c r="Q270" s="153">
        <v>0</v>
      </c>
      <c r="R270" s="155" t="s">
        <v>78</v>
      </c>
      <c r="S270" s="153">
        <v>0</v>
      </c>
      <c r="T270" s="153" t="s">
        <v>78</v>
      </c>
      <c r="U270" s="153">
        <v>0</v>
      </c>
      <c r="V270" s="159" t="s">
        <v>81</v>
      </c>
      <c r="W270" s="159" t="s">
        <v>78</v>
      </c>
      <c r="X270" s="159" t="s">
        <v>81</v>
      </c>
      <c r="Y270" s="159" t="s">
        <v>1423</v>
      </c>
      <c r="Z270" s="159" t="s">
        <v>121</v>
      </c>
      <c r="AA270" s="159" t="s">
        <v>81</v>
      </c>
      <c r="AB270" s="159" t="s">
        <v>81</v>
      </c>
      <c r="AC270" s="159" t="s">
        <v>78</v>
      </c>
      <c r="AD270" s="159" t="s">
        <v>81</v>
      </c>
      <c r="AE270" s="159">
        <v>1</v>
      </c>
    </row>
    <row r="271" spans="1:31" s="149" customFormat="1" ht="25.05" customHeight="1" x14ac:dyDescent="0.3">
      <c r="A271" s="153" t="s">
        <v>1571</v>
      </c>
      <c r="B271" s="153" t="s">
        <v>1572</v>
      </c>
      <c r="C271" s="155" t="s">
        <v>78</v>
      </c>
      <c r="D271" s="155" t="s">
        <v>524</v>
      </c>
      <c r="E271" s="153" t="s">
        <v>228</v>
      </c>
      <c r="F271" s="153" t="s">
        <v>676</v>
      </c>
      <c r="G271" s="153" t="s">
        <v>75</v>
      </c>
      <c r="H271" s="153">
        <v>0</v>
      </c>
      <c r="I271" s="156">
        <v>0</v>
      </c>
      <c r="J271" s="153" t="s">
        <v>75</v>
      </c>
      <c r="K271" s="153" t="s">
        <v>1573</v>
      </c>
      <c r="L271" s="153" t="s">
        <v>75</v>
      </c>
      <c r="M271" s="153" t="s">
        <v>1574</v>
      </c>
      <c r="N271" s="153" t="s">
        <v>75</v>
      </c>
      <c r="O271" s="153">
        <v>999</v>
      </c>
      <c r="P271" s="158" t="s">
        <v>1575</v>
      </c>
      <c r="Q271" s="153">
        <v>999</v>
      </c>
      <c r="R271" s="155" t="s">
        <v>1576</v>
      </c>
      <c r="S271" s="153">
        <v>999</v>
      </c>
      <c r="T271" s="153" t="s">
        <v>1577</v>
      </c>
      <c r="U271" s="153">
        <v>3</v>
      </c>
      <c r="V271" s="159" t="s">
        <v>75</v>
      </c>
      <c r="W271" s="159" t="s">
        <v>1578</v>
      </c>
      <c r="X271" s="159" t="s">
        <v>75</v>
      </c>
      <c r="Y271" s="159" t="s">
        <v>1579</v>
      </c>
      <c r="Z271" s="159" t="s">
        <v>132</v>
      </c>
      <c r="AA271" s="159" t="s">
        <v>75</v>
      </c>
      <c r="AB271" s="159" t="s">
        <v>75</v>
      </c>
      <c r="AC271" s="159" t="s">
        <v>78</v>
      </c>
      <c r="AD271" s="159" t="s">
        <v>75</v>
      </c>
      <c r="AE271" s="159">
        <v>1</v>
      </c>
    </row>
    <row r="272" spans="1:31" s="149" customFormat="1" ht="25.05" customHeight="1" x14ac:dyDescent="0.3">
      <c r="A272" s="153" t="s">
        <v>1580</v>
      </c>
      <c r="B272" s="153" t="s">
        <v>1581</v>
      </c>
      <c r="C272" s="155" t="s">
        <v>78</v>
      </c>
      <c r="D272" s="155" t="s">
        <v>527</v>
      </c>
      <c r="E272" s="153" t="s">
        <v>256</v>
      </c>
      <c r="F272" s="153" t="s">
        <v>679</v>
      </c>
      <c r="G272" s="153" t="s">
        <v>81</v>
      </c>
      <c r="H272" s="153">
        <v>49109191.469999999</v>
      </c>
      <c r="I272" s="156">
        <v>68300572.404561296</v>
      </c>
      <c r="J272" s="153" t="s">
        <v>75</v>
      </c>
      <c r="K272" s="153" t="s">
        <v>1582</v>
      </c>
      <c r="L272" s="153" t="s">
        <v>75</v>
      </c>
      <c r="M272" s="153" t="s">
        <v>1583</v>
      </c>
      <c r="N272" s="153" t="s">
        <v>75</v>
      </c>
      <c r="O272" s="153">
        <v>0</v>
      </c>
      <c r="P272" s="158" t="s">
        <v>78</v>
      </c>
      <c r="Q272" s="153">
        <v>0</v>
      </c>
      <c r="R272" s="155" t="s">
        <v>78</v>
      </c>
      <c r="S272" s="153">
        <v>999</v>
      </c>
      <c r="T272" s="153" t="s">
        <v>1584</v>
      </c>
      <c r="U272" s="153">
        <v>1</v>
      </c>
      <c r="V272" s="159" t="s">
        <v>81</v>
      </c>
      <c r="W272" s="159" t="s">
        <v>78</v>
      </c>
      <c r="X272" s="159" t="s">
        <v>75</v>
      </c>
      <c r="Y272" s="159" t="s">
        <v>1585</v>
      </c>
      <c r="Z272" s="159" t="s">
        <v>121</v>
      </c>
      <c r="AA272" s="159" t="s">
        <v>75</v>
      </c>
      <c r="AB272" s="159" t="s">
        <v>75</v>
      </c>
      <c r="AC272" s="159" t="s">
        <v>78</v>
      </c>
      <c r="AD272" s="159" t="s">
        <v>81</v>
      </c>
      <c r="AE272" s="159">
        <v>1</v>
      </c>
    </row>
    <row r="273" spans="1:31" s="149" customFormat="1" ht="25.05" customHeight="1" x14ac:dyDescent="0.3">
      <c r="A273" s="153" t="s">
        <v>1586</v>
      </c>
      <c r="B273" s="153" t="s">
        <v>1587</v>
      </c>
      <c r="C273" s="155" t="s">
        <v>78</v>
      </c>
      <c r="D273" s="155" t="s">
        <v>535</v>
      </c>
      <c r="E273" s="153" t="s">
        <v>256</v>
      </c>
      <c r="F273" s="153" t="s">
        <v>679</v>
      </c>
      <c r="G273" s="153" t="s">
        <v>75</v>
      </c>
      <c r="H273" s="153">
        <v>0</v>
      </c>
      <c r="I273" s="156">
        <v>0</v>
      </c>
      <c r="J273" s="153" t="s">
        <v>75</v>
      </c>
      <c r="K273" s="153" t="s">
        <v>1588</v>
      </c>
      <c r="L273" s="153" t="s">
        <v>75</v>
      </c>
      <c r="M273" s="153" t="s">
        <v>1589</v>
      </c>
      <c r="N273" s="153" t="s">
        <v>75</v>
      </c>
      <c r="O273" s="153">
        <v>999</v>
      </c>
      <c r="P273" s="158" t="s">
        <v>1590</v>
      </c>
      <c r="Q273" s="153">
        <v>0</v>
      </c>
      <c r="R273" s="155" t="s">
        <v>78</v>
      </c>
      <c r="S273" s="153">
        <v>0</v>
      </c>
      <c r="T273" s="153" t="s">
        <v>78</v>
      </c>
      <c r="U273" s="153">
        <v>1</v>
      </c>
      <c r="V273" s="159" t="s">
        <v>81</v>
      </c>
      <c r="W273" s="159" t="s">
        <v>78</v>
      </c>
      <c r="X273" s="159" t="s">
        <v>75</v>
      </c>
      <c r="Y273" s="159" t="s">
        <v>1591</v>
      </c>
      <c r="Z273" s="159" t="s">
        <v>121</v>
      </c>
      <c r="AA273" s="159" t="s">
        <v>81</v>
      </c>
      <c r="AB273" s="159" t="s">
        <v>81</v>
      </c>
      <c r="AC273" s="159" t="s">
        <v>78</v>
      </c>
      <c r="AD273" s="159" t="s">
        <v>75</v>
      </c>
      <c r="AE273" s="159">
        <v>1</v>
      </c>
    </row>
    <row r="274" spans="1:31" s="149" customFormat="1" ht="25.05" customHeight="1" x14ac:dyDescent="0.3">
      <c r="A274" s="153" t="s">
        <v>1592</v>
      </c>
      <c r="B274" s="153" t="s">
        <v>1593</v>
      </c>
      <c r="C274" s="155" t="s">
        <v>78</v>
      </c>
      <c r="D274" s="155" t="s">
        <v>540</v>
      </c>
      <c r="E274" s="153" t="s">
        <v>228</v>
      </c>
      <c r="F274" s="153" t="s">
        <v>679</v>
      </c>
      <c r="G274" s="153" t="s">
        <v>81</v>
      </c>
      <c r="H274" s="153">
        <v>5930000</v>
      </c>
      <c r="I274" s="156">
        <v>8247384.7000000002</v>
      </c>
      <c r="J274" s="153" t="s">
        <v>75</v>
      </c>
      <c r="K274" s="153" t="s">
        <v>1594</v>
      </c>
      <c r="L274" s="153" t="s">
        <v>75</v>
      </c>
      <c r="M274" s="153" t="s">
        <v>1595</v>
      </c>
      <c r="N274" s="153" t="s">
        <v>75</v>
      </c>
      <c r="O274" s="153">
        <v>999</v>
      </c>
      <c r="P274" s="158" t="s">
        <v>1596</v>
      </c>
      <c r="Q274" s="153">
        <v>0</v>
      </c>
      <c r="R274" s="155" t="s">
        <v>78</v>
      </c>
      <c r="S274" s="153">
        <v>999</v>
      </c>
      <c r="T274" s="153" t="s">
        <v>1597</v>
      </c>
      <c r="U274" s="153">
        <v>2</v>
      </c>
      <c r="V274" s="159" t="s">
        <v>75</v>
      </c>
      <c r="W274" s="159" t="s">
        <v>1598</v>
      </c>
      <c r="X274" s="159" t="s">
        <v>75</v>
      </c>
      <c r="Y274" s="159" t="s">
        <v>1599</v>
      </c>
      <c r="Z274" s="159" t="s">
        <v>121</v>
      </c>
      <c r="AA274" s="159" t="s">
        <v>75</v>
      </c>
      <c r="AB274" s="159" t="s">
        <v>75</v>
      </c>
      <c r="AC274" s="159" t="s">
        <v>78</v>
      </c>
      <c r="AD274" s="159" t="s">
        <v>75</v>
      </c>
      <c r="AE274" s="159">
        <v>1</v>
      </c>
    </row>
    <row r="275" spans="1:31" s="149" customFormat="1" ht="25.05" customHeight="1" x14ac:dyDescent="0.3">
      <c r="A275" s="153" t="s">
        <v>1600</v>
      </c>
      <c r="B275" s="153" t="s">
        <v>1601</v>
      </c>
      <c r="C275" s="155" t="s">
        <v>78</v>
      </c>
      <c r="D275" s="155" t="s">
        <v>538</v>
      </c>
      <c r="E275" s="153" t="s">
        <v>228</v>
      </c>
      <c r="F275" s="153" t="s">
        <v>679</v>
      </c>
      <c r="G275" s="153" t="s">
        <v>81</v>
      </c>
      <c r="H275" s="153">
        <v>20000000</v>
      </c>
      <c r="I275" s="156">
        <v>27815800</v>
      </c>
      <c r="J275" s="153" t="s">
        <v>75</v>
      </c>
      <c r="K275" s="153" t="s">
        <v>1602</v>
      </c>
      <c r="L275" s="153" t="s">
        <v>75</v>
      </c>
      <c r="M275" s="153" t="s">
        <v>1603</v>
      </c>
      <c r="N275" s="153" t="s">
        <v>75</v>
      </c>
      <c r="O275" s="153">
        <v>999</v>
      </c>
      <c r="P275" s="158" t="s">
        <v>1604</v>
      </c>
      <c r="Q275" s="153">
        <v>999</v>
      </c>
      <c r="R275" s="155" t="s">
        <v>1605</v>
      </c>
      <c r="S275" s="153">
        <v>999</v>
      </c>
      <c r="T275" s="153" t="s">
        <v>1606</v>
      </c>
      <c r="U275" s="153">
        <v>3</v>
      </c>
      <c r="V275" s="159" t="s">
        <v>81</v>
      </c>
      <c r="W275" s="159" t="s">
        <v>78</v>
      </c>
      <c r="X275" s="159" t="s">
        <v>75</v>
      </c>
      <c r="Y275" s="159" t="s">
        <v>1607</v>
      </c>
      <c r="Z275" s="159" t="s">
        <v>121</v>
      </c>
      <c r="AA275" s="159" t="s">
        <v>75</v>
      </c>
      <c r="AB275" s="159" t="s">
        <v>75</v>
      </c>
      <c r="AC275" s="159" t="s">
        <v>78</v>
      </c>
      <c r="AD275" s="159" t="s">
        <v>75</v>
      </c>
      <c r="AE275" s="159">
        <v>1</v>
      </c>
    </row>
    <row r="276" spans="1:31" s="149" customFormat="1" ht="25.05" customHeight="1" x14ac:dyDescent="0.3">
      <c r="A276" s="153" t="s">
        <v>1608</v>
      </c>
      <c r="B276" s="153" t="s">
        <v>1609</v>
      </c>
      <c r="C276" s="155" t="s">
        <v>78</v>
      </c>
      <c r="D276" s="155" t="s">
        <v>551</v>
      </c>
      <c r="E276" s="153" t="s">
        <v>228</v>
      </c>
      <c r="F276" s="153" t="s">
        <v>679</v>
      </c>
      <c r="G276" s="153" t="s">
        <v>81</v>
      </c>
      <c r="H276" s="153">
        <v>9560000</v>
      </c>
      <c r="I276" s="156">
        <v>13295952.4</v>
      </c>
      <c r="J276" s="153" t="s">
        <v>75</v>
      </c>
      <c r="K276" s="153" t="s">
        <v>1610</v>
      </c>
      <c r="L276" s="153" t="s">
        <v>75</v>
      </c>
      <c r="M276" s="153" t="s">
        <v>1611</v>
      </c>
      <c r="N276" s="153" t="s">
        <v>75</v>
      </c>
      <c r="O276" s="153">
        <v>999</v>
      </c>
      <c r="P276" s="158" t="s">
        <v>1612</v>
      </c>
      <c r="Q276" s="153">
        <v>999</v>
      </c>
      <c r="R276" s="155" t="s">
        <v>1613</v>
      </c>
      <c r="S276" s="153">
        <v>0</v>
      </c>
      <c r="T276" s="153" t="s">
        <v>78</v>
      </c>
      <c r="U276" s="153">
        <v>4</v>
      </c>
      <c r="V276" s="159" t="s">
        <v>75</v>
      </c>
      <c r="W276" s="159" t="s">
        <v>1614</v>
      </c>
      <c r="X276" s="159" t="s">
        <v>75</v>
      </c>
      <c r="Y276" s="159" t="s">
        <v>1615</v>
      </c>
      <c r="Z276" s="159" t="s">
        <v>121</v>
      </c>
      <c r="AA276" s="159" t="s">
        <v>75</v>
      </c>
      <c r="AB276" s="159" t="s">
        <v>75</v>
      </c>
      <c r="AC276" s="159" t="s">
        <v>78</v>
      </c>
      <c r="AD276" s="159" t="s">
        <v>75</v>
      </c>
      <c r="AE276" s="159">
        <v>1</v>
      </c>
    </row>
    <row r="277" spans="1:31" s="149" customFormat="1" ht="25.05" customHeight="1" x14ac:dyDescent="0.3">
      <c r="A277" s="153" t="s">
        <v>1616</v>
      </c>
      <c r="B277" s="153" t="s">
        <v>1617</v>
      </c>
      <c r="C277" s="155" t="s">
        <v>78</v>
      </c>
      <c r="D277" s="155" t="s">
        <v>557</v>
      </c>
      <c r="E277" s="153" t="s">
        <v>256</v>
      </c>
      <c r="F277" s="153" t="s">
        <v>679</v>
      </c>
      <c r="G277" s="153" t="s">
        <v>81</v>
      </c>
      <c r="H277" s="153">
        <v>22134000</v>
      </c>
      <c r="I277" s="156">
        <v>30783745.859999999</v>
      </c>
      <c r="J277" s="153" t="s">
        <v>75</v>
      </c>
      <c r="K277" s="153" t="s">
        <v>1618</v>
      </c>
      <c r="L277" s="153" t="s">
        <v>75</v>
      </c>
      <c r="M277" s="153" t="s">
        <v>1619</v>
      </c>
      <c r="N277" s="153" t="s">
        <v>75</v>
      </c>
      <c r="O277" s="153">
        <v>999</v>
      </c>
      <c r="P277" s="158" t="s">
        <v>1620</v>
      </c>
      <c r="Q277" s="153">
        <v>999</v>
      </c>
      <c r="R277" s="155" t="s">
        <v>1621</v>
      </c>
      <c r="S277" s="153">
        <v>999</v>
      </c>
      <c r="T277" s="153" t="s">
        <v>1622</v>
      </c>
      <c r="U277" s="153">
        <v>4</v>
      </c>
      <c r="V277" s="159" t="s">
        <v>81</v>
      </c>
      <c r="W277" s="159" t="s">
        <v>78</v>
      </c>
      <c r="X277" s="159" t="s">
        <v>75</v>
      </c>
      <c r="Y277" s="159" t="s">
        <v>1623</v>
      </c>
      <c r="Z277" s="159" t="s">
        <v>121</v>
      </c>
      <c r="AA277" s="159" t="s">
        <v>75</v>
      </c>
      <c r="AB277" s="159" t="s">
        <v>75</v>
      </c>
      <c r="AC277" s="159" t="s">
        <v>78</v>
      </c>
      <c r="AD277" s="159" t="s">
        <v>75</v>
      </c>
      <c r="AE277" s="159">
        <v>1</v>
      </c>
    </row>
    <row r="278" spans="1:31" s="149" customFormat="1" ht="25.05" customHeight="1" x14ac:dyDescent="0.3">
      <c r="A278" s="153" t="s">
        <v>1624</v>
      </c>
      <c r="B278" s="153" t="s">
        <v>1625</v>
      </c>
      <c r="C278" s="155" t="s">
        <v>78</v>
      </c>
      <c r="D278" s="155" t="s">
        <v>567</v>
      </c>
      <c r="E278" s="153" t="s">
        <v>72</v>
      </c>
      <c r="F278" s="153" t="s">
        <v>679</v>
      </c>
      <c r="G278" s="153" t="s">
        <v>81</v>
      </c>
      <c r="H278" s="153">
        <v>714408.18</v>
      </c>
      <c r="I278" s="156">
        <v>993591.75266220002</v>
      </c>
      <c r="J278" s="153" t="s">
        <v>75</v>
      </c>
      <c r="K278" s="153" t="s">
        <v>1626</v>
      </c>
      <c r="L278" s="153" t="s">
        <v>75</v>
      </c>
      <c r="M278" s="153" t="s">
        <v>1627</v>
      </c>
      <c r="N278" s="153" t="s">
        <v>75</v>
      </c>
      <c r="O278" s="153">
        <v>0</v>
      </c>
      <c r="P278" s="158" t="s">
        <v>78</v>
      </c>
      <c r="Q278" s="153">
        <v>999</v>
      </c>
      <c r="R278" s="155" t="s">
        <v>1628</v>
      </c>
      <c r="S278" s="153">
        <v>0</v>
      </c>
      <c r="T278" s="153" t="s">
        <v>78</v>
      </c>
      <c r="U278" s="153">
        <v>1</v>
      </c>
      <c r="V278" s="159" t="s">
        <v>75</v>
      </c>
      <c r="W278" s="159" t="s">
        <v>1629</v>
      </c>
      <c r="X278" s="159" t="s">
        <v>75</v>
      </c>
      <c r="Y278" s="159" t="s">
        <v>1630</v>
      </c>
      <c r="Z278" s="159" t="s">
        <v>121</v>
      </c>
      <c r="AA278" s="159" t="s">
        <v>81</v>
      </c>
      <c r="AB278" s="159" t="s">
        <v>81</v>
      </c>
      <c r="AC278" s="159" t="s">
        <v>78</v>
      </c>
      <c r="AD278" s="159" t="s">
        <v>75</v>
      </c>
      <c r="AE278" s="159">
        <v>1</v>
      </c>
    </row>
    <row r="279" spans="1:31" s="149" customFormat="1" ht="25.05" customHeight="1" x14ac:dyDescent="0.3">
      <c r="A279" s="153" t="s">
        <v>1631</v>
      </c>
      <c r="B279" s="153" t="s">
        <v>1632</v>
      </c>
      <c r="C279" s="155" t="s">
        <v>78</v>
      </c>
      <c r="D279" s="155" t="s">
        <v>569</v>
      </c>
      <c r="E279" s="153" t="s">
        <v>228</v>
      </c>
      <c r="F279" s="153" t="s">
        <v>679</v>
      </c>
      <c r="G279" s="153" t="s">
        <v>81</v>
      </c>
      <c r="H279" s="153">
        <v>7500000</v>
      </c>
      <c r="I279" s="156">
        <v>10430925</v>
      </c>
      <c r="J279" s="153" t="s">
        <v>75</v>
      </c>
      <c r="K279" s="153" t="s">
        <v>1633</v>
      </c>
      <c r="L279" s="153" t="s">
        <v>75</v>
      </c>
      <c r="M279" s="153" t="s">
        <v>1634</v>
      </c>
      <c r="N279" s="153" t="s">
        <v>75</v>
      </c>
      <c r="O279" s="153">
        <v>0</v>
      </c>
      <c r="P279" s="158" t="s">
        <v>78</v>
      </c>
      <c r="Q279" s="153">
        <v>2</v>
      </c>
      <c r="R279" s="155" t="s">
        <v>1635</v>
      </c>
      <c r="S279" s="153">
        <v>999</v>
      </c>
      <c r="T279" s="153" t="s">
        <v>1636</v>
      </c>
      <c r="U279" s="153">
        <v>2</v>
      </c>
      <c r="V279" s="159" t="s">
        <v>75</v>
      </c>
      <c r="W279" s="159" t="s">
        <v>1637</v>
      </c>
      <c r="X279" s="159" t="s">
        <v>75</v>
      </c>
      <c r="Y279" s="159" t="s">
        <v>1638</v>
      </c>
      <c r="Z279" s="159" t="s">
        <v>121</v>
      </c>
      <c r="AA279" s="159" t="s">
        <v>75</v>
      </c>
      <c r="AB279" s="159" t="s">
        <v>75</v>
      </c>
      <c r="AC279" s="159" t="s">
        <v>78</v>
      </c>
      <c r="AD279" s="159" t="s">
        <v>75</v>
      </c>
      <c r="AE279" s="159">
        <v>1</v>
      </c>
    </row>
    <row r="280" spans="1:31" s="149" customFormat="1" ht="25.05" customHeight="1" x14ac:dyDescent="0.3">
      <c r="A280" s="153" t="s">
        <v>1639</v>
      </c>
      <c r="B280" s="153" t="s">
        <v>1640</v>
      </c>
      <c r="C280" s="155" t="s">
        <v>78</v>
      </c>
      <c r="D280" s="155" t="s">
        <v>526</v>
      </c>
      <c r="E280" s="153" t="s">
        <v>115</v>
      </c>
      <c r="F280" s="153" t="s">
        <v>676</v>
      </c>
      <c r="G280" s="153" t="s">
        <v>81</v>
      </c>
      <c r="H280" s="153">
        <v>6000000</v>
      </c>
      <c r="I280" s="156">
        <v>8344740</v>
      </c>
      <c r="J280" s="153" t="s">
        <v>75</v>
      </c>
      <c r="K280" s="153" t="s">
        <v>1641</v>
      </c>
      <c r="L280" s="153" t="s">
        <v>75</v>
      </c>
      <c r="M280" s="153" t="s">
        <v>1642</v>
      </c>
      <c r="N280" s="153" t="s">
        <v>75</v>
      </c>
      <c r="O280" s="153">
        <v>999</v>
      </c>
      <c r="P280" s="158" t="s">
        <v>1643</v>
      </c>
      <c r="Q280" s="153">
        <v>999</v>
      </c>
      <c r="R280" s="155" t="s">
        <v>1644</v>
      </c>
      <c r="S280" s="153">
        <v>999</v>
      </c>
      <c r="T280" s="153" t="s">
        <v>1645</v>
      </c>
      <c r="U280" s="153">
        <v>6</v>
      </c>
      <c r="V280" s="159" t="s">
        <v>75</v>
      </c>
      <c r="W280" s="159" t="s">
        <v>1646</v>
      </c>
      <c r="X280" s="159" t="s">
        <v>75</v>
      </c>
      <c r="Y280" s="159" t="s">
        <v>1647</v>
      </c>
      <c r="Z280" s="159" t="s">
        <v>1648</v>
      </c>
      <c r="AA280" s="159" t="s">
        <v>75</v>
      </c>
      <c r="AB280" s="159" t="s">
        <v>75</v>
      </c>
      <c r="AC280" s="159" t="s">
        <v>78</v>
      </c>
      <c r="AD280" s="159" t="s">
        <v>75</v>
      </c>
      <c r="AE280" s="159">
        <v>1</v>
      </c>
    </row>
    <row r="281" spans="1:31" s="149" customFormat="1" ht="25.05" customHeight="1" x14ac:dyDescent="0.3">
      <c r="A281" s="153" t="s">
        <v>1649</v>
      </c>
      <c r="B281" s="153" t="s">
        <v>1650</v>
      </c>
      <c r="C281" s="155" t="s">
        <v>78</v>
      </c>
      <c r="D281" s="155" t="s">
        <v>549</v>
      </c>
      <c r="E281" s="153" t="s">
        <v>228</v>
      </c>
      <c r="F281" s="153" t="s">
        <v>1398</v>
      </c>
      <c r="G281" s="153" t="s">
        <v>75</v>
      </c>
      <c r="H281" s="153">
        <v>0</v>
      </c>
      <c r="I281" s="156">
        <v>0</v>
      </c>
      <c r="J281" s="153" t="s">
        <v>75</v>
      </c>
      <c r="K281" s="153" t="s">
        <v>1651</v>
      </c>
      <c r="L281" s="153" t="s">
        <v>75</v>
      </c>
      <c r="M281" s="153" t="s">
        <v>1652</v>
      </c>
      <c r="N281" s="153" t="s">
        <v>75</v>
      </c>
      <c r="O281" s="153">
        <v>0</v>
      </c>
      <c r="P281" s="158" t="s">
        <v>78</v>
      </c>
      <c r="Q281" s="153">
        <v>999</v>
      </c>
      <c r="R281" s="155" t="s">
        <v>1653</v>
      </c>
      <c r="S281" s="153">
        <v>0</v>
      </c>
      <c r="T281" s="153" t="s">
        <v>78</v>
      </c>
      <c r="U281" s="153">
        <v>1</v>
      </c>
      <c r="V281" s="159" t="s">
        <v>81</v>
      </c>
      <c r="W281" s="159" t="s">
        <v>78</v>
      </c>
      <c r="X281" s="159" t="s">
        <v>75</v>
      </c>
      <c r="Y281" s="159" t="s">
        <v>1654</v>
      </c>
      <c r="Z281" s="159" t="s">
        <v>132</v>
      </c>
      <c r="AA281" s="159" t="s">
        <v>75</v>
      </c>
      <c r="AB281" s="159" t="s">
        <v>75</v>
      </c>
      <c r="AC281" s="159" t="s">
        <v>78</v>
      </c>
      <c r="AD281" s="159" t="s">
        <v>75</v>
      </c>
      <c r="AE281" s="159">
        <v>1</v>
      </c>
    </row>
    <row r="282" spans="1:31" s="149" customFormat="1" ht="25.05" customHeight="1" x14ac:dyDescent="0.3">
      <c r="A282" s="153" t="s">
        <v>1655</v>
      </c>
      <c r="B282" s="153" t="s">
        <v>1656</v>
      </c>
      <c r="C282" s="155" t="s">
        <v>78</v>
      </c>
      <c r="D282" s="155" t="s">
        <v>530</v>
      </c>
      <c r="E282" s="153" t="s">
        <v>228</v>
      </c>
      <c r="F282" s="153" t="s">
        <v>676</v>
      </c>
      <c r="G282" s="153" t="s">
        <v>81</v>
      </c>
      <c r="H282" s="153">
        <v>9400000</v>
      </c>
      <c r="I282" s="156">
        <v>13073426</v>
      </c>
      <c r="J282" s="153" t="s">
        <v>81</v>
      </c>
      <c r="K282" s="153" t="s">
        <v>78</v>
      </c>
      <c r="L282" s="153" t="s">
        <v>81</v>
      </c>
      <c r="M282" s="153" t="s">
        <v>1657</v>
      </c>
      <c r="N282" s="153" t="s">
        <v>81</v>
      </c>
      <c r="O282" s="153">
        <v>0</v>
      </c>
      <c r="P282" s="158" t="s">
        <v>78</v>
      </c>
      <c r="Q282" s="153">
        <v>0</v>
      </c>
      <c r="R282" s="155" t="s">
        <v>78</v>
      </c>
      <c r="S282" s="153">
        <v>0</v>
      </c>
      <c r="T282" s="153" t="s">
        <v>78</v>
      </c>
      <c r="U282" s="153">
        <v>0</v>
      </c>
      <c r="V282" s="159" t="s">
        <v>81</v>
      </c>
      <c r="W282" s="159" t="s">
        <v>78</v>
      </c>
      <c r="X282" s="159" t="s">
        <v>81</v>
      </c>
      <c r="Y282" s="159" t="s">
        <v>1423</v>
      </c>
      <c r="Z282" s="159" t="s">
        <v>1648</v>
      </c>
      <c r="AA282" s="159" t="s">
        <v>81</v>
      </c>
      <c r="AB282" s="159" t="s">
        <v>81</v>
      </c>
      <c r="AC282" s="159" t="s">
        <v>78</v>
      </c>
      <c r="AD282" s="159" t="s">
        <v>81</v>
      </c>
      <c r="AE282" s="159">
        <v>1</v>
      </c>
    </row>
    <row r="283" spans="1:31" s="149" customFormat="1" ht="25.05" customHeight="1" x14ac:dyDescent="0.3">
      <c r="A283" s="153" t="s">
        <v>1658</v>
      </c>
      <c r="B283" s="153" t="s">
        <v>1659</v>
      </c>
      <c r="C283" s="155" t="s">
        <v>78</v>
      </c>
      <c r="D283" s="155" t="s">
        <v>505</v>
      </c>
      <c r="E283" s="153" t="s">
        <v>228</v>
      </c>
      <c r="F283" s="153" t="s">
        <v>679</v>
      </c>
      <c r="G283" s="153" t="s">
        <v>81</v>
      </c>
      <c r="H283" s="153">
        <v>59190736</v>
      </c>
      <c r="I283" s="156">
        <v>82321883.721440002</v>
      </c>
      <c r="J283" s="153" t="s">
        <v>75</v>
      </c>
      <c r="K283" s="153" t="s">
        <v>1660</v>
      </c>
      <c r="L283" s="153" t="s">
        <v>75</v>
      </c>
      <c r="M283" s="153" t="s">
        <v>1661</v>
      </c>
      <c r="N283" s="153" t="s">
        <v>75</v>
      </c>
      <c r="O283" s="153">
        <v>999</v>
      </c>
      <c r="P283" s="158" t="s">
        <v>1662</v>
      </c>
      <c r="Q283" s="153">
        <v>999</v>
      </c>
      <c r="R283" s="155" t="s">
        <v>1663</v>
      </c>
      <c r="S283" s="153">
        <v>999</v>
      </c>
      <c r="T283" s="153" t="s">
        <v>1664</v>
      </c>
      <c r="U283" s="153">
        <v>4</v>
      </c>
      <c r="V283" s="159" t="s">
        <v>75</v>
      </c>
      <c r="W283" s="159" t="s">
        <v>1665</v>
      </c>
      <c r="X283" s="159" t="s">
        <v>75</v>
      </c>
      <c r="Y283" s="159" t="s">
        <v>1666</v>
      </c>
      <c r="Z283" s="159" t="s">
        <v>1523</v>
      </c>
      <c r="AA283" s="159" t="s">
        <v>75</v>
      </c>
      <c r="AB283" s="159" t="s">
        <v>75</v>
      </c>
      <c r="AC283" s="159" t="s">
        <v>78</v>
      </c>
      <c r="AD283" s="159" t="s">
        <v>75</v>
      </c>
      <c r="AE283" s="159">
        <v>1</v>
      </c>
    </row>
    <row r="284" spans="1:31" s="149" customFormat="1" ht="25.05" customHeight="1" x14ac:dyDescent="0.3">
      <c r="A284" s="153" t="s">
        <v>1667</v>
      </c>
      <c r="B284" s="153" t="s">
        <v>1668</v>
      </c>
      <c r="C284" s="155" t="s">
        <v>78</v>
      </c>
      <c r="D284" s="155" t="s">
        <v>492</v>
      </c>
      <c r="E284" s="153" t="s">
        <v>228</v>
      </c>
      <c r="F284" s="153" t="s">
        <v>676</v>
      </c>
      <c r="G284" s="153" t="s">
        <v>81</v>
      </c>
      <c r="H284" s="153">
        <v>42097947</v>
      </c>
      <c r="I284" s="156">
        <v>58549403.708130002</v>
      </c>
      <c r="J284" s="153" t="s">
        <v>81</v>
      </c>
      <c r="K284" s="153" t="s">
        <v>78</v>
      </c>
      <c r="L284" s="153" t="s">
        <v>81</v>
      </c>
      <c r="M284" s="153" t="s">
        <v>1669</v>
      </c>
      <c r="N284" s="153" t="s">
        <v>75</v>
      </c>
      <c r="O284" s="153">
        <v>999</v>
      </c>
      <c r="P284" s="158" t="s">
        <v>1670</v>
      </c>
      <c r="Q284" s="153">
        <v>0</v>
      </c>
      <c r="R284" s="155" t="s">
        <v>78</v>
      </c>
      <c r="S284" s="153">
        <v>0</v>
      </c>
      <c r="T284" s="153" t="s">
        <v>78</v>
      </c>
      <c r="U284" s="153">
        <v>1</v>
      </c>
      <c r="V284" s="159" t="s">
        <v>81</v>
      </c>
      <c r="W284" s="159" t="s">
        <v>78</v>
      </c>
      <c r="X284" s="159" t="s">
        <v>81</v>
      </c>
      <c r="Y284" s="159" t="s">
        <v>1423</v>
      </c>
      <c r="Z284" s="159" t="s">
        <v>132</v>
      </c>
      <c r="AA284" s="159" t="s">
        <v>75</v>
      </c>
      <c r="AB284" s="159" t="s">
        <v>75</v>
      </c>
      <c r="AC284" s="159" t="s">
        <v>78</v>
      </c>
      <c r="AD284" s="159" t="s">
        <v>81</v>
      </c>
      <c r="AE284" s="159">
        <v>1</v>
      </c>
    </row>
    <row r="285" spans="1:31" s="149" customFormat="1" ht="25.05" customHeight="1" x14ac:dyDescent="0.3">
      <c r="A285" s="153" t="s">
        <v>1671</v>
      </c>
      <c r="B285" s="153" t="s">
        <v>1672</v>
      </c>
      <c r="C285" s="155" t="s">
        <v>1673</v>
      </c>
      <c r="D285" s="155" t="s">
        <v>1848</v>
      </c>
      <c r="E285" s="153" t="s">
        <v>115</v>
      </c>
      <c r="F285" s="153" t="s">
        <v>679</v>
      </c>
      <c r="G285" s="153" t="s">
        <v>75</v>
      </c>
      <c r="H285" s="153">
        <v>0</v>
      </c>
      <c r="I285" s="156">
        <v>0</v>
      </c>
      <c r="J285" s="153" t="s">
        <v>81</v>
      </c>
      <c r="K285" s="153" t="s">
        <v>78</v>
      </c>
      <c r="L285" s="153" t="s">
        <v>81</v>
      </c>
      <c r="M285" s="153" t="s">
        <v>1674</v>
      </c>
      <c r="N285" s="153" t="s">
        <v>81</v>
      </c>
      <c r="O285" s="153">
        <v>0</v>
      </c>
      <c r="P285" s="158" t="s">
        <v>78</v>
      </c>
      <c r="Q285" s="153">
        <v>0</v>
      </c>
      <c r="R285" s="155" t="s">
        <v>78</v>
      </c>
      <c r="S285" s="153">
        <v>0</v>
      </c>
      <c r="T285" s="153" t="s">
        <v>78</v>
      </c>
      <c r="U285" s="153">
        <v>0</v>
      </c>
      <c r="V285" s="159" t="s">
        <v>81</v>
      </c>
      <c r="W285" s="159" t="s">
        <v>78</v>
      </c>
      <c r="X285" s="159" t="s">
        <v>81</v>
      </c>
      <c r="Y285" s="159" t="s">
        <v>1423</v>
      </c>
      <c r="Z285" s="159" t="s">
        <v>1523</v>
      </c>
      <c r="AA285" s="159" t="s">
        <v>81</v>
      </c>
      <c r="AB285" s="159" t="s">
        <v>81</v>
      </c>
      <c r="AC285" s="159" t="s">
        <v>78</v>
      </c>
      <c r="AD285" s="159" t="s">
        <v>81</v>
      </c>
      <c r="AE285" s="159">
        <v>1</v>
      </c>
    </row>
    <row r="286" spans="1:31" s="149" customFormat="1" ht="25.05" customHeight="1" x14ac:dyDescent="0.3">
      <c r="A286" s="153" t="s">
        <v>1675</v>
      </c>
      <c r="B286" s="153" t="s">
        <v>1676</v>
      </c>
      <c r="C286" s="155" t="s">
        <v>78</v>
      </c>
      <c r="D286" s="155" t="s">
        <v>535</v>
      </c>
      <c r="E286" s="153" t="s">
        <v>228</v>
      </c>
      <c r="F286" s="153" t="s">
        <v>679</v>
      </c>
      <c r="G286" s="153" t="s">
        <v>81</v>
      </c>
      <c r="H286" s="153">
        <v>15000000</v>
      </c>
      <c r="I286" s="156">
        <v>20861850</v>
      </c>
      <c r="J286" s="153" t="s">
        <v>75</v>
      </c>
      <c r="K286" s="153" t="s">
        <v>1677</v>
      </c>
      <c r="L286" s="153" t="s">
        <v>75</v>
      </c>
      <c r="M286" s="153" t="s">
        <v>1678</v>
      </c>
      <c r="N286" s="153" t="s">
        <v>75</v>
      </c>
      <c r="O286" s="153">
        <v>999</v>
      </c>
      <c r="P286" s="158" t="s">
        <v>1679</v>
      </c>
      <c r="Q286" s="153">
        <v>999</v>
      </c>
      <c r="R286" s="155" t="s">
        <v>1680</v>
      </c>
      <c r="S286" s="153">
        <v>999</v>
      </c>
      <c r="T286" s="153" t="s">
        <v>1681</v>
      </c>
      <c r="U286" s="153">
        <v>3</v>
      </c>
      <c r="V286" s="159" t="s">
        <v>81</v>
      </c>
      <c r="W286" s="159" t="s">
        <v>78</v>
      </c>
      <c r="X286" s="159" t="s">
        <v>75</v>
      </c>
      <c r="Y286" s="159" t="s">
        <v>1682</v>
      </c>
      <c r="Z286" s="159" t="s">
        <v>121</v>
      </c>
      <c r="AA286" s="159" t="s">
        <v>75</v>
      </c>
      <c r="AB286" s="159" t="s">
        <v>75</v>
      </c>
      <c r="AC286" s="159" t="s">
        <v>78</v>
      </c>
      <c r="AD286" s="159" t="s">
        <v>75</v>
      </c>
      <c r="AE286" s="159">
        <v>1</v>
      </c>
    </row>
    <row r="287" spans="1:31" s="149" customFormat="1" ht="25.05" customHeight="1" x14ac:dyDescent="0.3">
      <c r="A287" s="153" t="s">
        <v>1683</v>
      </c>
      <c r="B287" s="153" t="s">
        <v>1684</v>
      </c>
      <c r="C287" s="155" t="s">
        <v>78</v>
      </c>
      <c r="D287" s="155" t="s">
        <v>535</v>
      </c>
      <c r="E287" s="153" t="s">
        <v>228</v>
      </c>
      <c r="F287" s="153" t="s">
        <v>1685</v>
      </c>
      <c r="G287" s="153" t="s">
        <v>75</v>
      </c>
      <c r="H287" s="153">
        <v>0</v>
      </c>
      <c r="I287" s="156">
        <v>0</v>
      </c>
      <c r="J287" s="153" t="s">
        <v>81</v>
      </c>
      <c r="K287" s="153" t="s">
        <v>78</v>
      </c>
      <c r="L287" s="153" t="s">
        <v>81</v>
      </c>
      <c r="M287" s="153" t="s">
        <v>1686</v>
      </c>
      <c r="N287" s="153" t="s">
        <v>81</v>
      </c>
      <c r="O287" s="153">
        <v>0</v>
      </c>
      <c r="P287" s="158" t="s">
        <v>78</v>
      </c>
      <c r="Q287" s="153">
        <v>0</v>
      </c>
      <c r="R287" s="155" t="s">
        <v>78</v>
      </c>
      <c r="S287" s="153">
        <v>0</v>
      </c>
      <c r="T287" s="153" t="s">
        <v>78</v>
      </c>
      <c r="U287" s="153">
        <v>0</v>
      </c>
      <c r="V287" s="159" t="s">
        <v>81</v>
      </c>
      <c r="W287" s="159" t="s">
        <v>78</v>
      </c>
      <c r="X287" s="159" t="s">
        <v>81</v>
      </c>
      <c r="Y287" s="159" t="s">
        <v>1423</v>
      </c>
      <c r="Z287" s="159" t="s">
        <v>121</v>
      </c>
      <c r="AA287" s="159" t="s">
        <v>81</v>
      </c>
      <c r="AB287" s="159" t="s">
        <v>81</v>
      </c>
      <c r="AC287" s="159" t="s">
        <v>78</v>
      </c>
      <c r="AD287" s="159" t="s">
        <v>81</v>
      </c>
      <c r="AE287" s="159">
        <v>1</v>
      </c>
    </row>
    <row r="288" spans="1:31" s="149" customFormat="1" ht="25.05" customHeight="1" x14ac:dyDescent="0.3">
      <c r="A288" s="153" t="s">
        <v>1687</v>
      </c>
      <c r="B288" s="153" t="s">
        <v>1688</v>
      </c>
      <c r="C288" s="155" t="s">
        <v>78</v>
      </c>
      <c r="D288" s="155" t="s">
        <v>525</v>
      </c>
      <c r="E288" s="153" t="s">
        <v>256</v>
      </c>
      <c r="F288" s="153" t="s">
        <v>679</v>
      </c>
      <c r="G288" s="153" t="s">
        <v>81</v>
      </c>
      <c r="H288" s="153">
        <v>6500000</v>
      </c>
      <c r="I288" s="156">
        <v>9040135</v>
      </c>
      <c r="J288" s="153" t="s">
        <v>75</v>
      </c>
      <c r="K288" s="153" t="s">
        <v>1689</v>
      </c>
      <c r="L288" s="153" t="s">
        <v>75</v>
      </c>
      <c r="M288" s="153" t="s">
        <v>1690</v>
      </c>
      <c r="N288" s="153" t="s">
        <v>75</v>
      </c>
      <c r="O288" s="153">
        <v>999</v>
      </c>
      <c r="P288" s="158" t="s">
        <v>1691</v>
      </c>
      <c r="Q288" s="153">
        <v>999</v>
      </c>
      <c r="R288" s="155" t="s">
        <v>1692</v>
      </c>
      <c r="S288" s="153">
        <v>999</v>
      </c>
      <c r="T288" s="153" t="s">
        <v>1693</v>
      </c>
      <c r="U288" s="153">
        <v>5</v>
      </c>
      <c r="V288" s="159" t="s">
        <v>75</v>
      </c>
      <c r="W288" s="159" t="s">
        <v>1694</v>
      </c>
      <c r="X288" s="159" t="s">
        <v>75</v>
      </c>
      <c r="Y288" s="159" t="s">
        <v>1695</v>
      </c>
      <c r="Z288" s="159" t="s">
        <v>121</v>
      </c>
      <c r="AA288" s="159" t="s">
        <v>75</v>
      </c>
      <c r="AB288" s="159" t="s">
        <v>75</v>
      </c>
      <c r="AC288" s="159" t="s">
        <v>78</v>
      </c>
      <c r="AD288" s="159" t="s">
        <v>75</v>
      </c>
      <c r="AE288" s="159">
        <v>1</v>
      </c>
    </row>
    <row r="289" spans="1:31" s="149" customFormat="1" ht="25.05" customHeight="1" x14ac:dyDescent="0.3">
      <c r="A289" s="153" t="s">
        <v>1696</v>
      </c>
      <c r="B289" s="153" t="s">
        <v>1697</v>
      </c>
      <c r="C289" s="155" t="s">
        <v>78</v>
      </c>
      <c r="D289" s="155" t="s">
        <v>559</v>
      </c>
      <c r="E289" s="153" t="s">
        <v>115</v>
      </c>
      <c r="F289" s="153" t="s">
        <v>679</v>
      </c>
      <c r="G289" s="153" t="s">
        <v>81</v>
      </c>
      <c r="H289" s="153">
        <v>49962352.170000002</v>
      </c>
      <c r="I289" s="156">
        <v>69487139.774514303</v>
      </c>
      <c r="J289" s="153" t="s">
        <v>81</v>
      </c>
      <c r="K289" s="153" t="s">
        <v>78</v>
      </c>
      <c r="L289" s="153" t="s">
        <v>81</v>
      </c>
      <c r="M289" s="153" t="s">
        <v>1698</v>
      </c>
      <c r="N289" s="153" t="s">
        <v>81</v>
      </c>
      <c r="O289" s="153">
        <v>0</v>
      </c>
      <c r="P289" s="158" t="s">
        <v>78</v>
      </c>
      <c r="Q289" s="153">
        <v>0</v>
      </c>
      <c r="R289" s="155" t="s">
        <v>78</v>
      </c>
      <c r="S289" s="153">
        <v>0</v>
      </c>
      <c r="T289" s="153" t="s">
        <v>78</v>
      </c>
      <c r="U289" s="153">
        <v>0</v>
      </c>
      <c r="V289" s="159" t="s">
        <v>81</v>
      </c>
      <c r="W289" s="159" t="s">
        <v>78</v>
      </c>
      <c r="X289" s="159" t="s">
        <v>81</v>
      </c>
      <c r="Y289" s="159" t="s">
        <v>1423</v>
      </c>
      <c r="Z289" s="159" t="s">
        <v>1523</v>
      </c>
      <c r="AA289" s="159" t="s">
        <v>81</v>
      </c>
      <c r="AB289" s="159" t="s">
        <v>81</v>
      </c>
      <c r="AC289" s="159" t="s">
        <v>78</v>
      </c>
      <c r="AD289" s="159" t="s">
        <v>81</v>
      </c>
      <c r="AE289" s="159">
        <v>1</v>
      </c>
    </row>
    <row r="290" spans="1:31" s="149" customFormat="1" ht="25.05" customHeight="1" x14ac:dyDescent="0.3">
      <c r="A290" s="153" t="s">
        <v>1699</v>
      </c>
      <c r="B290" s="153" t="s">
        <v>1700</v>
      </c>
      <c r="C290" s="155" t="s">
        <v>78</v>
      </c>
      <c r="D290" s="155" t="s">
        <v>554</v>
      </c>
      <c r="E290" s="153" t="s">
        <v>256</v>
      </c>
      <c r="F290" s="153" t="s">
        <v>679</v>
      </c>
      <c r="G290" s="153" t="s">
        <v>81</v>
      </c>
      <c r="H290" s="153">
        <v>76026762.590000004</v>
      </c>
      <c r="I290" s="156">
        <v>105737261.1425461</v>
      </c>
      <c r="J290" s="153" t="s">
        <v>75</v>
      </c>
      <c r="K290" s="153" t="s">
        <v>1701</v>
      </c>
      <c r="L290" s="153" t="s">
        <v>75</v>
      </c>
      <c r="M290" s="153" t="s">
        <v>1702</v>
      </c>
      <c r="N290" s="153" t="s">
        <v>75</v>
      </c>
      <c r="O290" s="153">
        <v>999</v>
      </c>
      <c r="P290" s="158" t="s">
        <v>1703</v>
      </c>
      <c r="Q290" s="153">
        <v>0</v>
      </c>
      <c r="R290" s="155" t="s">
        <v>78</v>
      </c>
      <c r="S290" s="153">
        <v>0</v>
      </c>
      <c r="T290" s="153" t="s">
        <v>78</v>
      </c>
      <c r="U290" s="153">
        <v>1</v>
      </c>
      <c r="V290" s="159" t="s">
        <v>81</v>
      </c>
      <c r="W290" s="159" t="s">
        <v>78</v>
      </c>
      <c r="X290" s="159" t="s">
        <v>75</v>
      </c>
      <c r="Y290" s="159" t="s">
        <v>1704</v>
      </c>
      <c r="Z290" s="159" t="s">
        <v>121</v>
      </c>
      <c r="AA290" s="159" t="s">
        <v>75</v>
      </c>
      <c r="AB290" s="159" t="s">
        <v>75</v>
      </c>
      <c r="AC290" s="159" t="s">
        <v>78</v>
      </c>
      <c r="AD290" s="159" t="s">
        <v>75</v>
      </c>
      <c r="AE290" s="159">
        <v>1</v>
      </c>
    </row>
    <row r="291" spans="1:31" s="149" customFormat="1" ht="25.05" customHeight="1" x14ac:dyDescent="0.3">
      <c r="A291" s="153" t="s">
        <v>1705</v>
      </c>
      <c r="B291" s="153" t="s">
        <v>1706</v>
      </c>
      <c r="C291" s="155" t="s">
        <v>78</v>
      </c>
      <c r="D291" s="155" t="s">
        <v>546</v>
      </c>
      <c r="E291" s="153" t="s">
        <v>115</v>
      </c>
      <c r="F291" s="153" t="s">
        <v>689</v>
      </c>
      <c r="G291" s="153" t="s">
        <v>81</v>
      </c>
      <c r="H291" s="153">
        <v>145739269.59999999</v>
      </c>
      <c r="I291" s="156">
        <v>202692718.76698399</v>
      </c>
      <c r="J291" s="153" t="s">
        <v>75</v>
      </c>
      <c r="K291" s="153" t="s">
        <v>1707</v>
      </c>
      <c r="L291" s="153" t="s">
        <v>75</v>
      </c>
      <c r="M291" s="153" t="s">
        <v>1708</v>
      </c>
      <c r="N291" s="153" t="s">
        <v>75</v>
      </c>
      <c r="O291" s="153">
        <v>0</v>
      </c>
      <c r="P291" s="158" t="s">
        <v>78</v>
      </c>
      <c r="Q291" s="153">
        <v>999</v>
      </c>
      <c r="R291" s="155" t="s">
        <v>1709</v>
      </c>
      <c r="S291" s="153">
        <v>0</v>
      </c>
      <c r="T291" s="153" t="s">
        <v>78</v>
      </c>
      <c r="U291" s="153">
        <v>1</v>
      </c>
      <c r="V291" s="159" t="s">
        <v>75</v>
      </c>
      <c r="W291" s="159" t="s">
        <v>1710</v>
      </c>
      <c r="X291" s="159" t="s">
        <v>75</v>
      </c>
      <c r="Y291" s="159" t="s">
        <v>1711</v>
      </c>
      <c r="Z291" s="159" t="s">
        <v>121</v>
      </c>
      <c r="AA291" s="159" t="s">
        <v>81</v>
      </c>
      <c r="AB291" s="159" t="s">
        <v>81</v>
      </c>
      <c r="AC291" s="159" t="s">
        <v>78</v>
      </c>
      <c r="AD291" s="159" t="s">
        <v>75</v>
      </c>
      <c r="AE291" s="159">
        <v>1</v>
      </c>
    </row>
    <row r="292" spans="1:31" s="149" customFormat="1" ht="25.05" customHeight="1" x14ac:dyDescent="0.3">
      <c r="A292" s="153" t="s">
        <v>1712</v>
      </c>
      <c r="B292" s="153" t="s">
        <v>1713</v>
      </c>
      <c r="C292" s="155" t="s">
        <v>78</v>
      </c>
      <c r="D292" s="155" t="s">
        <v>534</v>
      </c>
      <c r="E292" s="153" t="s">
        <v>256</v>
      </c>
      <c r="F292" s="153" t="s">
        <v>679</v>
      </c>
      <c r="G292" s="153" t="s">
        <v>81</v>
      </c>
      <c r="H292" s="153">
        <v>86947420.959999993</v>
      </c>
      <c r="I292" s="156">
        <v>120925603.59695838</v>
      </c>
      <c r="J292" s="153" t="s">
        <v>75</v>
      </c>
      <c r="K292" s="153" t="s">
        <v>1689</v>
      </c>
      <c r="L292" s="153" t="s">
        <v>75</v>
      </c>
      <c r="M292" s="153" t="s">
        <v>1714</v>
      </c>
      <c r="N292" s="153" t="s">
        <v>75</v>
      </c>
      <c r="O292" s="153">
        <v>999</v>
      </c>
      <c r="P292" s="158" t="s">
        <v>1715</v>
      </c>
      <c r="Q292" s="153">
        <v>999</v>
      </c>
      <c r="R292" s="155" t="s">
        <v>1716</v>
      </c>
      <c r="S292" s="153">
        <v>0</v>
      </c>
      <c r="T292" s="153" t="s">
        <v>78</v>
      </c>
      <c r="U292" s="153">
        <v>3</v>
      </c>
      <c r="V292" s="159" t="s">
        <v>81</v>
      </c>
      <c r="W292" s="159" t="s">
        <v>78</v>
      </c>
      <c r="X292" s="159" t="s">
        <v>75</v>
      </c>
      <c r="Y292" s="159" t="s">
        <v>1695</v>
      </c>
      <c r="Z292" s="159" t="s">
        <v>121</v>
      </c>
      <c r="AA292" s="159" t="s">
        <v>75</v>
      </c>
      <c r="AB292" s="159" t="s">
        <v>75</v>
      </c>
      <c r="AC292" s="159" t="s">
        <v>78</v>
      </c>
      <c r="AD292" s="159" t="s">
        <v>75</v>
      </c>
      <c r="AE292" s="159">
        <v>1</v>
      </c>
    </row>
    <row r="293" spans="1:31" s="149" customFormat="1" ht="25.05" customHeight="1" x14ac:dyDescent="0.3">
      <c r="A293" s="153" t="s">
        <v>1717</v>
      </c>
      <c r="B293" s="153" t="s">
        <v>1718</v>
      </c>
      <c r="C293" s="155" t="s">
        <v>78</v>
      </c>
      <c r="D293" s="155" t="s">
        <v>530</v>
      </c>
      <c r="E293" s="153" t="s">
        <v>228</v>
      </c>
      <c r="F293" s="153" t="s">
        <v>676</v>
      </c>
      <c r="G293" s="153" t="s">
        <v>81</v>
      </c>
      <c r="H293" s="153">
        <v>89882685</v>
      </c>
      <c r="I293" s="156">
        <v>125007939.47115</v>
      </c>
      <c r="J293" s="153" t="s">
        <v>75</v>
      </c>
      <c r="K293" s="153" t="s">
        <v>1719</v>
      </c>
      <c r="L293" s="153" t="s">
        <v>75</v>
      </c>
      <c r="M293" s="153" t="s">
        <v>1720</v>
      </c>
      <c r="N293" s="153" t="s">
        <v>75</v>
      </c>
      <c r="O293" s="153">
        <v>0</v>
      </c>
      <c r="P293" s="158" t="s">
        <v>78</v>
      </c>
      <c r="Q293" s="153">
        <v>999</v>
      </c>
      <c r="R293" s="155" t="s">
        <v>1721</v>
      </c>
      <c r="S293" s="153">
        <v>0</v>
      </c>
      <c r="T293" s="153" t="s">
        <v>78</v>
      </c>
      <c r="U293" s="153">
        <v>3</v>
      </c>
      <c r="V293" s="159" t="s">
        <v>81</v>
      </c>
      <c r="W293" s="159" t="s">
        <v>78</v>
      </c>
      <c r="X293" s="159" t="s">
        <v>81</v>
      </c>
      <c r="Y293" s="159" t="s">
        <v>1423</v>
      </c>
      <c r="Z293" s="159" t="s">
        <v>121</v>
      </c>
      <c r="AA293" s="159" t="s">
        <v>75</v>
      </c>
      <c r="AB293" s="159" t="s">
        <v>75</v>
      </c>
      <c r="AC293" s="159" t="s">
        <v>78</v>
      </c>
      <c r="AD293" s="159" t="s">
        <v>75</v>
      </c>
      <c r="AE293" s="159">
        <v>1</v>
      </c>
    </row>
    <row r="294" spans="1:31" s="149" customFormat="1" ht="25.05" customHeight="1" x14ac:dyDescent="0.3">
      <c r="A294" s="153" t="s">
        <v>1722</v>
      </c>
      <c r="B294" s="153" t="s">
        <v>1723</v>
      </c>
      <c r="C294" s="155" t="s">
        <v>78</v>
      </c>
      <c r="D294" s="155" t="s">
        <v>557</v>
      </c>
      <c r="E294" s="153" t="s">
        <v>228</v>
      </c>
      <c r="F294" s="153" t="s">
        <v>1722</v>
      </c>
      <c r="G294" s="153" t="s">
        <v>81</v>
      </c>
      <c r="H294" s="153">
        <v>43703110</v>
      </c>
      <c r="I294" s="156">
        <v>60781848.356899999</v>
      </c>
      <c r="J294" s="153" t="s">
        <v>81</v>
      </c>
      <c r="K294" s="153" t="s">
        <v>78</v>
      </c>
      <c r="L294" s="153" t="s">
        <v>75</v>
      </c>
      <c r="M294" s="153" t="s">
        <v>1724</v>
      </c>
      <c r="N294" s="153" t="s">
        <v>75</v>
      </c>
      <c r="O294" s="153">
        <v>0</v>
      </c>
      <c r="P294" s="158" t="s">
        <v>78</v>
      </c>
      <c r="Q294" s="153">
        <v>999</v>
      </c>
      <c r="R294" s="155" t="s">
        <v>1725</v>
      </c>
      <c r="S294" s="153">
        <v>0</v>
      </c>
      <c r="T294" s="153" t="s">
        <v>78</v>
      </c>
      <c r="U294" s="153">
        <v>1</v>
      </c>
      <c r="V294" s="159" t="s">
        <v>81</v>
      </c>
      <c r="W294" s="159" t="s">
        <v>78</v>
      </c>
      <c r="X294" s="159" t="s">
        <v>81</v>
      </c>
      <c r="Y294" s="159" t="s">
        <v>1423</v>
      </c>
      <c r="Z294" s="159" t="s">
        <v>397</v>
      </c>
      <c r="AA294" s="159" t="s">
        <v>75</v>
      </c>
      <c r="AB294" s="159" t="s">
        <v>81</v>
      </c>
      <c r="AC294" s="159" t="s">
        <v>78</v>
      </c>
      <c r="AD294" s="159" t="s">
        <v>81</v>
      </c>
      <c r="AE294" s="159">
        <v>1</v>
      </c>
    </row>
    <row r="295" spans="1:31" s="149" customFormat="1" ht="25.05" customHeight="1" x14ac:dyDescent="0.3">
      <c r="A295" s="153" t="s">
        <v>1726</v>
      </c>
      <c r="B295" s="156" t="s">
        <v>1727</v>
      </c>
      <c r="C295" s="155" t="s">
        <v>78</v>
      </c>
      <c r="D295" s="155" t="s">
        <v>543</v>
      </c>
      <c r="E295" s="153" t="s">
        <v>466</v>
      </c>
      <c r="F295" s="153" t="s">
        <v>676</v>
      </c>
      <c r="G295" s="153" t="s">
        <v>81</v>
      </c>
      <c r="H295" s="153">
        <v>26900000</v>
      </c>
      <c r="I295" s="156">
        <v>37412251</v>
      </c>
      <c r="J295" s="153" t="s">
        <v>81</v>
      </c>
      <c r="K295" s="153" t="s">
        <v>78</v>
      </c>
      <c r="L295" s="153" t="s">
        <v>81</v>
      </c>
      <c r="M295" s="153" t="s">
        <v>1728</v>
      </c>
      <c r="N295" s="153" t="s">
        <v>81</v>
      </c>
      <c r="O295" s="153">
        <v>0</v>
      </c>
      <c r="P295" s="158" t="s">
        <v>78</v>
      </c>
      <c r="Q295" s="153">
        <v>0</v>
      </c>
      <c r="R295" s="155" t="s">
        <v>78</v>
      </c>
      <c r="S295" s="153">
        <v>0</v>
      </c>
      <c r="T295" s="153" t="s">
        <v>78</v>
      </c>
      <c r="U295" s="153">
        <v>0</v>
      </c>
      <c r="V295" s="159" t="s">
        <v>81</v>
      </c>
      <c r="W295" s="159" t="s">
        <v>78</v>
      </c>
      <c r="X295" s="159" t="s">
        <v>81</v>
      </c>
      <c r="Y295" s="159" t="s">
        <v>1423</v>
      </c>
      <c r="Z295" s="159" t="s">
        <v>1523</v>
      </c>
      <c r="AA295" s="159" t="s">
        <v>81</v>
      </c>
      <c r="AB295" s="159" t="s">
        <v>81</v>
      </c>
      <c r="AC295" s="159" t="s">
        <v>78</v>
      </c>
      <c r="AD295" s="159" t="s">
        <v>81</v>
      </c>
      <c r="AE295" s="159">
        <v>1</v>
      </c>
    </row>
    <row r="296" spans="1:31" s="149" customFormat="1" ht="25.05" customHeight="1" x14ac:dyDescent="0.3">
      <c r="A296" s="153" t="s">
        <v>1729</v>
      </c>
      <c r="B296" s="153" t="s">
        <v>1730</v>
      </c>
      <c r="C296" s="155" t="s">
        <v>78</v>
      </c>
      <c r="D296" s="155" t="s">
        <v>559</v>
      </c>
      <c r="E296" s="153" t="s">
        <v>228</v>
      </c>
      <c r="F296" s="153" t="s">
        <v>679</v>
      </c>
      <c r="G296" s="153" t="s">
        <v>81</v>
      </c>
      <c r="H296" s="153">
        <v>34560000</v>
      </c>
      <c r="I296" s="156">
        <v>48065702.399999999</v>
      </c>
      <c r="J296" s="153" t="s">
        <v>75</v>
      </c>
      <c r="K296" s="153" t="s">
        <v>1731</v>
      </c>
      <c r="L296" s="153" t="s">
        <v>75</v>
      </c>
      <c r="M296" s="153" t="s">
        <v>1732</v>
      </c>
      <c r="N296" s="153" t="s">
        <v>81</v>
      </c>
      <c r="O296" s="153">
        <v>0</v>
      </c>
      <c r="P296" s="158" t="s">
        <v>78</v>
      </c>
      <c r="Q296" s="153">
        <v>999</v>
      </c>
      <c r="R296" s="155" t="s">
        <v>1733</v>
      </c>
      <c r="S296" s="153">
        <v>999</v>
      </c>
      <c r="T296" s="153" t="s">
        <v>1734</v>
      </c>
      <c r="U296" s="153">
        <v>2</v>
      </c>
      <c r="V296" s="159" t="s">
        <v>81</v>
      </c>
      <c r="W296" s="159" t="s">
        <v>78</v>
      </c>
      <c r="X296" s="159" t="s">
        <v>75</v>
      </c>
      <c r="Y296" s="159" t="s">
        <v>1735</v>
      </c>
      <c r="Z296" s="159" t="s">
        <v>121</v>
      </c>
      <c r="AA296" s="159" t="s">
        <v>75</v>
      </c>
      <c r="AB296" s="159" t="s">
        <v>81</v>
      </c>
      <c r="AC296" s="159" t="s">
        <v>78</v>
      </c>
      <c r="AD296" s="159" t="s">
        <v>75</v>
      </c>
      <c r="AE296" s="159">
        <v>1</v>
      </c>
    </row>
    <row r="297" spans="1:31" s="149" customFormat="1" ht="25.05" customHeight="1" x14ac:dyDescent="0.3">
      <c r="A297" s="153" t="s">
        <v>1736</v>
      </c>
      <c r="B297" s="153" t="s">
        <v>1737</v>
      </c>
      <c r="C297" s="155" t="s">
        <v>78</v>
      </c>
      <c r="D297" s="155" t="s">
        <v>548</v>
      </c>
      <c r="E297" s="153" t="s">
        <v>228</v>
      </c>
      <c r="F297" s="153" t="s">
        <v>679</v>
      </c>
      <c r="G297" s="153" t="s">
        <v>75</v>
      </c>
      <c r="H297" s="153">
        <v>0</v>
      </c>
      <c r="I297" s="156">
        <v>0</v>
      </c>
      <c r="J297" s="153" t="s">
        <v>75</v>
      </c>
      <c r="K297" s="153" t="s">
        <v>1738</v>
      </c>
      <c r="L297" s="153" t="s">
        <v>75</v>
      </c>
      <c r="M297" s="153" t="s">
        <v>1739</v>
      </c>
      <c r="N297" s="153" t="s">
        <v>75</v>
      </c>
      <c r="O297" s="153">
        <v>0</v>
      </c>
      <c r="P297" s="158" t="s">
        <v>78</v>
      </c>
      <c r="Q297" s="153">
        <v>999</v>
      </c>
      <c r="R297" s="155" t="s">
        <v>1740</v>
      </c>
      <c r="S297" s="153">
        <v>0</v>
      </c>
      <c r="T297" s="153" t="s">
        <v>78</v>
      </c>
      <c r="U297" s="153">
        <v>1</v>
      </c>
      <c r="V297" s="159" t="s">
        <v>81</v>
      </c>
      <c r="W297" s="159" t="s">
        <v>78</v>
      </c>
      <c r="X297" s="159" t="s">
        <v>75</v>
      </c>
      <c r="Y297" s="159" t="s">
        <v>1735</v>
      </c>
      <c r="Z297" s="159" t="s">
        <v>121</v>
      </c>
      <c r="AA297" s="159" t="s">
        <v>75</v>
      </c>
      <c r="AB297" s="159" t="s">
        <v>75</v>
      </c>
      <c r="AC297" s="159" t="s">
        <v>78</v>
      </c>
      <c r="AD297" s="159" t="s">
        <v>75</v>
      </c>
      <c r="AE297" s="159">
        <v>1</v>
      </c>
    </row>
    <row r="298" spans="1:31" s="149" customFormat="1" ht="25.05" customHeight="1" x14ac:dyDescent="0.3">
      <c r="A298" s="153" t="s">
        <v>1741</v>
      </c>
      <c r="B298" s="153" t="s">
        <v>1742</v>
      </c>
      <c r="C298" s="155" t="s">
        <v>78</v>
      </c>
      <c r="D298" s="155" t="s">
        <v>530</v>
      </c>
      <c r="E298" s="153" t="s">
        <v>101</v>
      </c>
      <c r="F298" s="153" t="s">
        <v>679</v>
      </c>
      <c r="G298" s="153" t="s">
        <v>81</v>
      </c>
      <c r="H298" s="153">
        <v>61767031.229999997</v>
      </c>
      <c r="I298" s="156">
        <v>85904969.364371687</v>
      </c>
      <c r="J298" s="153" t="s">
        <v>75</v>
      </c>
      <c r="K298" s="153" t="s">
        <v>1743</v>
      </c>
      <c r="L298" s="153" t="s">
        <v>75</v>
      </c>
      <c r="M298" s="153" t="s">
        <v>1744</v>
      </c>
      <c r="N298" s="153" t="s">
        <v>75</v>
      </c>
      <c r="O298" s="153">
        <v>0</v>
      </c>
      <c r="P298" s="158" t="s">
        <v>78</v>
      </c>
      <c r="Q298" s="153">
        <v>999</v>
      </c>
      <c r="R298" s="155" t="s">
        <v>1745</v>
      </c>
      <c r="S298" s="153">
        <v>999</v>
      </c>
      <c r="T298" s="153" t="s">
        <v>1746</v>
      </c>
      <c r="U298" s="153">
        <v>3</v>
      </c>
      <c r="V298" s="159" t="s">
        <v>75</v>
      </c>
      <c r="W298" s="159" t="s">
        <v>1747</v>
      </c>
      <c r="X298" s="159" t="s">
        <v>75</v>
      </c>
      <c r="Y298" s="159" t="s">
        <v>1748</v>
      </c>
      <c r="Z298" s="159" t="s">
        <v>286</v>
      </c>
      <c r="AA298" s="159" t="s">
        <v>75</v>
      </c>
      <c r="AB298" s="159" t="s">
        <v>75</v>
      </c>
      <c r="AC298" s="159" t="s">
        <v>78</v>
      </c>
      <c r="AD298" s="159" t="s">
        <v>75</v>
      </c>
      <c r="AE298" s="159">
        <v>1</v>
      </c>
    </row>
    <row r="299" spans="1:31" s="149" customFormat="1" ht="25.05" customHeight="1" x14ac:dyDescent="0.3">
      <c r="A299" s="153" t="s">
        <v>68</v>
      </c>
      <c r="B299" s="153" t="s">
        <v>69</v>
      </c>
      <c r="C299" s="155" t="s">
        <v>78</v>
      </c>
      <c r="D299" s="155" t="s">
        <v>570</v>
      </c>
      <c r="E299" s="153" t="s">
        <v>72</v>
      </c>
      <c r="F299" s="153" t="s">
        <v>73</v>
      </c>
      <c r="G299" s="153" t="s">
        <v>81</v>
      </c>
      <c r="H299" s="153">
        <v>10000000</v>
      </c>
      <c r="I299" s="156">
        <v>13828300</v>
      </c>
      <c r="J299" s="153" t="s">
        <v>75</v>
      </c>
      <c r="K299" s="153" t="s">
        <v>76</v>
      </c>
      <c r="L299" s="153" t="s">
        <v>75</v>
      </c>
      <c r="M299" s="153" t="s">
        <v>77</v>
      </c>
      <c r="N299" s="153" t="s">
        <v>75</v>
      </c>
      <c r="O299" s="153">
        <v>0</v>
      </c>
      <c r="P299" s="158" t="s">
        <v>78</v>
      </c>
      <c r="Q299" s="153">
        <v>1</v>
      </c>
      <c r="R299" s="155" t="s">
        <v>79</v>
      </c>
      <c r="S299" s="153">
        <v>1</v>
      </c>
      <c r="T299" s="153" t="s">
        <v>80</v>
      </c>
      <c r="U299" s="153">
        <v>2</v>
      </c>
      <c r="V299" s="159" t="s">
        <v>81</v>
      </c>
      <c r="W299" s="159">
        <v>0</v>
      </c>
      <c r="X299" s="159" t="s">
        <v>75</v>
      </c>
      <c r="Y299" s="159" t="s">
        <v>82</v>
      </c>
      <c r="Z299" s="159" t="s">
        <v>83</v>
      </c>
      <c r="AA299" s="159" t="s">
        <v>75</v>
      </c>
      <c r="AB299" s="159" t="s">
        <v>81</v>
      </c>
      <c r="AC299" s="159" t="s">
        <v>84</v>
      </c>
      <c r="AD299" s="159" t="s">
        <v>75</v>
      </c>
      <c r="AE299" s="159">
        <v>1</v>
      </c>
    </row>
    <row r="300" spans="1:31" s="149" customFormat="1" ht="25.05" customHeight="1" x14ac:dyDescent="0.3">
      <c r="A300" s="153" t="s">
        <v>85</v>
      </c>
      <c r="B300" s="153" t="s">
        <v>86</v>
      </c>
      <c r="C300" s="155" t="s">
        <v>88</v>
      </c>
      <c r="D300" s="155" t="s">
        <v>1848</v>
      </c>
      <c r="E300" s="153" t="s">
        <v>72</v>
      </c>
      <c r="F300" s="153" t="s">
        <v>90</v>
      </c>
      <c r="G300" s="153" t="s">
        <v>81</v>
      </c>
      <c r="H300" s="153">
        <v>15000000</v>
      </c>
      <c r="I300" s="156">
        <v>20742450</v>
      </c>
      <c r="J300" s="153" t="s">
        <v>75</v>
      </c>
      <c r="K300" s="153" t="s">
        <v>91</v>
      </c>
      <c r="L300" s="153" t="s">
        <v>75</v>
      </c>
      <c r="M300" s="153" t="s">
        <v>92</v>
      </c>
      <c r="N300" s="153" t="s">
        <v>75</v>
      </c>
      <c r="O300" s="153">
        <v>0</v>
      </c>
      <c r="P300" s="158" t="s">
        <v>78</v>
      </c>
      <c r="Q300" s="153">
        <v>1</v>
      </c>
      <c r="R300" s="155" t="s">
        <v>93</v>
      </c>
      <c r="S300" s="153">
        <v>4</v>
      </c>
      <c r="T300" s="153" t="s">
        <v>94</v>
      </c>
      <c r="U300" s="153">
        <v>5</v>
      </c>
      <c r="V300" s="159" t="s">
        <v>75</v>
      </c>
      <c r="W300" s="159" t="s">
        <v>95</v>
      </c>
      <c r="X300" s="159" t="s">
        <v>75</v>
      </c>
      <c r="Y300" s="159" t="s">
        <v>96</v>
      </c>
      <c r="Z300" s="159" t="s">
        <v>83</v>
      </c>
      <c r="AA300" s="159" t="s">
        <v>75</v>
      </c>
      <c r="AB300" s="159" t="s">
        <v>81</v>
      </c>
      <c r="AC300" s="159" t="s">
        <v>84</v>
      </c>
      <c r="AD300" s="159" t="s">
        <v>75</v>
      </c>
      <c r="AE300" s="159">
        <v>1</v>
      </c>
    </row>
    <row r="301" spans="1:31" s="149" customFormat="1" ht="25.05" customHeight="1" x14ac:dyDescent="0.3">
      <c r="A301" s="153" t="s">
        <v>97</v>
      </c>
      <c r="B301" s="153" t="s">
        <v>98</v>
      </c>
      <c r="C301" s="155" t="s">
        <v>78</v>
      </c>
      <c r="D301" s="155" t="s">
        <v>532</v>
      </c>
      <c r="E301" s="153" t="s">
        <v>101</v>
      </c>
      <c r="F301" s="153" t="s">
        <v>103</v>
      </c>
      <c r="G301" s="153" t="s">
        <v>81</v>
      </c>
      <c r="H301" s="153">
        <v>14459332.621290091</v>
      </c>
      <c r="I301" s="156">
        <v>19994798.928698577</v>
      </c>
      <c r="J301" s="153" t="s">
        <v>75</v>
      </c>
      <c r="K301" s="153" t="s">
        <v>105</v>
      </c>
      <c r="L301" s="153" t="s">
        <v>75</v>
      </c>
      <c r="M301" s="153" t="s">
        <v>106</v>
      </c>
      <c r="N301" s="153" t="s">
        <v>75</v>
      </c>
      <c r="O301" s="153">
        <v>0</v>
      </c>
      <c r="P301" s="158" t="s">
        <v>78</v>
      </c>
      <c r="Q301" s="153">
        <v>1</v>
      </c>
      <c r="R301" s="155" t="s">
        <v>107</v>
      </c>
      <c r="S301" s="153">
        <v>2</v>
      </c>
      <c r="T301" s="153" t="s">
        <v>108</v>
      </c>
      <c r="U301" s="153">
        <v>3</v>
      </c>
      <c r="V301" s="159" t="s">
        <v>81</v>
      </c>
      <c r="W301" s="159">
        <v>0</v>
      </c>
      <c r="X301" s="159" t="s">
        <v>75</v>
      </c>
      <c r="Y301" s="159" t="s">
        <v>109</v>
      </c>
      <c r="Z301" s="159" t="s">
        <v>83</v>
      </c>
      <c r="AA301" s="159" t="s">
        <v>75</v>
      </c>
      <c r="AB301" s="159" t="s">
        <v>81</v>
      </c>
      <c r="AC301" s="159" t="s">
        <v>110</v>
      </c>
      <c r="AD301" s="159" t="s">
        <v>75</v>
      </c>
      <c r="AE301" s="159">
        <v>1</v>
      </c>
    </row>
    <row r="302" spans="1:31" s="149" customFormat="1" ht="25.05" customHeight="1" x14ac:dyDescent="0.3">
      <c r="A302" s="153" t="s">
        <v>111</v>
      </c>
      <c r="B302" s="153" t="s">
        <v>112</v>
      </c>
      <c r="C302" s="155" t="s">
        <v>78</v>
      </c>
      <c r="D302" s="155" t="s">
        <v>565</v>
      </c>
      <c r="E302" s="153" t="s">
        <v>115</v>
      </c>
      <c r="F302" s="153" t="s">
        <v>116</v>
      </c>
      <c r="G302" s="153" t="s">
        <v>81</v>
      </c>
      <c r="H302" s="153">
        <v>145645208.27264783</v>
      </c>
      <c r="I302" s="156">
        <v>201402563.35566559</v>
      </c>
      <c r="J302" s="153" t="s">
        <v>75</v>
      </c>
      <c r="K302" s="153" t="s">
        <v>117</v>
      </c>
      <c r="L302" s="153" t="s">
        <v>75</v>
      </c>
      <c r="M302" s="153" t="s">
        <v>118</v>
      </c>
      <c r="N302" s="153" t="s">
        <v>75</v>
      </c>
      <c r="O302" s="153">
        <v>0</v>
      </c>
      <c r="P302" s="158" t="s">
        <v>78</v>
      </c>
      <c r="Q302" s="153">
        <v>0</v>
      </c>
      <c r="R302" s="155" t="s">
        <v>78</v>
      </c>
      <c r="S302" s="153">
        <v>1</v>
      </c>
      <c r="T302" s="153" t="s">
        <v>119</v>
      </c>
      <c r="U302" s="153">
        <v>1</v>
      </c>
      <c r="V302" s="159" t="s">
        <v>81</v>
      </c>
      <c r="W302" s="159">
        <v>0</v>
      </c>
      <c r="X302" s="159" t="s">
        <v>75</v>
      </c>
      <c r="Y302" s="159" t="s">
        <v>120</v>
      </c>
      <c r="Z302" s="159" t="s">
        <v>121</v>
      </c>
      <c r="AA302" s="159" t="s">
        <v>75</v>
      </c>
      <c r="AB302" s="159" t="s">
        <v>75</v>
      </c>
      <c r="AC302" s="159" t="s">
        <v>84</v>
      </c>
      <c r="AD302" s="159" t="s">
        <v>81</v>
      </c>
      <c r="AE302" s="159">
        <v>1</v>
      </c>
    </row>
    <row r="303" spans="1:31" s="149" customFormat="1" ht="25.05" customHeight="1" x14ac:dyDescent="0.3">
      <c r="A303" s="153" t="s">
        <v>122</v>
      </c>
      <c r="B303" s="153" t="s">
        <v>123</v>
      </c>
      <c r="C303" s="155" t="s">
        <v>78</v>
      </c>
      <c r="D303" s="155" t="s">
        <v>550</v>
      </c>
      <c r="E303" s="153" t="s">
        <v>72</v>
      </c>
      <c r="F303" s="153" t="s">
        <v>116</v>
      </c>
      <c r="G303" s="153" t="s">
        <v>81</v>
      </c>
      <c r="H303" s="153">
        <v>148246711.45404714</v>
      </c>
      <c r="I303" s="156">
        <v>205000000</v>
      </c>
      <c r="J303" s="153" t="s">
        <v>75</v>
      </c>
      <c r="K303" s="153" t="s">
        <v>127</v>
      </c>
      <c r="L303" s="153" t="s">
        <v>75</v>
      </c>
      <c r="M303" s="153" t="s">
        <v>128</v>
      </c>
      <c r="N303" s="153" t="s">
        <v>75</v>
      </c>
      <c r="O303" s="153">
        <v>0</v>
      </c>
      <c r="P303" s="158" t="s">
        <v>78</v>
      </c>
      <c r="Q303" s="153">
        <v>1</v>
      </c>
      <c r="R303" s="155" t="s">
        <v>129</v>
      </c>
      <c r="S303" s="153">
        <v>2</v>
      </c>
      <c r="T303" s="153" t="s">
        <v>130</v>
      </c>
      <c r="U303" s="153">
        <v>3</v>
      </c>
      <c r="V303" s="159" t="s">
        <v>81</v>
      </c>
      <c r="W303" s="159">
        <v>0</v>
      </c>
      <c r="X303" s="159" t="s">
        <v>75</v>
      </c>
      <c r="Y303" s="159" t="s">
        <v>131</v>
      </c>
      <c r="Z303" s="159" t="s">
        <v>132</v>
      </c>
      <c r="AA303" s="159" t="s">
        <v>75</v>
      </c>
      <c r="AB303" s="159" t="s">
        <v>81</v>
      </c>
      <c r="AC303" s="159" t="s">
        <v>84</v>
      </c>
      <c r="AD303" s="159" t="s">
        <v>75</v>
      </c>
      <c r="AE303" s="159">
        <v>1</v>
      </c>
    </row>
    <row r="304" spans="1:31" s="149" customFormat="1" ht="25.05" customHeight="1" x14ac:dyDescent="0.3">
      <c r="A304" s="153" t="s">
        <v>133</v>
      </c>
      <c r="B304" s="153" t="s">
        <v>134</v>
      </c>
      <c r="C304" s="155" t="s">
        <v>78</v>
      </c>
      <c r="D304" s="155" t="s">
        <v>530</v>
      </c>
      <c r="E304" s="153" t="s">
        <v>72</v>
      </c>
      <c r="F304" s="153" t="s">
        <v>137</v>
      </c>
      <c r="G304" s="153" t="s">
        <v>81</v>
      </c>
      <c r="H304" s="153">
        <v>83460611.062562704</v>
      </c>
      <c r="I304" s="156">
        <v>115411836.79564358</v>
      </c>
      <c r="J304" s="153" t="s">
        <v>75</v>
      </c>
      <c r="K304" s="153" t="s">
        <v>138</v>
      </c>
      <c r="L304" s="153" t="s">
        <v>75</v>
      </c>
      <c r="M304" s="153" t="s">
        <v>139</v>
      </c>
      <c r="N304" s="153" t="s">
        <v>75</v>
      </c>
      <c r="O304" s="153">
        <v>0</v>
      </c>
      <c r="P304" s="158" t="s">
        <v>78</v>
      </c>
      <c r="Q304" s="153">
        <v>1</v>
      </c>
      <c r="R304" s="155" t="s">
        <v>140</v>
      </c>
      <c r="S304" s="153">
        <v>2</v>
      </c>
      <c r="T304" s="153" t="s">
        <v>141</v>
      </c>
      <c r="U304" s="153">
        <v>3</v>
      </c>
      <c r="V304" s="159" t="s">
        <v>81</v>
      </c>
      <c r="W304" s="159">
        <v>0</v>
      </c>
      <c r="X304" s="159" t="s">
        <v>75</v>
      </c>
      <c r="Y304" s="159" t="s">
        <v>142</v>
      </c>
      <c r="Z304" s="159" t="s">
        <v>121</v>
      </c>
      <c r="AA304" s="159" t="s">
        <v>75</v>
      </c>
      <c r="AB304" s="159" t="s">
        <v>75</v>
      </c>
      <c r="AC304" s="159" t="s">
        <v>84</v>
      </c>
      <c r="AD304" s="159" t="s">
        <v>75</v>
      </c>
      <c r="AE304" s="159">
        <v>1</v>
      </c>
    </row>
    <row r="305" spans="1:31" s="149" customFormat="1" ht="25.05" customHeight="1" x14ac:dyDescent="0.3">
      <c r="A305" s="153" t="s">
        <v>143</v>
      </c>
      <c r="B305" s="153" t="s">
        <v>144</v>
      </c>
      <c r="C305" s="155" t="s">
        <v>78</v>
      </c>
      <c r="D305" s="155" t="s">
        <v>543</v>
      </c>
      <c r="E305" s="153" t="s">
        <v>72</v>
      </c>
      <c r="F305" s="153" t="s">
        <v>103</v>
      </c>
      <c r="G305" s="153" t="s">
        <v>81</v>
      </c>
      <c r="H305" s="153">
        <v>152118328.64032105</v>
      </c>
      <c r="I305" s="156">
        <v>210353788.39369515</v>
      </c>
      <c r="J305" s="153" t="s">
        <v>81</v>
      </c>
      <c r="K305" s="153">
        <v>0</v>
      </c>
      <c r="L305" s="153" t="s">
        <v>75</v>
      </c>
      <c r="M305" s="153" t="s">
        <v>146</v>
      </c>
      <c r="N305" s="153" t="s">
        <v>75</v>
      </c>
      <c r="O305" s="153">
        <v>0</v>
      </c>
      <c r="P305" s="158" t="s">
        <v>78</v>
      </c>
      <c r="Q305" s="153">
        <v>1</v>
      </c>
      <c r="R305" s="155" t="s">
        <v>147</v>
      </c>
      <c r="S305" s="153">
        <v>1</v>
      </c>
      <c r="T305" s="153" t="s">
        <v>148</v>
      </c>
      <c r="U305" s="153">
        <v>2</v>
      </c>
      <c r="V305" s="159" t="s">
        <v>81</v>
      </c>
      <c r="W305" s="159">
        <v>0</v>
      </c>
      <c r="X305" s="159" t="s">
        <v>81</v>
      </c>
      <c r="Y305" s="159">
        <v>0</v>
      </c>
      <c r="Z305" s="159" t="s">
        <v>121</v>
      </c>
      <c r="AA305" s="159" t="s">
        <v>75</v>
      </c>
      <c r="AB305" s="159" t="s">
        <v>81</v>
      </c>
      <c r="AC305" s="159" t="s">
        <v>84</v>
      </c>
      <c r="AD305" s="159" t="s">
        <v>81</v>
      </c>
      <c r="AE305" s="159">
        <v>1</v>
      </c>
    </row>
    <row r="306" spans="1:31" s="149" customFormat="1" ht="25.05" customHeight="1" x14ac:dyDescent="0.3">
      <c r="A306" s="153" t="s">
        <v>149</v>
      </c>
      <c r="B306" s="153" t="s">
        <v>150</v>
      </c>
      <c r="C306" s="155" t="s">
        <v>78</v>
      </c>
      <c r="D306" s="155" t="s">
        <v>546</v>
      </c>
      <c r="E306" s="153" t="s">
        <v>72</v>
      </c>
      <c r="F306" s="153" t="s">
        <v>116</v>
      </c>
      <c r="G306" s="153" t="s">
        <v>81</v>
      </c>
      <c r="H306" s="153">
        <v>213612972</v>
      </c>
      <c r="I306" s="156">
        <v>295390426</v>
      </c>
      <c r="J306" s="153" t="s">
        <v>81</v>
      </c>
      <c r="K306" s="153">
        <v>0</v>
      </c>
      <c r="L306" s="153" t="s">
        <v>81</v>
      </c>
      <c r="M306" s="153">
        <v>0</v>
      </c>
      <c r="N306" s="153" t="s">
        <v>81</v>
      </c>
      <c r="O306" s="153">
        <v>0</v>
      </c>
      <c r="P306" s="158" t="s">
        <v>78</v>
      </c>
      <c r="Q306" s="153">
        <v>0</v>
      </c>
      <c r="R306" s="155">
        <v>0</v>
      </c>
      <c r="S306" s="153">
        <v>1</v>
      </c>
      <c r="T306" s="153">
        <v>0</v>
      </c>
      <c r="U306" s="153">
        <v>0</v>
      </c>
      <c r="V306" s="159" t="s">
        <v>81</v>
      </c>
      <c r="W306" s="159">
        <v>0</v>
      </c>
      <c r="X306" s="159" t="s">
        <v>81</v>
      </c>
      <c r="Y306" s="159">
        <v>0</v>
      </c>
      <c r="Z306" s="159" t="s">
        <v>121</v>
      </c>
      <c r="AA306" s="159" t="s">
        <v>75</v>
      </c>
      <c r="AB306" s="159" t="s">
        <v>81</v>
      </c>
      <c r="AC306" s="159" t="s">
        <v>84</v>
      </c>
      <c r="AD306" s="159" t="s">
        <v>81</v>
      </c>
      <c r="AE306" s="159">
        <v>1</v>
      </c>
    </row>
    <row r="307" spans="1:31" s="149" customFormat="1" ht="25.05" customHeight="1" x14ac:dyDescent="0.3">
      <c r="A307" s="153" t="s">
        <v>153</v>
      </c>
      <c r="B307" s="153" t="s">
        <v>154</v>
      </c>
      <c r="C307" s="155" t="s">
        <v>78</v>
      </c>
      <c r="D307" s="155" t="s">
        <v>559</v>
      </c>
      <c r="E307" s="153" t="s">
        <v>72</v>
      </c>
      <c r="F307" s="153" t="s">
        <v>103</v>
      </c>
      <c r="G307" s="153" t="s">
        <v>81</v>
      </c>
      <c r="H307" s="153">
        <v>71204324.044405594</v>
      </c>
      <c r="I307" s="156">
        <v>98463475.418325394</v>
      </c>
      <c r="J307" s="153" t="s">
        <v>75</v>
      </c>
      <c r="K307" s="153" t="s">
        <v>156</v>
      </c>
      <c r="L307" s="153" t="s">
        <v>75</v>
      </c>
      <c r="M307" s="153" t="s">
        <v>157</v>
      </c>
      <c r="N307" s="153" t="s">
        <v>75</v>
      </c>
      <c r="O307" s="153">
        <v>0</v>
      </c>
      <c r="P307" s="158" t="s">
        <v>78</v>
      </c>
      <c r="Q307" s="153">
        <v>0</v>
      </c>
      <c r="R307" s="155" t="s">
        <v>78</v>
      </c>
      <c r="S307" s="153">
        <v>2</v>
      </c>
      <c r="T307" s="153" t="s">
        <v>158</v>
      </c>
      <c r="U307" s="153">
        <v>2</v>
      </c>
      <c r="V307" s="159" t="s">
        <v>81</v>
      </c>
      <c r="W307" s="159">
        <v>0</v>
      </c>
      <c r="X307" s="159" t="s">
        <v>75</v>
      </c>
      <c r="Y307" s="159" t="s">
        <v>159</v>
      </c>
      <c r="Z307" s="159" t="s">
        <v>160</v>
      </c>
      <c r="AA307" s="159" t="s">
        <v>75</v>
      </c>
      <c r="AB307" s="159" t="s">
        <v>81</v>
      </c>
      <c r="AC307" s="159" t="s">
        <v>84</v>
      </c>
      <c r="AD307" s="159" t="s">
        <v>81</v>
      </c>
      <c r="AE307" s="159">
        <v>1</v>
      </c>
    </row>
    <row r="308" spans="1:31" s="149" customFormat="1" ht="25.05" customHeight="1" x14ac:dyDescent="0.3">
      <c r="A308" s="153" t="s">
        <v>161</v>
      </c>
      <c r="B308" s="153" t="s">
        <v>162</v>
      </c>
      <c r="C308" s="155" t="s">
        <v>78</v>
      </c>
      <c r="D308" s="155" t="s">
        <v>556</v>
      </c>
      <c r="E308" s="153" t="s">
        <v>72</v>
      </c>
      <c r="F308" s="153" t="s">
        <v>103</v>
      </c>
      <c r="G308" s="153" t="s">
        <v>81</v>
      </c>
      <c r="H308" s="153">
        <v>7231546.9001974212</v>
      </c>
      <c r="I308" s="156">
        <v>10000000</v>
      </c>
      <c r="J308" s="153" t="s">
        <v>75</v>
      </c>
      <c r="K308" s="153" t="s">
        <v>164</v>
      </c>
      <c r="L308" s="153" t="s">
        <v>75</v>
      </c>
      <c r="M308" s="153" t="s">
        <v>165</v>
      </c>
      <c r="N308" s="153" t="s">
        <v>75</v>
      </c>
      <c r="O308" s="153">
        <v>0</v>
      </c>
      <c r="P308" s="158" t="s">
        <v>78</v>
      </c>
      <c r="Q308" s="153">
        <v>1</v>
      </c>
      <c r="R308" s="155" t="s">
        <v>166</v>
      </c>
      <c r="S308" s="153">
        <v>2</v>
      </c>
      <c r="T308" s="153" t="s">
        <v>167</v>
      </c>
      <c r="U308" s="153">
        <v>3</v>
      </c>
      <c r="V308" s="159" t="s">
        <v>81</v>
      </c>
      <c r="W308" s="159">
        <v>0</v>
      </c>
      <c r="X308" s="159" t="s">
        <v>75</v>
      </c>
      <c r="Y308" s="159" t="s">
        <v>168</v>
      </c>
      <c r="Z308" s="159" t="s">
        <v>121</v>
      </c>
      <c r="AA308" s="159" t="s">
        <v>75</v>
      </c>
      <c r="AB308" s="159" t="s">
        <v>81</v>
      </c>
      <c r="AC308" s="159" t="s">
        <v>84</v>
      </c>
      <c r="AD308" s="159" t="s">
        <v>75</v>
      </c>
      <c r="AE308" s="159">
        <v>1</v>
      </c>
    </row>
    <row r="309" spans="1:31" s="149" customFormat="1" ht="25.05" customHeight="1" x14ac:dyDescent="0.3">
      <c r="A309" s="153" t="s">
        <v>170</v>
      </c>
      <c r="B309" s="153" t="s">
        <v>171</v>
      </c>
      <c r="C309" s="155" t="s">
        <v>78</v>
      </c>
      <c r="D309" s="155" t="s">
        <v>537</v>
      </c>
      <c r="E309" s="153" t="s">
        <v>72</v>
      </c>
      <c r="F309" s="153" t="s">
        <v>103</v>
      </c>
      <c r="G309" s="153" t="s">
        <v>81</v>
      </c>
      <c r="H309" s="153">
        <v>81318574.618895039</v>
      </c>
      <c r="I309" s="156">
        <v>112449764.54024662</v>
      </c>
      <c r="J309" s="153" t="s">
        <v>75</v>
      </c>
      <c r="K309" s="153" t="s">
        <v>173</v>
      </c>
      <c r="L309" s="153" t="s">
        <v>75</v>
      </c>
      <c r="M309" s="153" t="s">
        <v>174</v>
      </c>
      <c r="N309" s="153" t="s">
        <v>75</v>
      </c>
      <c r="O309" s="153">
        <v>0</v>
      </c>
      <c r="P309" s="158" t="s">
        <v>78</v>
      </c>
      <c r="Q309" s="153">
        <v>0</v>
      </c>
      <c r="R309" s="155" t="s">
        <v>78</v>
      </c>
      <c r="S309" s="153">
        <v>4</v>
      </c>
      <c r="T309" s="153" t="s">
        <v>175</v>
      </c>
      <c r="U309" s="153">
        <v>4</v>
      </c>
      <c r="V309" s="159" t="s">
        <v>81</v>
      </c>
      <c r="W309" s="159">
        <v>0</v>
      </c>
      <c r="X309" s="159" t="s">
        <v>75</v>
      </c>
      <c r="Y309" s="159" t="s">
        <v>176</v>
      </c>
      <c r="Z309" s="159" t="s">
        <v>121</v>
      </c>
      <c r="AA309" s="159" t="s">
        <v>75</v>
      </c>
      <c r="AB309" s="159" t="s">
        <v>81</v>
      </c>
      <c r="AC309" s="159" t="s">
        <v>84</v>
      </c>
      <c r="AD309" s="159" t="s">
        <v>81</v>
      </c>
      <c r="AE309" s="159">
        <v>1</v>
      </c>
    </row>
    <row r="310" spans="1:31" s="149" customFormat="1" ht="25.05" customHeight="1" x14ac:dyDescent="0.3">
      <c r="A310" s="153" t="s">
        <v>177</v>
      </c>
      <c r="B310" s="153" t="s">
        <v>178</v>
      </c>
      <c r="C310" s="155" t="s">
        <v>78</v>
      </c>
      <c r="D310" s="155" t="s">
        <v>561</v>
      </c>
      <c r="E310" s="153" t="s">
        <v>115</v>
      </c>
      <c r="F310" s="153" t="s">
        <v>180</v>
      </c>
      <c r="G310" s="153" t="s">
        <v>81</v>
      </c>
      <c r="H310" s="153">
        <v>3000000</v>
      </c>
      <c r="I310" s="156">
        <v>4148490</v>
      </c>
      <c r="J310" s="153" t="s">
        <v>81</v>
      </c>
      <c r="K310" s="153">
        <v>0</v>
      </c>
      <c r="L310" s="153" t="s">
        <v>81</v>
      </c>
      <c r="M310" s="153">
        <v>0</v>
      </c>
      <c r="N310" s="153" t="s">
        <v>75</v>
      </c>
      <c r="O310" s="153">
        <v>0</v>
      </c>
      <c r="P310" s="158" t="s">
        <v>78</v>
      </c>
      <c r="Q310" s="153">
        <v>0</v>
      </c>
      <c r="R310" s="155" t="s">
        <v>78</v>
      </c>
      <c r="S310" s="153">
        <v>1</v>
      </c>
      <c r="T310" s="153" t="s">
        <v>181</v>
      </c>
      <c r="U310" s="153">
        <v>1</v>
      </c>
      <c r="V310" s="159" t="s">
        <v>81</v>
      </c>
      <c r="W310" s="159">
        <v>0</v>
      </c>
      <c r="X310" s="159" t="s">
        <v>81</v>
      </c>
      <c r="Y310" s="159">
        <v>0</v>
      </c>
      <c r="Z310" s="159" t="s">
        <v>121</v>
      </c>
      <c r="AA310" s="159" t="s">
        <v>75</v>
      </c>
      <c r="AB310" s="159" t="s">
        <v>81</v>
      </c>
      <c r="AC310" s="159" t="s">
        <v>84</v>
      </c>
      <c r="AD310" s="159" t="s">
        <v>81</v>
      </c>
      <c r="AE310" s="159">
        <v>1</v>
      </c>
    </row>
    <row r="311" spans="1:31" s="149" customFormat="1" ht="25.05" customHeight="1" x14ac:dyDescent="0.3">
      <c r="A311" s="153" t="s">
        <v>182</v>
      </c>
      <c r="B311" s="153" t="s">
        <v>183</v>
      </c>
      <c r="C311" s="155" t="s">
        <v>78</v>
      </c>
      <c r="D311" s="155" t="s">
        <v>554</v>
      </c>
      <c r="E311" s="153" t="s">
        <v>72</v>
      </c>
      <c r="F311" s="153" t="s">
        <v>103</v>
      </c>
      <c r="G311" s="153" t="s">
        <v>81</v>
      </c>
      <c r="H311" s="153">
        <v>208630128.07069561</v>
      </c>
      <c r="I311" s="156">
        <v>288500000</v>
      </c>
      <c r="J311" s="153" t="s">
        <v>75</v>
      </c>
      <c r="K311" s="153" t="s">
        <v>185</v>
      </c>
      <c r="L311" s="153" t="s">
        <v>75</v>
      </c>
      <c r="M311" s="153" t="s">
        <v>186</v>
      </c>
      <c r="N311" s="153" t="s">
        <v>75</v>
      </c>
      <c r="O311" s="153">
        <v>0</v>
      </c>
      <c r="P311" s="158" t="s">
        <v>78</v>
      </c>
      <c r="Q311" s="153">
        <v>0</v>
      </c>
      <c r="R311" s="155" t="s">
        <v>78</v>
      </c>
      <c r="S311" s="153">
        <v>1</v>
      </c>
      <c r="T311" s="153" t="s">
        <v>187</v>
      </c>
      <c r="U311" s="153">
        <v>1</v>
      </c>
      <c r="V311" s="159" t="s">
        <v>81</v>
      </c>
      <c r="W311" s="159">
        <v>0</v>
      </c>
      <c r="X311" s="159" t="s">
        <v>75</v>
      </c>
      <c r="Y311" s="159" t="s">
        <v>188</v>
      </c>
      <c r="Z311" s="159" t="s">
        <v>121</v>
      </c>
      <c r="AA311" s="159" t="s">
        <v>75</v>
      </c>
      <c r="AB311" s="159" t="s">
        <v>81</v>
      </c>
      <c r="AC311" s="159" t="s">
        <v>84</v>
      </c>
      <c r="AD311" s="159" t="s">
        <v>81</v>
      </c>
      <c r="AE311" s="159">
        <v>1</v>
      </c>
    </row>
    <row r="312" spans="1:31" s="149" customFormat="1" ht="25.05" customHeight="1" x14ac:dyDescent="0.3">
      <c r="A312" s="153" t="s">
        <v>189</v>
      </c>
      <c r="B312" s="153" t="s">
        <v>144</v>
      </c>
      <c r="C312" s="155" t="s">
        <v>190</v>
      </c>
      <c r="D312" s="155" t="s">
        <v>1848</v>
      </c>
      <c r="E312" s="153" t="s">
        <v>72</v>
      </c>
      <c r="F312" s="153" t="s">
        <v>180</v>
      </c>
      <c r="G312" s="153" t="s">
        <v>81</v>
      </c>
      <c r="H312" s="153">
        <v>7000000</v>
      </c>
      <c r="I312" s="156">
        <v>9679810</v>
      </c>
      <c r="J312" s="153" t="s">
        <v>81</v>
      </c>
      <c r="K312" s="153">
        <v>0</v>
      </c>
      <c r="L312" s="153" t="s">
        <v>75</v>
      </c>
      <c r="M312" s="153" t="s">
        <v>191</v>
      </c>
      <c r="N312" s="153" t="s">
        <v>81</v>
      </c>
      <c r="O312" s="153">
        <v>0</v>
      </c>
      <c r="P312" s="158">
        <v>0</v>
      </c>
      <c r="Q312" s="153">
        <v>0</v>
      </c>
      <c r="R312" s="155">
        <v>0</v>
      </c>
      <c r="S312" s="153">
        <v>0</v>
      </c>
      <c r="T312" s="153">
        <v>0</v>
      </c>
      <c r="U312" s="153">
        <v>0</v>
      </c>
      <c r="V312" s="159" t="s">
        <v>75</v>
      </c>
      <c r="W312" s="159" t="s">
        <v>192</v>
      </c>
      <c r="X312" s="159" t="s">
        <v>81</v>
      </c>
      <c r="Y312" s="159">
        <v>0</v>
      </c>
      <c r="Z312" s="159" t="s">
        <v>121</v>
      </c>
      <c r="AA312" s="159" t="s">
        <v>75</v>
      </c>
      <c r="AB312" s="159" t="s">
        <v>81</v>
      </c>
      <c r="AC312" s="159" t="s">
        <v>84</v>
      </c>
      <c r="AD312" s="159" t="s">
        <v>81</v>
      </c>
      <c r="AE312" s="159">
        <v>1</v>
      </c>
    </row>
    <row r="313" spans="1:31" s="149" customFormat="1" ht="25.05" customHeight="1" x14ac:dyDescent="0.3">
      <c r="A313" s="153" t="s">
        <v>193</v>
      </c>
      <c r="B313" s="153" t="s">
        <v>194</v>
      </c>
      <c r="C313" s="155" t="s">
        <v>78</v>
      </c>
      <c r="D313" s="155" t="s">
        <v>536</v>
      </c>
      <c r="E313" s="153" t="s">
        <v>72</v>
      </c>
      <c r="F313" s="153" t="s">
        <v>73</v>
      </c>
      <c r="G313" s="153" t="s">
        <v>81</v>
      </c>
      <c r="H313" s="153">
        <v>120000000</v>
      </c>
      <c r="I313" s="156">
        <v>165939600</v>
      </c>
      <c r="J313" s="153" t="s">
        <v>75</v>
      </c>
      <c r="K313" s="153" t="s">
        <v>196</v>
      </c>
      <c r="L313" s="153" t="s">
        <v>75</v>
      </c>
      <c r="M313" s="153" t="s">
        <v>197</v>
      </c>
      <c r="N313" s="153" t="s">
        <v>75</v>
      </c>
      <c r="O313" s="153">
        <v>0</v>
      </c>
      <c r="P313" s="158" t="s">
        <v>78</v>
      </c>
      <c r="Q313" s="153">
        <v>1</v>
      </c>
      <c r="R313" s="155" t="s">
        <v>1749</v>
      </c>
      <c r="S313" s="153">
        <v>1</v>
      </c>
      <c r="T313" s="153" t="s">
        <v>198</v>
      </c>
      <c r="U313" s="153">
        <v>2</v>
      </c>
      <c r="V313" s="159" t="s">
        <v>81</v>
      </c>
      <c r="W313" s="159">
        <v>0</v>
      </c>
      <c r="X313" s="159" t="s">
        <v>75</v>
      </c>
      <c r="Y313" s="159" t="s">
        <v>199</v>
      </c>
      <c r="Z313" s="159" t="s">
        <v>121</v>
      </c>
      <c r="AA313" s="159" t="s">
        <v>75</v>
      </c>
      <c r="AB313" s="159" t="s">
        <v>75</v>
      </c>
      <c r="AC313" s="159" t="s">
        <v>84</v>
      </c>
      <c r="AD313" s="159" t="s">
        <v>75</v>
      </c>
      <c r="AE313" s="159">
        <v>1</v>
      </c>
    </row>
    <row r="314" spans="1:31" s="149" customFormat="1" ht="25.05" customHeight="1" x14ac:dyDescent="0.3">
      <c r="A314" s="153" t="s">
        <v>200</v>
      </c>
      <c r="B314" s="153" t="s">
        <v>201</v>
      </c>
      <c r="C314" s="155" t="s">
        <v>78</v>
      </c>
      <c r="D314" s="155" t="s">
        <v>532</v>
      </c>
      <c r="E314" s="153" t="s">
        <v>72</v>
      </c>
      <c r="F314" s="153" t="s">
        <v>103</v>
      </c>
      <c r="G314" s="153" t="s">
        <v>81</v>
      </c>
      <c r="H314" s="153">
        <v>24274201.378774635</v>
      </c>
      <c r="I314" s="156">
        <v>33567093.89261093</v>
      </c>
      <c r="J314" s="153" t="s">
        <v>75</v>
      </c>
      <c r="K314" s="153" t="s">
        <v>202</v>
      </c>
      <c r="L314" s="153" t="s">
        <v>75</v>
      </c>
      <c r="M314" s="153" t="s">
        <v>203</v>
      </c>
      <c r="N314" s="153" t="s">
        <v>75</v>
      </c>
      <c r="O314" s="153">
        <v>0</v>
      </c>
      <c r="P314" s="158" t="s">
        <v>78</v>
      </c>
      <c r="Q314" s="153">
        <v>0</v>
      </c>
      <c r="R314" s="155" t="s">
        <v>78</v>
      </c>
      <c r="S314" s="153">
        <v>1</v>
      </c>
      <c r="T314" s="153" t="s">
        <v>204</v>
      </c>
      <c r="U314" s="153">
        <v>1</v>
      </c>
      <c r="V314" s="159" t="s">
        <v>81</v>
      </c>
      <c r="W314" s="159">
        <v>0</v>
      </c>
      <c r="X314" s="159" t="s">
        <v>75</v>
      </c>
      <c r="Y314" s="159" t="s">
        <v>205</v>
      </c>
      <c r="Z314" s="159" t="s">
        <v>121</v>
      </c>
      <c r="AA314" s="159" t="s">
        <v>75</v>
      </c>
      <c r="AB314" s="159" t="s">
        <v>81</v>
      </c>
      <c r="AC314" s="159" t="s">
        <v>84</v>
      </c>
      <c r="AD314" s="159" t="s">
        <v>81</v>
      </c>
      <c r="AE314" s="159">
        <v>1</v>
      </c>
    </row>
    <row r="315" spans="1:31" s="149" customFormat="1" ht="25.05" customHeight="1" x14ac:dyDescent="0.3">
      <c r="A315" s="153" t="s">
        <v>206</v>
      </c>
      <c r="B315" s="153" t="s">
        <v>207</v>
      </c>
      <c r="C315" s="155" t="s">
        <v>78</v>
      </c>
      <c r="D315" s="155" t="s">
        <v>531</v>
      </c>
      <c r="E315" s="153" t="s">
        <v>72</v>
      </c>
      <c r="F315" s="153" t="s">
        <v>103</v>
      </c>
      <c r="G315" s="153" t="s">
        <v>81</v>
      </c>
      <c r="H315" s="153">
        <v>100333365.69893517</v>
      </c>
      <c r="I315" s="156">
        <v>138743988.08945853</v>
      </c>
      <c r="J315" s="153" t="s">
        <v>75</v>
      </c>
      <c r="K315" s="153" t="s">
        <v>209</v>
      </c>
      <c r="L315" s="153" t="s">
        <v>75</v>
      </c>
      <c r="M315" s="153" t="s">
        <v>210</v>
      </c>
      <c r="N315" s="153" t="s">
        <v>75</v>
      </c>
      <c r="O315" s="153">
        <v>0</v>
      </c>
      <c r="P315" s="158" t="s">
        <v>78</v>
      </c>
      <c r="Q315" s="153">
        <v>0</v>
      </c>
      <c r="R315" s="155" t="s">
        <v>78</v>
      </c>
      <c r="S315" s="153">
        <v>3</v>
      </c>
      <c r="T315" s="153" t="s">
        <v>211</v>
      </c>
      <c r="U315" s="153">
        <v>3</v>
      </c>
      <c r="V315" s="159" t="s">
        <v>81</v>
      </c>
      <c r="W315" s="159">
        <v>0</v>
      </c>
      <c r="X315" s="159" t="s">
        <v>75</v>
      </c>
      <c r="Y315" s="159" t="s">
        <v>212</v>
      </c>
      <c r="Z315" s="159" t="s">
        <v>121</v>
      </c>
      <c r="AA315" s="159" t="s">
        <v>75</v>
      </c>
      <c r="AB315" s="159" t="s">
        <v>81</v>
      </c>
      <c r="AC315" s="159" t="s">
        <v>84</v>
      </c>
      <c r="AD315" s="159" t="s">
        <v>81</v>
      </c>
      <c r="AE315" s="159">
        <v>1</v>
      </c>
    </row>
    <row r="316" spans="1:31" s="149" customFormat="1" ht="25.05" customHeight="1" x14ac:dyDescent="0.3">
      <c r="A316" s="153" t="s">
        <v>213</v>
      </c>
      <c r="B316" s="153" t="s">
        <v>214</v>
      </c>
      <c r="C316" s="155" t="s">
        <v>215</v>
      </c>
      <c r="D316" s="155" t="s">
        <v>1848</v>
      </c>
      <c r="E316" s="153" t="s">
        <v>101</v>
      </c>
      <c r="F316" s="153" t="s">
        <v>180</v>
      </c>
      <c r="G316" s="153" t="s">
        <v>81</v>
      </c>
      <c r="H316" s="153">
        <v>850000</v>
      </c>
      <c r="I316" s="156">
        <v>1175405.5</v>
      </c>
      <c r="J316" s="153" t="s">
        <v>81</v>
      </c>
      <c r="K316" s="153">
        <v>0</v>
      </c>
      <c r="L316" s="153" t="s">
        <v>81</v>
      </c>
      <c r="M316" s="153">
        <v>0</v>
      </c>
      <c r="N316" s="153" t="s">
        <v>81</v>
      </c>
      <c r="O316" s="153">
        <v>0</v>
      </c>
      <c r="P316" s="158">
        <v>0</v>
      </c>
      <c r="Q316" s="153">
        <v>0</v>
      </c>
      <c r="R316" s="155">
        <v>0</v>
      </c>
      <c r="S316" s="153">
        <v>0</v>
      </c>
      <c r="T316" s="153">
        <v>0</v>
      </c>
      <c r="U316" s="153">
        <v>0</v>
      </c>
      <c r="V316" s="159" t="s">
        <v>81</v>
      </c>
      <c r="W316" s="159">
        <v>0</v>
      </c>
      <c r="X316" s="159" t="s">
        <v>81</v>
      </c>
      <c r="Y316" s="159">
        <v>0</v>
      </c>
      <c r="Z316" s="159" t="s">
        <v>217</v>
      </c>
      <c r="AA316" s="159" t="s">
        <v>75</v>
      </c>
      <c r="AB316" s="159" t="s">
        <v>81</v>
      </c>
      <c r="AC316" s="159" t="s">
        <v>110</v>
      </c>
      <c r="AD316" s="159" t="s">
        <v>81</v>
      </c>
      <c r="AE316" s="159">
        <v>1</v>
      </c>
    </row>
    <row r="317" spans="1:31" s="149" customFormat="1" ht="25.05" customHeight="1" x14ac:dyDescent="0.3">
      <c r="A317" s="153" t="s">
        <v>218</v>
      </c>
      <c r="B317" s="153" t="s">
        <v>219</v>
      </c>
      <c r="C317" s="155" t="s">
        <v>220</v>
      </c>
      <c r="D317" s="155" t="s">
        <v>1848</v>
      </c>
      <c r="E317" s="153" t="s">
        <v>72</v>
      </c>
      <c r="F317" s="153" t="s">
        <v>221</v>
      </c>
      <c r="G317" s="153" t="s">
        <v>75</v>
      </c>
      <c r="H317" s="153">
        <v>1446309.3800394842</v>
      </c>
      <c r="I317" s="156">
        <v>2000000</v>
      </c>
      <c r="J317" s="153" t="s">
        <v>81</v>
      </c>
      <c r="K317" s="153">
        <v>0</v>
      </c>
      <c r="L317" s="153" t="s">
        <v>81</v>
      </c>
      <c r="M317" s="153">
        <v>0</v>
      </c>
      <c r="N317" s="153" t="s">
        <v>81</v>
      </c>
      <c r="O317" s="153">
        <v>0</v>
      </c>
      <c r="P317" s="158">
        <v>0</v>
      </c>
      <c r="Q317" s="153">
        <v>0</v>
      </c>
      <c r="R317" s="155">
        <v>0</v>
      </c>
      <c r="S317" s="153">
        <v>0</v>
      </c>
      <c r="T317" s="153">
        <v>0</v>
      </c>
      <c r="U317" s="153">
        <v>0</v>
      </c>
      <c r="V317" s="159" t="s">
        <v>81</v>
      </c>
      <c r="W317" s="159">
        <v>0</v>
      </c>
      <c r="X317" s="159" t="s">
        <v>81</v>
      </c>
      <c r="Y317" s="159">
        <v>0</v>
      </c>
      <c r="Z317" s="159" t="s">
        <v>217</v>
      </c>
      <c r="AA317" s="159" t="s">
        <v>81</v>
      </c>
      <c r="AB317" s="159" t="s">
        <v>81</v>
      </c>
      <c r="AC317" s="159" t="s">
        <v>222</v>
      </c>
      <c r="AD317" s="159" t="s">
        <v>81</v>
      </c>
      <c r="AE317" s="159">
        <v>1</v>
      </c>
    </row>
    <row r="318" spans="1:31" s="149" customFormat="1" ht="25.05" customHeight="1" x14ac:dyDescent="0.3">
      <c r="A318" s="153" t="s">
        <v>224</v>
      </c>
      <c r="B318" s="153" t="s">
        <v>225</v>
      </c>
      <c r="C318" s="155" t="s">
        <v>78</v>
      </c>
      <c r="D318" s="155" t="s">
        <v>534</v>
      </c>
      <c r="E318" s="153" t="s">
        <v>228</v>
      </c>
      <c r="F318" s="153" t="s">
        <v>221</v>
      </c>
      <c r="G318" s="153" t="s">
        <v>75</v>
      </c>
      <c r="H318" s="153">
        <v>723154.69001974212</v>
      </c>
      <c r="I318" s="156">
        <v>1000000</v>
      </c>
      <c r="J318" s="153" t="s">
        <v>75</v>
      </c>
      <c r="K318" s="153" t="s">
        <v>229</v>
      </c>
      <c r="L318" s="153" t="s">
        <v>75</v>
      </c>
      <c r="M318" s="153" t="s">
        <v>230</v>
      </c>
      <c r="N318" s="153" t="s">
        <v>75</v>
      </c>
      <c r="O318" s="153">
        <v>0</v>
      </c>
      <c r="P318" s="158">
        <v>0</v>
      </c>
      <c r="Q318" s="153">
        <v>1</v>
      </c>
      <c r="R318" s="155" t="s">
        <v>231</v>
      </c>
      <c r="S318" s="153">
        <v>1</v>
      </c>
      <c r="T318" s="153" t="s">
        <v>232</v>
      </c>
      <c r="U318" s="153">
        <v>2</v>
      </c>
      <c r="V318" s="159" t="s">
        <v>81</v>
      </c>
      <c r="W318" s="159">
        <v>0</v>
      </c>
      <c r="X318" s="159" t="s">
        <v>75</v>
      </c>
      <c r="Y318" s="159" t="s">
        <v>233</v>
      </c>
      <c r="Z318" s="159" t="s">
        <v>160</v>
      </c>
      <c r="AA318" s="159" t="s">
        <v>75</v>
      </c>
      <c r="AB318" s="159" t="s">
        <v>81</v>
      </c>
      <c r="AC318" s="159" t="s">
        <v>222</v>
      </c>
      <c r="AD318" s="159" t="s">
        <v>75</v>
      </c>
      <c r="AE318" s="159">
        <v>1</v>
      </c>
    </row>
    <row r="319" spans="1:31" s="149" customFormat="1" ht="25.05" customHeight="1" x14ac:dyDescent="0.3">
      <c r="A319" s="153" t="s">
        <v>234</v>
      </c>
      <c r="B319" s="153" t="s">
        <v>235</v>
      </c>
      <c r="C319" s="155" t="s">
        <v>236</v>
      </c>
      <c r="D319" s="155" t="s">
        <v>1848</v>
      </c>
      <c r="E319" s="153" t="s">
        <v>101</v>
      </c>
      <c r="F319" s="153" t="s">
        <v>73</v>
      </c>
      <c r="G319" s="153" t="s">
        <v>81</v>
      </c>
      <c r="H319" s="153">
        <v>863000</v>
      </c>
      <c r="I319" s="156">
        <v>1193382.29</v>
      </c>
      <c r="J319" s="153" t="s">
        <v>81</v>
      </c>
      <c r="K319" s="153">
        <v>0</v>
      </c>
      <c r="L319" s="153" t="s">
        <v>81</v>
      </c>
      <c r="M319" s="153">
        <v>0</v>
      </c>
      <c r="N319" s="153" t="s">
        <v>81</v>
      </c>
      <c r="O319" s="153">
        <v>0</v>
      </c>
      <c r="P319" s="158">
        <v>0</v>
      </c>
      <c r="Q319" s="153">
        <v>0</v>
      </c>
      <c r="R319" s="155">
        <v>0</v>
      </c>
      <c r="S319" s="153">
        <v>0</v>
      </c>
      <c r="T319" s="153">
        <v>0</v>
      </c>
      <c r="U319" s="153">
        <v>0</v>
      </c>
      <c r="V319" s="159" t="s">
        <v>81</v>
      </c>
      <c r="W319" s="159">
        <v>0</v>
      </c>
      <c r="X319" s="159" t="s">
        <v>81</v>
      </c>
      <c r="Y319" s="159">
        <v>0</v>
      </c>
      <c r="Z319" s="159" t="s">
        <v>217</v>
      </c>
      <c r="AA319" s="159" t="s">
        <v>81</v>
      </c>
      <c r="AB319" s="159" t="s">
        <v>81</v>
      </c>
      <c r="AC319" s="159" t="s">
        <v>110</v>
      </c>
      <c r="AD319" s="159" t="s">
        <v>81</v>
      </c>
      <c r="AE319" s="159">
        <v>1</v>
      </c>
    </row>
    <row r="320" spans="1:31" s="149" customFormat="1" ht="25.05" customHeight="1" x14ac:dyDescent="0.3">
      <c r="A320" s="153" t="s">
        <v>237</v>
      </c>
      <c r="B320" s="153" t="s">
        <v>238</v>
      </c>
      <c r="C320" s="155" t="s">
        <v>239</v>
      </c>
      <c r="D320" s="155" t="s">
        <v>1848</v>
      </c>
      <c r="E320" s="153" t="s">
        <v>72</v>
      </c>
      <c r="F320" s="153" t="s">
        <v>180</v>
      </c>
      <c r="G320" s="153" t="s">
        <v>81</v>
      </c>
      <c r="H320" s="153">
        <v>7000000</v>
      </c>
      <c r="I320" s="156">
        <v>9679810</v>
      </c>
      <c r="J320" s="153" t="s">
        <v>81</v>
      </c>
      <c r="K320" s="153">
        <v>0</v>
      </c>
      <c r="L320" s="153" t="s">
        <v>75</v>
      </c>
      <c r="M320" s="153" t="s">
        <v>240</v>
      </c>
      <c r="N320" s="153" t="s">
        <v>81</v>
      </c>
      <c r="O320" s="153">
        <v>0</v>
      </c>
      <c r="P320" s="158">
        <v>0</v>
      </c>
      <c r="Q320" s="153">
        <v>0</v>
      </c>
      <c r="R320" s="155">
        <v>0</v>
      </c>
      <c r="S320" s="153">
        <v>0</v>
      </c>
      <c r="T320" s="153">
        <v>0</v>
      </c>
      <c r="U320" s="153">
        <v>0</v>
      </c>
      <c r="V320" s="159" t="s">
        <v>81</v>
      </c>
      <c r="W320" s="159">
        <v>0</v>
      </c>
      <c r="X320" s="159" t="s">
        <v>81</v>
      </c>
      <c r="Y320" s="159">
        <v>0</v>
      </c>
      <c r="Z320" s="159" t="s">
        <v>217</v>
      </c>
      <c r="AA320" s="159" t="s">
        <v>81</v>
      </c>
      <c r="AB320" s="159" t="s">
        <v>81</v>
      </c>
      <c r="AC320" s="159" t="s">
        <v>84</v>
      </c>
      <c r="AD320" s="159" t="s">
        <v>81</v>
      </c>
      <c r="AE320" s="159">
        <v>1</v>
      </c>
    </row>
    <row r="321" spans="1:31" s="149" customFormat="1" ht="25.05" customHeight="1" x14ac:dyDescent="0.3">
      <c r="A321" s="153" t="s">
        <v>241</v>
      </c>
      <c r="B321" s="153" t="s">
        <v>242</v>
      </c>
      <c r="C321" s="155" t="s">
        <v>243</v>
      </c>
      <c r="D321" s="155" t="s">
        <v>1848</v>
      </c>
      <c r="E321" s="153" t="s">
        <v>72</v>
      </c>
      <c r="F321" s="153" t="s">
        <v>180</v>
      </c>
      <c r="G321" s="153" t="s">
        <v>81</v>
      </c>
      <c r="H321" s="153">
        <v>16400000</v>
      </c>
      <c r="I321" s="156">
        <v>22678412</v>
      </c>
      <c r="J321" s="153" t="s">
        <v>81</v>
      </c>
      <c r="K321" s="153">
        <v>0</v>
      </c>
      <c r="L321" s="153" t="s">
        <v>81</v>
      </c>
      <c r="M321" s="153">
        <v>0</v>
      </c>
      <c r="N321" s="153" t="s">
        <v>81</v>
      </c>
      <c r="O321" s="153">
        <v>0</v>
      </c>
      <c r="P321" s="158">
        <v>0</v>
      </c>
      <c r="Q321" s="153">
        <v>0</v>
      </c>
      <c r="R321" s="155">
        <v>0</v>
      </c>
      <c r="S321" s="153">
        <v>0</v>
      </c>
      <c r="T321" s="153">
        <v>0</v>
      </c>
      <c r="U321" s="153">
        <v>0</v>
      </c>
      <c r="V321" s="159" t="s">
        <v>81</v>
      </c>
      <c r="W321" s="159">
        <v>0</v>
      </c>
      <c r="X321" s="159" t="s">
        <v>81</v>
      </c>
      <c r="Y321" s="159">
        <v>0</v>
      </c>
      <c r="Z321" s="159" t="s">
        <v>121</v>
      </c>
      <c r="AA321" s="159" t="s">
        <v>75</v>
      </c>
      <c r="AB321" s="159" t="s">
        <v>81</v>
      </c>
      <c r="AC321" s="159" t="s">
        <v>84</v>
      </c>
      <c r="AD321" s="159" t="s">
        <v>81</v>
      </c>
      <c r="AE321" s="159">
        <v>1</v>
      </c>
    </row>
    <row r="322" spans="1:31" s="149" customFormat="1" ht="25.05" customHeight="1" x14ac:dyDescent="0.3">
      <c r="A322" s="153" t="s">
        <v>244</v>
      </c>
      <c r="B322" s="153" t="s">
        <v>245</v>
      </c>
      <c r="C322" s="155" t="s">
        <v>246</v>
      </c>
      <c r="D322" s="155" t="s">
        <v>1848</v>
      </c>
      <c r="E322" s="153" t="s">
        <v>72</v>
      </c>
      <c r="F322" s="153" t="s">
        <v>180</v>
      </c>
      <c r="G322" s="153" t="s">
        <v>81</v>
      </c>
      <c r="H322" s="153">
        <v>9970000</v>
      </c>
      <c r="I322" s="156">
        <v>13786815.1</v>
      </c>
      <c r="J322" s="153" t="s">
        <v>75</v>
      </c>
      <c r="K322" s="153" t="s">
        <v>247</v>
      </c>
      <c r="L322" s="153" t="s">
        <v>75</v>
      </c>
      <c r="M322" s="153" t="s">
        <v>248</v>
      </c>
      <c r="N322" s="153" t="s">
        <v>75</v>
      </c>
      <c r="O322" s="153">
        <v>0</v>
      </c>
      <c r="P322" s="158" t="s">
        <v>78</v>
      </c>
      <c r="Q322" s="153">
        <v>0</v>
      </c>
      <c r="R322" s="155" t="s">
        <v>78</v>
      </c>
      <c r="S322" s="153">
        <v>2</v>
      </c>
      <c r="T322" s="153" t="s">
        <v>249</v>
      </c>
      <c r="U322" s="153">
        <v>2</v>
      </c>
      <c r="V322" s="159" t="s">
        <v>75</v>
      </c>
      <c r="W322" s="159" t="s">
        <v>250</v>
      </c>
      <c r="X322" s="159" t="s">
        <v>75</v>
      </c>
      <c r="Y322" s="159" t="s">
        <v>251</v>
      </c>
      <c r="Z322" s="159" t="s">
        <v>121</v>
      </c>
      <c r="AA322" s="159" t="s">
        <v>75</v>
      </c>
      <c r="AB322" s="159" t="s">
        <v>81</v>
      </c>
      <c r="AC322" s="159" t="s">
        <v>84</v>
      </c>
      <c r="AD322" s="159" t="s">
        <v>81</v>
      </c>
      <c r="AE322" s="159">
        <v>1</v>
      </c>
    </row>
    <row r="323" spans="1:31" s="149" customFormat="1" ht="25.05" customHeight="1" x14ac:dyDescent="0.3">
      <c r="A323" s="153" t="s">
        <v>252</v>
      </c>
      <c r="B323" s="153" t="s">
        <v>253</v>
      </c>
      <c r="C323" s="155" t="s">
        <v>78</v>
      </c>
      <c r="D323" s="155" t="s">
        <v>555</v>
      </c>
      <c r="E323" s="153" t="s">
        <v>256</v>
      </c>
      <c r="F323" s="153" t="s">
        <v>116</v>
      </c>
      <c r="G323" s="153" t="s">
        <v>81</v>
      </c>
      <c r="H323" s="153">
        <v>98312133.864129201</v>
      </c>
      <c r="I323" s="156">
        <v>135948968.0713338</v>
      </c>
      <c r="J323" s="153" t="s">
        <v>75</v>
      </c>
      <c r="K323" s="153" t="s">
        <v>257</v>
      </c>
      <c r="L323" s="153" t="s">
        <v>75</v>
      </c>
      <c r="M323" s="153" t="s">
        <v>258</v>
      </c>
      <c r="N323" s="153" t="s">
        <v>75</v>
      </c>
      <c r="O323" s="153">
        <v>0</v>
      </c>
      <c r="P323" s="158" t="s">
        <v>78</v>
      </c>
      <c r="Q323" s="153">
        <v>3</v>
      </c>
      <c r="R323" s="155" t="s">
        <v>259</v>
      </c>
      <c r="S323" s="153">
        <v>0</v>
      </c>
      <c r="T323" s="153" t="s">
        <v>78</v>
      </c>
      <c r="U323" s="153">
        <v>3</v>
      </c>
      <c r="V323" s="159" t="s">
        <v>75</v>
      </c>
      <c r="W323" s="159" t="s">
        <v>260</v>
      </c>
      <c r="X323" s="159" t="s">
        <v>75</v>
      </c>
      <c r="Y323" s="159" t="s">
        <v>261</v>
      </c>
      <c r="Z323" s="159" t="s">
        <v>132</v>
      </c>
      <c r="AA323" s="159" t="s">
        <v>75</v>
      </c>
      <c r="AB323" s="159" t="s">
        <v>75</v>
      </c>
      <c r="AC323" s="159" t="s">
        <v>110</v>
      </c>
      <c r="AD323" s="159" t="s">
        <v>75</v>
      </c>
      <c r="AE323" s="159">
        <v>1</v>
      </c>
    </row>
    <row r="324" spans="1:31" s="149" customFormat="1" ht="25.05" customHeight="1" x14ac:dyDescent="0.3">
      <c r="A324" s="153" t="s">
        <v>262</v>
      </c>
      <c r="B324" s="153" t="s">
        <v>263</v>
      </c>
      <c r="C324" s="155" t="s">
        <v>78</v>
      </c>
      <c r="D324" s="155" t="s">
        <v>530</v>
      </c>
      <c r="E324" s="153" t="s">
        <v>228</v>
      </c>
      <c r="F324" s="153" t="s">
        <v>73</v>
      </c>
      <c r="G324" s="153" t="s">
        <v>81</v>
      </c>
      <c r="H324" s="153">
        <v>2000000</v>
      </c>
      <c r="I324" s="156">
        <v>2765660</v>
      </c>
      <c r="J324" s="153" t="s">
        <v>75</v>
      </c>
      <c r="K324" s="153" t="s">
        <v>265</v>
      </c>
      <c r="L324" s="153" t="s">
        <v>75</v>
      </c>
      <c r="M324" s="153" t="s">
        <v>266</v>
      </c>
      <c r="N324" s="153" t="s">
        <v>75</v>
      </c>
      <c r="O324" s="153">
        <v>2</v>
      </c>
      <c r="P324" s="158" t="s">
        <v>267</v>
      </c>
      <c r="Q324" s="153">
        <v>2</v>
      </c>
      <c r="R324" s="155" t="s">
        <v>268</v>
      </c>
      <c r="S324" s="153">
        <v>2</v>
      </c>
      <c r="T324" s="153" t="s">
        <v>269</v>
      </c>
      <c r="U324" s="153">
        <v>6</v>
      </c>
      <c r="V324" s="159" t="s">
        <v>81</v>
      </c>
      <c r="W324" s="159">
        <v>0</v>
      </c>
      <c r="X324" s="159" t="s">
        <v>75</v>
      </c>
      <c r="Y324" s="159" t="s">
        <v>270</v>
      </c>
      <c r="Z324" s="159" t="s">
        <v>121</v>
      </c>
      <c r="AA324" s="159" t="s">
        <v>75</v>
      </c>
      <c r="AB324" s="159" t="s">
        <v>75</v>
      </c>
      <c r="AC324" s="159" t="s">
        <v>110</v>
      </c>
      <c r="AD324" s="159" t="s">
        <v>75</v>
      </c>
      <c r="AE324" s="159">
        <v>1</v>
      </c>
    </row>
    <row r="325" spans="1:31" s="149" customFormat="1" ht="25.05" customHeight="1" x14ac:dyDescent="0.3">
      <c r="A325" s="153" t="s">
        <v>271</v>
      </c>
      <c r="B325" s="153" t="s">
        <v>272</v>
      </c>
      <c r="C325" s="155" t="s">
        <v>78</v>
      </c>
      <c r="D325" s="155" t="s">
        <v>549</v>
      </c>
      <c r="E325" s="153" t="s">
        <v>228</v>
      </c>
      <c r="F325" s="153" t="s">
        <v>73</v>
      </c>
      <c r="G325" s="153" t="s">
        <v>81</v>
      </c>
      <c r="H325" s="153">
        <v>1500000</v>
      </c>
      <c r="I325" s="156">
        <v>2074245</v>
      </c>
      <c r="J325" s="153" t="s">
        <v>75</v>
      </c>
      <c r="K325" s="153" t="s">
        <v>274</v>
      </c>
      <c r="L325" s="153" t="s">
        <v>75</v>
      </c>
      <c r="M325" s="153" t="s">
        <v>275</v>
      </c>
      <c r="N325" s="153" t="s">
        <v>75</v>
      </c>
      <c r="O325" s="153">
        <v>0</v>
      </c>
      <c r="P325" s="158" t="s">
        <v>78</v>
      </c>
      <c r="Q325" s="153">
        <v>1</v>
      </c>
      <c r="R325" s="155" t="s">
        <v>276</v>
      </c>
      <c r="S325" s="153">
        <v>2</v>
      </c>
      <c r="T325" s="153" t="s">
        <v>277</v>
      </c>
      <c r="U325" s="153">
        <v>3</v>
      </c>
      <c r="V325" s="159" t="s">
        <v>75</v>
      </c>
      <c r="W325" s="159" t="s">
        <v>278</v>
      </c>
      <c r="X325" s="159" t="s">
        <v>75</v>
      </c>
      <c r="Y325" s="159" t="s">
        <v>279</v>
      </c>
      <c r="Z325" s="159" t="s">
        <v>121</v>
      </c>
      <c r="AA325" s="159" t="s">
        <v>75</v>
      </c>
      <c r="AB325" s="159" t="s">
        <v>81</v>
      </c>
      <c r="AC325" s="159" t="s">
        <v>110</v>
      </c>
      <c r="AD325" s="159" t="s">
        <v>75</v>
      </c>
      <c r="AE325" s="159">
        <v>1</v>
      </c>
    </row>
    <row r="326" spans="1:31" s="149" customFormat="1" ht="25.05" customHeight="1" x14ac:dyDescent="0.3">
      <c r="A326" s="153" t="s">
        <v>280</v>
      </c>
      <c r="B326" s="153" t="s">
        <v>281</v>
      </c>
      <c r="C326" s="155" t="s">
        <v>78</v>
      </c>
      <c r="D326" s="155" t="s">
        <v>553</v>
      </c>
      <c r="E326" s="153" t="s">
        <v>228</v>
      </c>
      <c r="F326" s="153" t="s">
        <v>73</v>
      </c>
      <c r="G326" s="153" t="s">
        <v>81</v>
      </c>
      <c r="H326" s="153">
        <v>4000000</v>
      </c>
      <c r="I326" s="156">
        <v>5531320</v>
      </c>
      <c r="J326" s="153" t="s">
        <v>75</v>
      </c>
      <c r="K326" s="153" t="s">
        <v>283</v>
      </c>
      <c r="L326" s="153" t="s">
        <v>81</v>
      </c>
      <c r="M326" s="153">
        <v>0</v>
      </c>
      <c r="N326" s="153" t="s">
        <v>75</v>
      </c>
      <c r="O326" s="153">
        <v>0</v>
      </c>
      <c r="P326" s="158" t="s">
        <v>78</v>
      </c>
      <c r="Q326" s="153">
        <v>0</v>
      </c>
      <c r="R326" s="155" t="s">
        <v>78</v>
      </c>
      <c r="S326" s="153">
        <v>2</v>
      </c>
      <c r="T326" s="153" t="s">
        <v>284</v>
      </c>
      <c r="U326" s="153">
        <v>2</v>
      </c>
      <c r="V326" s="159" t="s">
        <v>81</v>
      </c>
      <c r="W326" s="159">
        <v>0</v>
      </c>
      <c r="X326" s="159" t="s">
        <v>75</v>
      </c>
      <c r="Y326" s="159" t="s">
        <v>285</v>
      </c>
      <c r="Z326" s="159" t="s">
        <v>286</v>
      </c>
      <c r="AA326" s="159" t="s">
        <v>75</v>
      </c>
      <c r="AB326" s="159" t="s">
        <v>81</v>
      </c>
      <c r="AC326" s="159" t="s">
        <v>110</v>
      </c>
      <c r="AD326" s="159" t="s">
        <v>81</v>
      </c>
      <c r="AE326" s="159">
        <v>1</v>
      </c>
    </row>
    <row r="327" spans="1:31" s="149" customFormat="1" ht="25.05" customHeight="1" x14ac:dyDescent="0.3">
      <c r="A327" s="153" t="s">
        <v>287</v>
      </c>
      <c r="B327" s="153" t="s">
        <v>288</v>
      </c>
      <c r="C327" s="155" t="s">
        <v>78</v>
      </c>
      <c r="D327" s="155" t="s">
        <v>492</v>
      </c>
      <c r="E327" s="153" t="s">
        <v>101</v>
      </c>
      <c r="F327" s="153" t="s">
        <v>290</v>
      </c>
      <c r="G327" s="153" t="s">
        <v>81</v>
      </c>
      <c r="H327" s="153">
        <v>80914004.595915452</v>
      </c>
      <c r="I327" s="156">
        <v>111890312.97536977</v>
      </c>
      <c r="J327" s="153" t="s">
        <v>75</v>
      </c>
      <c r="K327" s="153" t="s">
        <v>291</v>
      </c>
      <c r="L327" s="153" t="s">
        <v>81</v>
      </c>
      <c r="M327" s="153">
        <v>0</v>
      </c>
      <c r="N327" s="153" t="s">
        <v>75</v>
      </c>
      <c r="O327" s="153">
        <v>0</v>
      </c>
      <c r="P327" s="158" t="s">
        <v>78</v>
      </c>
      <c r="Q327" s="153">
        <v>1</v>
      </c>
      <c r="R327" s="155" t="s">
        <v>292</v>
      </c>
      <c r="S327" s="153">
        <v>2</v>
      </c>
      <c r="T327" s="153" t="s">
        <v>293</v>
      </c>
      <c r="U327" s="153">
        <v>3</v>
      </c>
      <c r="V327" s="159" t="s">
        <v>81</v>
      </c>
      <c r="W327" s="159">
        <v>0</v>
      </c>
      <c r="X327" s="159" t="s">
        <v>75</v>
      </c>
      <c r="Y327" s="159" t="s">
        <v>294</v>
      </c>
      <c r="Z327" s="159" t="s">
        <v>132</v>
      </c>
      <c r="AA327" s="159" t="s">
        <v>75</v>
      </c>
      <c r="AB327" s="159" t="s">
        <v>81</v>
      </c>
      <c r="AC327" s="159" t="s">
        <v>84</v>
      </c>
      <c r="AD327" s="159" t="s">
        <v>81</v>
      </c>
      <c r="AE327" s="159">
        <v>1</v>
      </c>
    </row>
    <row r="328" spans="1:31" s="149" customFormat="1" ht="25.05" customHeight="1" x14ac:dyDescent="0.3">
      <c r="A328" s="153" t="s">
        <v>295</v>
      </c>
      <c r="B328" s="153" t="s">
        <v>296</v>
      </c>
      <c r="C328" s="155" t="s">
        <v>78</v>
      </c>
      <c r="D328" s="155" t="s">
        <v>566</v>
      </c>
      <c r="E328" s="153" t="s">
        <v>101</v>
      </c>
      <c r="F328" s="153" t="s">
        <v>73</v>
      </c>
      <c r="G328" s="153" t="s">
        <v>81</v>
      </c>
      <c r="H328" s="153">
        <v>36000000</v>
      </c>
      <c r="I328" s="156">
        <v>49781880</v>
      </c>
      <c r="J328" s="153" t="s">
        <v>75</v>
      </c>
      <c r="K328" s="153" t="s">
        <v>298</v>
      </c>
      <c r="L328" s="153" t="s">
        <v>81</v>
      </c>
      <c r="M328" s="153">
        <v>0</v>
      </c>
      <c r="N328" s="153" t="s">
        <v>75</v>
      </c>
      <c r="O328" s="153">
        <v>0</v>
      </c>
      <c r="P328" s="158" t="s">
        <v>78</v>
      </c>
      <c r="Q328" s="153">
        <v>0</v>
      </c>
      <c r="R328" s="155" t="s">
        <v>78</v>
      </c>
      <c r="S328" s="153">
        <v>1</v>
      </c>
      <c r="T328" s="153" t="s">
        <v>299</v>
      </c>
      <c r="U328" s="153">
        <v>1</v>
      </c>
      <c r="V328" s="159" t="s">
        <v>81</v>
      </c>
      <c r="W328" s="159">
        <v>0</v>
      </c>
      <c r="X328" s="159" t="s">
        <v>75</v>
      </c>
      <c r="Y328" s="159" t="s">
        <v>300</v>
      </c>
      <c r="Z328" s="159" t="s">
        <v>132</v>
      </c>
      <c r="AA328" s="159" t="s">
        <v>75</v>
      </c>
      <c r="AB328" s="159" t="s">
        <v>75</v>
      </c>
      <c r="AC328" s="159" t="s">
        <v>84</v>
      </c>
      <c r="AD328" s="159" t="s">
        <v>81</v>
      </c>
      <c r="AE328" s="159">
        <v>1</v>
      </c>
    </row>
    <row r="329" spans="1:31" s="149" customFormat="1" ht="25.05" customHeight="1" x14ac:dyDescent="0.3">
      <c r="A329" s="153" t="s">
        <v>301</v>
      </c>
      <c r="B329" s="153" t="s">
        <v>302</v>
      </c>
      <c r="C329" s="155" t="s">
        <v>78</v>
      </c>
      <c r="D329" s="155" t="s">
        <v>546</v>
      </c>
      <c r="E329" s="153" t="s">
        <v>115</v>
      </c>
      <c r="F329" s="153" t="s">
        <v>137</v>
      </c>
      <c r="G329" s="153" t="s">
        <v>81</v>
      </c>
      <c r="H329" s="153">
        <v>147523556.76402739</v>
      </c>
      <c r="I329" s="156">
        <v>204000000</v>
      </c>
      <c r="J329" s="153" t="s">
        <v>81</v>
      </c>
      <c r="K329" s="153">
        <v>0</v>
      </c>
      <c r="L329" s="153" t="s">
        <v>81</v>
      </c>
      <c r="M329" s="153">
        <v>0</v>
      </c>
      <c r="N329" s="153" t="s">
        <v>81</v>
      </c>
      <c r="O329" s="153">
        <v>0</v>
      </c>
      <c r="P329" s="158">
        <v>0</v>
      </c>
      <c r="Q329" s="153">
        <v>0</v>
      </c>
      <c r="R329" s="155">
        <v>0</v>
      </c>
      <c r="S329" s="153">
        <v>0</v>
      </c>
      <c r="T329" s="153">
        <v>0</v>
      </c>
      <c r="U329" s="153">
        <v>0</v>
      </c>
      <c r="V329" s="159" t="s">
        <v>81</v>
      </c>
      <c r="W329" s="159">
        <v>0</v>
      </c>
      <c r="X329" s="159" t="s">
        <v>81</v>
      </c>
      <c r="Y329" s="159">
        <v>0</v>
      </c>
      <c r="Z329" s="159" t="s">
        <v>121</v>
      </c>
      <c r="AA329" s="159" t="s">
        <v>75</v>
      </c>
      <c r="AB329" s="159" t="s">
        <v>75</v>
      </c>
      <c r="AC329" s="159" t="s">
        <v>84</v>
      </c>
      <c r="AD329" s="159" t="s">
        <v>81</v>
      </c>
      <c r="AE329" s="159">
        <v>1</v>
      </c>
    </row>
    <row r="330" spans="1:31" s="149" customFormat="1" ht="25.05" customHeight="1" x14ac:dyDescent="0.3">
      <c r="A330" s="153" t="s">
        <v>303</v>
      </c>
      <c r="B330" s="153" t="s">
        <v>304</v>
      </c>
      <c r="C330" s="155" t="s">
        <v>78</v>
      </c>
      <c r="D330" s="155" t="s">
        <v>1855</v>
      </c>
      <c r="E330" s="153" t="s">
        <v>101</v>
      </c>
      <c r="F330" s="153" t="s">
        <v>90</v>
      </c>
      <c r="G330" s="153" t="s">
        <v>81</v>
      </c>
      <c r="H330" s="153">
        <v>5000000</v>
      </c>
      <c r="I330" s="156">
        <v>6914150</v>
      </c>
      <c r="J330" s="153" t="s">
        <v>75</v>
      </c>
      <c r="K330" s="153" t="s">
        <v>306</v>
      </c>
      <c r="L330" s="153" t="s">
        <v>81</v>
      </c>
      <c r="M330" s="153" t="s">
        <v>307</v>
      </c>
      <c r="N330" s="153" t="s">
        <v>75</v>
      </c>
      <c r="O330" s="153">
        <v>0</v>
      </c>
      <c r="P330" s="158" t="s">
        <v>78</v>
      </c>
      <c r="Q330" s="153">
        <v>1</v>
      </c>
      <c r="R330" s="155" t="s">
        <v>308</v>
      </c>
      <c r="S330" s="153">
        <v>2</v>
      </c>
      <c r="T330" s="153" t="s">
        <v>309</v>
      </c>
      <c r="U330" s="153">
        <v>3</v>
      </c>
      <c r="V330" s="159" t="s">
        <v>75</v>
      </c>
      <c r="W330" s="159" t="s">
        <v>310</v>
      </c>
      <c r="X330" s="159" t="s">
        <v>75</v>
      </c>
      <c r="Y330" s="159" t="s">
        <v>311</v>
      </c>
      <c r="Z330" s="159" t="s">
        <v>132</v>
      </c>
      <c r="AA330" s="159" t="s">
        <v>75</v>
      </c>
      <c r="AB330" s="159" t="s">
        <v>75</v>
      </c>
      <c r="AC330" s="159" t="s">
        <v>84</v>
      </c>
      <c r="AD330" s="159" t="s">
        <v>81</v>
      </c>
      <c r="AE330" s="159">
        <v>1</v>
      </c>
    </row>
    <row r="331" spans="1:31" s="149" customFormat="1" ht="25.05" customHeight="1" x14ac:dyDescent="0.3">
      <c r="A331" s="153" t="s">
        <v>312</v>
      </c>
      <c r="B331" s="153" t="s">
        <v>313</v>
      </c>
      <c r="C331" s="155" t="s">
        <v>78</v>
      </c>
      <c r="D331" s="155" t="s">
        <v>557</v>
      </c>
      <c r="E331" s="153" t="s">
        <v>101</v>
      </c>
      <c r="F331" s="153" t="s">
        <v>180</v>
      </c>
      <c r="G331" s="153" t="s">
        <v>81</v>
      </c>
      <c r="H331" s="153">
        <v>20000000</v>
      </c>
      <c r="I331" s="156">
        <v>27656600</v>
      </c>
      <c r="J331" s="153" t="s">
        <v>81</v>
      </c>
      <c r="K331" s="153">
        <v>0</v>
      </c>
      <c r="L331" s="153" t="s">
        <v>81</v>
      </c>
      <c r="M331" s="153">
        <v>0</v>
      </c>
      <c r="N331" s="153" t="s">
        <v>81</v>
      </c>
      <c r="O331" s="153">
        <v>0</v>
      </c>
      <c r="P331" s="158">
        <v>0</v>
      </c>
      <c r="Q331" s="153">
        <v>0</v>
      </c>
      <c r="R331" s="155">
        <v>0</v>
      </c>
      <c r="S331" s="153">
        <v>0</v>
      </c>
      <c r="T331" s="153">
        <v>0</v>
      </c>
      <c r="U331" s="153">
        <v>0</v>
      </c>
      <c r="V331" s="159" t="s">
        <v>81</v>
      </c>
      <c r="W331" s="159">
        <v>0</v>
      </c>
      <c r="X331" s="159" t="s">
        <v>81</v>
      </c>
      <c r="Y331" s="159">
        <v>0</v>
      </c>
      <c r="Z331" s="159" t="s">
        <v>286</v>
      </c>
      <c r="AA331" s="159" t="s">
        <v>75</v>
      </c>
      <c r="AB331" s="159" t="s">
        <v>75</v>
      </c>
      <c r="AC331" s="159" t="s">
        <v>84</v>
      </c>
      <c r="AD331" s="159" t="s">
        <v>81</v>
      </c>
      <c r="AE331" s="159">
        <v>1</v>
      </c>
    </row>
    <row r="332" spans="1:31" s="149" customFormat="1" ht="25.05" customHeight="1" x14ac:dyDescent="0.3">
      <c r="A332" s="153" t="s">
        <v>315</v>
      </c>
      <c r="B332" s="153" t="s">
        <v>316</v>
      </c>
      <c r="C332" s="155" t="s">
        <v>78</v>
      </c>
      <c r="D332" s="155" t="s">
        <v>526</v>
      </c>
      <c r="E332" s="153" t="s">
        <v>228</v>
      </c>
      <c r="F332" s="153" t="s">
        <v>290</v>
      </c>
      <c r="G332" s="153" t="s">
        <v>81</v>
      </c>
      <c r="H332" s="153">
        <v>9370000</v>
      </c>
      <c r="I332" s="156">
        <v>12957117.1</v>
      </c>
      <c r="J332" s="153" t="s">
        <v>75</v>
      </c>
      <c r="K332" s="153" t="s">
        <v>318</v>
      </c>
      <c r="L332" s="153" t="s">
        <v>75</v>
      </c>
      <c r="M332" s="153" t="s">
        <v>319</v>
      </c>
      <c r="N332" s="153" t="s">
        <v>75</v>
      </c>
      <c r="O332" s="153">
        <v>1</v>
      </c>
      <c r="P332" s="158" t="s">
        <v>320</v>
      </c>
      <c r="Q332" s="153">
        <v>1</v>
      </c>
      <c r="R332" s="155" t="s">
        <v>321</v>
      </c>
      <c r="S332" s="153">
        <v>2</v>
      </c>
      <c r="T332" s="153" t="s">
        <v>322</v>
      </c>
      <c r="U332" s="153">
        <v>4</v>
      </c>
      <c r="V332" s="159" t="s">
        <v>81</v>
      </c>
      <c r="W332" s="159">
        <v>0</v>
      </c>
      <c r="X332" s="159" t="s">
        <v>75</v>
      </c>
      <c r="Y332" s="159" t="s">
        <v>323</v>
      </c>
      <c r="Z332" s="159" t="s">
        <v>121</v>
      </c>
      <c r="AA332" s="159" t="s">
        <v>75</v>
      </c>
      <c r="AB332" s="159" t="s">
        <v>75</v>
      </c>
      <c r="AC332" s="159" t="s">
        <v>110</v>
      </c>
      <c r="AD332" s="159" t="s">
        <v>75</v>
      </c>
      <c r="AE332" s="159">
        <v>1</v>
      </c>
    </row>
    <row r="333" spans="1:31" s="149" customFormat="1" ht="25.05" customHeight="1" x14ac:dyDescent="0.3">
      <c r="A333" s="153" t="s">
        <v>324</v>
      </c>
      <c r="B333" s="153" t="s">
        <v>325</v>
      </c>
      <c r="C333" s="155" t="s">
        <v>78</v>
      </c>
      <c r="D333" s="155" t="s">
        <v>561</v>
      </c>
      <c r="E333" s="153" t="s">
        <v>228</v>
      </c>
      <c r="F333" s="153" t="s">
        <v>290</v>
      </c>
      <c r="G333" s="153" t="s">
        <v>81</v>
      </c>
      <c r="H333" s="153">
        <v>5530000</v>
      </c>
      <c r="I333" s="156">
        <v>7647049.9000000004</v>
      </c>
      <c r="J333" s="153" t="s">
        <v>75</v>
      </c>
      <c r="K333" s="153" t="s">
        <v>326</v>
      </c>
      <c r="L333" s="153" t="s">
        <v>75</v>
      </c>
      <c r="M333" s="153" t="s">
        <v>327</v>
      </c>
      <c r="N333" s="153" t="s">
        <v>75</v>
      </c>
      <c r="O333" s="153">
        <v>0</v>
      </c>
      <c r="P333" s="158" t="s">
        <v>78</v>
      </c>
      <c r="Q333" s="153">
        <v>2</v>
      </c>
      <c r="R333" s="155" t="s">
        <v>328</v>
      </c>
      <c r="S333" s="153">
        <v>1</v>
      </c>
      <c r="T333" s="153" t="s">
        <v>329</v>
      </c>
      <c r="U333" s="153">
        <v>3</v>
      </c>
      <c r="V333" s="159" t="s">
        <v>75</v>
      </c>
      <c r="W333" s="159" t="s">
        <v>330</v>
      </c>
      <c r="X333" s="159" t="s">
        <v>75</v>
      </c>
      <c r="Y333" s="159" t="s">
        <v>331</v>
      </c>
      <c r="Z333" s="159" t="s">
        <v>132</v>
      </c>
      <c r="AA333" s="159" t="s">
        <v>75</v>
      </c>
      <c r="AB333" s="159" t="s">
        <v>75</v>
      </c>
      <c r="AC333" s="159" t="s">
        <v>110</v>
      </c>
      <c r="AD333" s="159" t="s">
        <v>75</v>
      </c>
      <c r="AE333" s="159">
        <v>1</v>
      </c>
    </row>
    <row r="334" spans="1:31" s="149" customFormat="1" ht="25.05" customHeight="1" x14ac:dyDescent="0.3">
      <c r="A334" s="153" t="s">
        <v>332</v>
      </c>
      <c r="B334" s="153" t="s">
        <v>333</v>
      </c>
      <c r="C334" s="155" t="s">
        <v>78</v>
      </c>
      <c r="D334" s="155" t="s">
        <v>553</v>
      </c>
      <c r="E334" s="153" t="s">
        <v>115</v>
      </c>
      <c r="F334" s="153" t="s">
        <v>180</v>
      </c>
      <c r="G334" s="153" t="s">
        <v>81</v>
      </c>
      <c r="H334" s="153">
        <v>4640000</v>
      </c>
      <c r="I334" s="156">
        <v>6416331.2000000002</v>
      </c>
      <c r="J334" s="153" t="s">
        <v>75</v>
      </c>
      <c r="K334" s="153" t="s">
        <v>334</v>
      </c>
      <c r="L334" s="153" t="s">
        <v>81</v>
      </c>
      <c r="M334" s="153">
        <v>0</v>
      </c>
      <c r="N334" s="153" t="s">
        <v>75</v>
      </c>
      <c r="O334" s="153">
        <v>0</v>
      </c>
      <c r="P334" s="158" t="s">
        <v>78</v>
      </c>
      <c r="Q334" s="153">
        <v>1</v>
      </c>
      <c r="R334" s="155" t="s">
        <v>335</v>
      </c>
      <c r="S334" s="153">
        <v>0</v>
      </c>
      <c r="T334" s="153" t="s">
        <v>78</v>
      </c>
      <c r="U334" s="153">
        <v>1</v>
      </c>
      <c r="V334" s="159" t="s">
        <v>75</v>
      </c>
      <c r="W334" s="159" t="s">
        <v>336</v>
      </c>
      <c r="X334" s="159" t="s">
        <v>75</v>
      </c>
      <c r="Y334" s="159" t="s">
        <v>337</v>
      </c>
      <c r="Z334" s="159" t="s">
        <v>121</v>
      </c>
      <c r="AA334" s="159" t="s">
        <v>75</v>
      </c>
      <c r="AB334" s="159" t="s">
        <v>75</v>
      </c>
      <c r="AC334" s="159" t="s">
        <v>84</v>
      </c>
      <c r="AD334" s="159" t="s">
        <v>81</v>
      </c>
      <c r="AE334" s="159">
        <v>1</v>
      </c>
    </row>
    <row r="335" spans="1:31" s="149" customFormat="1" ht="25.05" customHeight="1" x14ac:dyDescent="0.3">
      <c r="A335" s="153" t="s">
        <v>338</v>
      </c>
      <c r="B335" s="153" t="s">
        <v>339</v>
      </c>
      <c r="C335" s="155" t="s">
        <v>340</v>
      </c>
      <c r="D335" s="155" t="s">
        <v>1848</v>
      </c>
      <c r="E335" s="153" t="s">
        <v>115</v>
      </c>
      <c r="F335" s="153" t="s">
        <v>90</v>
      </c>
      <c r="G335" s="153" t="s">
        <v>81</v>
      </c>
      <c r="H335" s="153">
        <v>10000000</v>
      </c>
      <c r="I335" s="156">
        <v>13828300</v>
      </c>
      <c r="J335" s="153" t="s">
        <v>81</v>
      </c>
      <c r="K335" s="153">
        <v>0</v>
      </c>
      <c r="L335" s="153" t="s">
        <v>81</v>
      </c>
      <c r="M335" s="153">
        <v>0</v>
      </c>
      <c r="N335" s="153" t="s">
        <v>81</v>
      </c>
      <c r="O335" s="153">
        <v>0</v>
      </c>
      <c r="P335" s="158">
        <v>0</v>
      </c>
      <c r="Q335" s="153">
        <v>0</v>
      </c>
      <c r="R335" s="155">
        <v>0</v>
      </c>
      <c r="S335" s="153">
        <v>0</v>
      </c>
      <c r="T335" s="153">
        <v>0</v>
      </c>
      <c r="U335" s="153">
        <v>0</v>
      </c>
      <c r="V335" s="159" t="s">
        <v>81</v>
      </c>
      <c r="W335" s="159">
        <v>0</v>
      </c>
      <c r="X335" s="159" t="s">
        <v>81</v>
      </c>
      <c r="Y335" s="159">
        <v>0</v>
      </c>
      <c r="Z335" s="159" t="s">
        <v>121</v>
      </c>
      <c r="AA335" s="159" t="s">
        <v>75</v>
      </c>
      <c r="AB335" s="159" t="s">
        <v>75</v>
      </c>
      <c r="AC335" s="159" t="s">
        <v>84</v>
      </c>
      <c r="AD335" s="159" t="s">
        <v>81</v>
      </c>
      <c r="AE335" s="159">
        <v>1</v>
      </c>
    </row>
    <row r="336" spans="1:31" s="149" customFormat="1" ht="25.05" customHeight="1" x14ac:dyDescent="0.3">
      <c r="A336" s="153" t="s">
        <v>341</v>
      </c>
      <c r="B336" s="153" t="s">
        <v>342</v>
      </c>
      <c r="C336" s="155" t="s">
        <v>78</v>
      </c>
      <c r="D336" s="155" t="s">
        <v>528</v>
      </c>
      <c r="E336" s="153" t="s">
        <v>228</v>
      </c>
      <c r="F336" s="153" t="s">
        <v>73</v>
      </c>
      <c r="G336" s="153" t="s">
        <v>81</v>
      </c>
      <c r="H336" s="153">
        <v>8000000</v>
      </c>
      <c r="I336" s="156">
        <v>11126320</v>
      </c>
      <c r="J336" s="153" t="s">
        <v>75</v>
      </c>
      <c r="K336" s="153" t="s">
        <v>344</v>
      </c>
      <c r="L336" s="153" t="s">
        <v>75</v>
      </c>
      <c r="M336" s="153" t="s">
        <v>345</v>
      </c>
      <c r="N336" s="153" t="s">
        <v>75</v>
      </c>
      <c r="O336" s="153">
        <v>2</v>
      </c>
      <c r="P336" s="158" t="s">
        <v>346</v>
      </c>
      <c r="Q336" s="153">
        <v>2</v>
      </c>
      <c r="R336" s="155" t="s">
        <v>347</v>
      </c>
      <c r="S336" s="153">
        <v>2</v>
      </c>
      <c r="T336" s="153" t="s">
        <v>348</v>
      </c>
      <c r="U336" s="153">
        <v>6</v>
      </c>
      <c r="V336" s="159" t="s">
        <v>75</v>
      </c>
      <c r="W336" s="159" t="s">
        <v>349</v>
      </c>
      <c r="X336" s="159" t="s">
        <v>75</v>
      </c>
      <c r="Y336" s="159" t="s">
        <v>350</v>
      </c>
      <c r="Z336" s="159" t="s">
        <v>132</v>
      </c>
      <c r="AA336" s="159" t="s">
        <v>75</v>
      </c>
      <c r="AB336" s="159" t="s">
        <v>75</v>
      </c>
      <c r="AC336" s="159" t="s">
        <v>84</v>
      </c>
      <c r="AD336" s="159" t="s">
        <v>75</v>
      </c>
      <c r="AE336" s="159">
        <v>1</v>
      </c>
    </row>
    <row r="337" spans="1:31" s="149" customFormat="1" ht="25.05" customHeight="1" x14ac:dyDescent="0.3">
      <c r="A337" s="153" t="s">
        <v>351</v>
      </c>
      <c r="B337" s="153" t="s">
        <v>352</v>
      </c>
      <c r="C337" s="155" t="s">
        <v>78</v>
      </c>
      <c r="D337" s="155" t="s">
        <v>78</v>
      </c>
      <c r="E337" s="153" t="s">
        <v>101</v>
      </c>
      <c r="F337" s="153" t="s">
        <v>103</v>
      </c>
      <c r="G337" s="153" t="s">
        <v>81</v>
      </c>
      <c r="H337" s="153">
        <v>7136069</v>
      </c>
      <c r="I337" s="156">
        <v>10277866.09863</v>
      </c>
      <c r="J337" s="153" t="s">
        <v>81</v>
      </c>
      <c r="K337" s="153">
        <v>0</v>
      </c>
      <c r="L337" s="153" t="s">
        <v>81</v>
      </c>
      <c r="M337" s="153">
        <v>0</v>
      </c>
      <c r="N337" s="153" t="s">
        <v>75</v>
      </c>
      <c r="O337" s="153">
        <v>0</v>
      </c>
      <c r="P337" s="158" t="s">
        <v>78</v>
      </c>
      <c r="Q337" s="153">
        <v>0</v>
      </c>
      <c r="R337" s="155" t="s">
        <v>78</v>
      </c>
      <c r="S337" s="153">
        <v>1</v>
      </c>
      <c r="T337" s="153" t="s">
        <v>354</v>
      </c>
      <c r="U337" s="153">
        <v>1</v>
      </c>
      <c r="V337" s="159" t="s">
        <v>75</v>
      </c>
      <c r="W337" s="159" t="s">
        <v>355</v>
      </c>
      <c r="X337" s="159" t="s">
        <v>75</v>
      </c>
      <c r="Y337" s="159" t="s">
        <v>356</v>
      </c>
      <c r="Z337" s="159" t="s">
        <v>121</v>
      </c>
      <c r="AA337" s="159" t="s">
        <v>75</v>
      </c>
      <c r="AB337" s="159" t="s">
        <v>75</v>
      </c>
      <c r="AC337" s="159" t="s">
        <v>84</v>
      </c>
      <c r="AD337" s="159" t="s">
        <v>81</v>
      </c>
      <c r="AE337" s="159">
        <v>1</v>
      </c>
    </row>
    <row r="338" spans="1:31" s="149" customFormat="1" ht="25.05" customHeight="1" x14ac:dyDescent="0.3">
      <c r="A338" s="153" t="s">
        <v>357</v>
      </c>
      <c r="B338" s="153" t="s">
        <v>358</v>
      </c>
      <c r="C338" s="155" t="s">
        <v>78</v>
      </c>
      <c r="D338" s="155" t="s">
        <v>536</v>
      </c>
      <c r="E338" s="153" t="s">
        <v>115</v>
      </c>
      <c r="F338" s="153" t="s">
        <v>73</v>
      </c>
      <c r="G338" s="153" t="s">
        <v>81</v>
      </c>
      <c r="H338" s="153">
        <v>22000000</v>
      </c>
      <c r="I338" s="156">
        <v>31685940</v>
      </c>
      <c r="J338" s="153" t="s">
        <v>75</v>
      </c>
      <c r="K338" s="153" t="s">
        <v>360</v>
      </c>
      <c r="L338" s="153" t="s">
        <v>75</v>
      </c>
      <c r="M338" s="153" t="s">
        <v>361</v>
      </c>
      <c r="N338" s="153" t="s">
        <v>75</v>
      </c>
      <c r="O338" s="153">
        <v>1</v>
      </c>
      <c r="P338" s="158" t="s">
        <v>362</v>
      </c>
      <c r="Q338" s="153">
        <v>4</v>
      </c>
      <c r="R338" s="155" t="s">
        <v>363</v>
      </c>
      <c r="S338" s="153">
        <v>6</v>
      </c>
      <c r="T338" s="153" t="s">
        <v>364</v>
      </c>
      <c r="U338" s="153">
        <v>11</v>
      </c>
      <c r="V338" s="159" t="s">
        <v>81</v>
      </c>
      <c r="W338" s="159">
        <v>0</v>
      </c>
      <c r="X338" s="159" t="s">
        <v>75</v>
      </c>
      <c r="Y338" s="159" t="s">
        <v>365</v>
      </c>
      <c r="Z338" s="159" t="s">
        <v>121</v>
      </c>
      <c r="AA338" s="159" t="s">
        <v>75</v>
      </c>
      <c r="AB338" s="159" t="s">
        <v>75</v>
      </c>
      <c r="AC338" s="159" t="s">
        <v>110</v>
      </c>
      <c r="AD338" s="159" t="s">
        <v>75</v>
      </c>
      <c r="AE338" s="159">
        <v>1</v>
      </c>
    </row>
    <row r="339" spans="1:31" s="149" customFormat="1" ht="25.05" customHeight="1" x14ac:dyDescent="0.3">
      <c r="A339" s="153" t="s">
        <v>366</v>
      </c>
      <c r="B339" s="153" t="s">
        <v>367</v>
      </c>
      <c r="C339" s="155" t="s">
        <v>78</v>
      </c>
      <c r="D339" s="155" t="s">
        <v>549</v>
      </c>
      <c r="E339" s="153" t="s">
        <v>101</v>
      </c>
      <c r="F339" s="153" t="s">
        <v>73</v>
      </c>
      <c r="G339" s="153" t="s">
        <v>81</v>
      </c>
      <c r="H339" s="153">
        <v>3000000</v>
      </c>
      <c r="I339" s="156">
        <v>4320810</v>
      </c>
      <c r="J339" s="153" t="s">
        <v>81</v>
      </c>
      <c r="K339" s="153">
        <v>0</v>
      </c>
      <c r="L339" s="153" t="s">
        <v>81</v>
      </c>
      <c r="M339" s="153">
        <v>0</v>
      </c>
      <c r="N339" s="153" t="s">
        <v>81</v>
      </c>
      <c r="O339" s="153">
        <v>0</v>
      </c>
      <c r="P339" s="158">
        <v>0</v>
      </c>
      <c r="Q339" s="153">
        <v>0</v>
      </c>
      <c r="R339" s="155">
        <v>0</v>
      </c>
      <c r="S339" s="153">
        <v>0</v>
      </c>
      <c r="T339" s="153">
        <v>0</v>
      </c>
      <c r="U339" s="153">
        <v>0</v>
      </c>
      <c r="V339" s="159" t="s">
        <v>81</v>
      </c>
      <c r="W339" s="159">
        <v>0</v>
      </c>
      <c r="X339" s="159" t="s">
        <v>81</v>
      </c>
      <c r="Y339" s="159">
        <v>0</v>
      </c>
      <c r="Z339" s="159" t="s">
        <v>121</v>
      </c>
      <c r="AA339" s="159" t="s">
        <v>75</v>
      </c>
      <c r="AB339" s="159" t="s">
        <v>75</v>
      </c>
      <c r="AC339" s="159" t="s">
        <v>84</v>
      </c>
      <c r="AD339" s="159" t="s">
        <v>81</v>
      </c>
      <c r="AE339" s="159">
        <v>1</v>
      </c>
    </row>
    <row r="340" spans="1:31" s="149" customFormat="1" ht="25.05" customHeight="1" x14ac:dyDescent="0.3">
      <c r="A340" s="153" t="s">
        <v>369</v>
      </c>
      <c r="B340" s="153" t="s">
        <v>370</v>
      </c>
      <c r="C340" s="155" t="s">
        <v>78</v>
      </c>
      <c r="D340" s="155" t="s">
        <v>542</v>
      </c>
      <c r="E340" s="153" t="s">
        <v>115</v>
      </c>
      <c r="F340" s="153" t="s">
        <v>73</v>
      </c>
      <c r="G340" s="153" t="s">
        <v>81</v>
      </c>
      <c r="H340" s="153">
        <v>5000000</v>
      </c>
      <c r="I340" s="156">
        <v>7201350</v>
      </c>
      <c r="J340" s="153" t="s">
        <v>75</v>
      </c>
      <c r="K340" s="153" t="s">
        <v>372</v>
      </c>
      <c r="L340" s="153" t="s">
        <v>81</v>
      </c>
      <c r="M340" s="153">
        <v>0</v>
      </c>
      <c r="N340" s="153" t="s">
        <v>75</v>
      </c>
      <c r="O340" s="153">
        <v>0</v>
      </c>
      <c r="P340" s="158" t="s">
        <v>78</v>
      </c>
      <c r="Q340" s="153">
        <v>0</v>
      </c>
      <c r="R340" s="155" t="s">
        <v>78</v>
      </c>
      <c r="S340" s="153">
        <v>2</v>
      </c>
      <c r="T340" s="153" t="s">
        <v>373</v>
      </c>
      <c r="U340" s="153">
        <v>2</v>
      </c>
      <c r="V340" s="159" t="s">
        <v>81</v>
      </c>
      <c r="W340" s="159">
        <v>0</v>
      </c>
      <c r="X340" s="159" t="s">
        <v>75</v>
      </c>
      <c r="Y340" s="159" t="s">
        <v>374</v>
      </c>
      <c r="Z340" s="159" t="s">
        <v>121</v>
      </c>
      <c r="AA340" s="159" t="s">
        <v>75</v>
      </c>
      <c r="AB340" s="159" t="s">
        <v>75</v>
      </c>
      <c r="AC340" s="159" t="s">
        <v>84</v>
      </c>
      <c r="AD340" s="159" t="s">
        <v>81</v>
      </c>
      <c r="AE340" s="159">
        <v>1</v>
      </c>
    </row>
    <row r="341" spans="1:31" s="149" customFormat="1" ht="25.05" customHeight="1" x14ac:dyDescent="0.3">
      <c r="A341" s="153" t="s">
        <v>375</v>
      </c>
      <c r="B341" s="153" t="s">
        <v>376</v>
      </c>
      <c r="C341" s="155" t="s">
        <v>78</v>
      </c>
      <c r="D341" s="155" t="s">
        <v>544</v>
      </c>
      <c r="E341" s="153" t="s">
        <v>228</v>
      </c>
      <c r="F341" s="153" t="s">
        <v>73</v>
      </c>
      <c r="G341" s="153" t="s">
        <v>81</v>
      </c>
      <c r="H341" s="153">
        <v>298555.13202385663</v>
      </c>
      <c r="I341" s="156">
        <v>429999.99999999994</v>
      </c>
      <c r="J341" s="153" t="s">
        <v>75</v>
      </c>
      <c r="K341" s="153" t="s">
        <v>378</v>
      </c>
      <c r="L341" s="153" t="s">
        <v>75</v>
      </c>
      <c r="M341" s="153" t="s">
        <v>379</v>
      </c>
      <c r="N341" s="153" t="s">
        <v>75</v>
      </c>
      <c r="O341" s="153">
        <v>1</v>
      </c>
      <c r="P341" s="158" t="s">
        <v>380</v>
      </c>
      <c r="Q341" s="153">
        <v>0</v>
      </c>
      <c r="R341" s="155">
        <v>0</v>
      </c>
      <c r="S341" s="153">
        <v>3</v>
      </c>
      <c r="T341" s="153" t="s">
        <v>381</v>
      </c>
      <c r="U341" s="153">
        <v>4</v>
      </c>
      <c r="V341" s="159" t="s">
        <v>75</v>
      </c>
      <c r="W341" s="159" t="s">
        <v>382</v>
      </c>
      <c r="X341" s="159" t="s">
        <v>75</v>
      </c>
      <c r="Y341" s="159" t="s">
        <v>383</v>
      </c>
      <c r="Z341" s="159" t="s">
        <v>132</v>
      </c>
      <c r="AA341" s="159" t="s">
        <v>75</v>
      </c>
      <c r="AB341" s="159" t="s">
        <v>75</v>
      </c>
      <c r="AC341" s="159" t="s">
        <v>110</v>
      </c>
      <c r="AD341" s="159" t="s">
        <v>75</v>
      </c>
      <c r="AE341" s="159">
        <v>1</v>
      </c>
    </row>
    <row r="342" spans="1:31" s="149" customFormat="1" ht="25.05" customHeight="1" x14ac:dyDescent="0.3">
      <c r="A342" s="153" t="s">
        <v>384</v>
      </c>
      <c r="B342" s="153" t="s">
        <v>385</v>
      </c>
      <c r="C342" s="155" t="s">
        <v>78</v>
      </c>
      <c r="D342" s="155" t="s">
        <v>549</v>
      </c>
      <c r="E342" s="153" t="s">
        <v>115</v>
      </c>
      <c r="F342" s="153" t="s">
        <v>73</v>
      </c>
      <c r="G342" s="153" t="s">
        <v>81</v>
      </c>
      <c r="H342" s="153">
        <v>3000000</v>
      </c>
      <c r="I342" s="156">
        <v>4320810</v>
      </c>
      <c r="J342" s="153" t="s">
        <v>81</v>
      </c>
      <c r="K342" s="153">
        <v>0</v>
      </c>
      <c r="L342" s="153" t="s">
        <v>81</v>
      </c>
      <c r="M342" s="153">
        <v>0</v>
      </c>
      <c r="N342" s="153" t="s">
        <v>81</v>
      </c>
      <c r="O342" s="153">
        <v>0</v>
      </c>
      <c r="P342" s="158">
        <v>0</v>
      </c>
      <c r="Q342" s="153">
        <v>0</v>
      </c>
      <c r="R342" s="155">
        <v>0</v>
      </c>
      <c r="S342" s="153">
        <v>0</v>
      </c>
      <c r="T342" s="153">
        <v>0</v>
      </c>
      <c r="U342" s="153">
        <v>0</v>
      </c>
      <c r="V342" s="159" t="s">
        <v>81</v>
      </c>
      <c r="W342" s="159">
        <v>0</v>
      </c>
      <c r="X342" s="159" t="s">
        <v>81</v>
      </c>
      <c r="Y342" s="159">
        <v>0</v>
      </c>
      <c r="Z342" s="159" t="s">
        <v>121</v>
      </c>
      <c r="AA342" s="159" t="s">
        <v>75</v>
      </c>
      <c r="AB342" s="159" t="s">
        <v>75</v>
      </c>
      <c r="AC342" s="159" t="s">
        <v>84</v>
      </c>
      <c r="AD342" s="159" t="s">
        <v>81</v>
      </c>
      <c r="AE342" s="159">
        <v>1</v>
      </c>
    </row>
    <row r="343" spans="1:31" s="149" customFormat="1" ht="25.05" customHeight="1" x14ac:dyDescent="0.3">
      <c r="A343" s="153" t="s">
        <v>386</v>
      </c>
      <c r="B343" s="153" t="s">
        <v>387</v>
      </c>
      <c r="C343" s="155" t="s">
        <v>78</v>
      </c>
      <c r="D343" s="155" t="s">
        <v>543</v>
      </c>
      <c r="E343" s="153" t="s">
        <v>101</v>
      </c>
      <c r="F343" s="153" t="s">
        <v>103</v>
      </c>
      <c r="G343" s="153" t="s">
        <v>81</v>
      </c>
      <c r="H343" s="153">
        <v>76023144.824090883</v>
      </c>
      <c r="I343" s="156">
        <v>109493854.79579337</v>
      </c>
      <c r="J343" s="153" t="s">
        <v>81</v>
      </c>
      <c r="K343" s="153">
        <v>0</v>
      </c>
      <c r="L343" s="153" t="s">
        <v>81</v>
      </c>
      <c r="M343" s="153">
        <v>0</v>
      </c>
      <c r="N343" s="153" t="s">
        <v>81</v>
      </c>
      <c r="O343" s="153">
        <v>0</v>
      </c>
      <c r="P343" s="158">
        <v>0</v>
      </c>
      <c r="Q343" s="153">
        <v>0</v>
      </c>
      <c r="R343" s="155">
        <v>0</v>
      </c>
      <c r="S343" s="153">
        <v>0</v>
      </c>
      <c r="T343" s="153">
        <v>0</v>
      </c>
      <c r="U343" s="153">
        <v>0</v>
      </c>
      <c r="V343" s="159" t="s">
        <v>81</v>
      </c>
      <c r="W343" s="159">
        <v>0</v>
      </c>
      <c r="X343" s="159" t="s">
        <v>81</v>
      </c>
      <c r="Y343" s="159">
        <v>0</v>
      </c>
      <c r="Z343" s="159" t="s">
        <v>121</v>
      </c>
      <c r="AA343" s="159" t="s">
        <v>75</v>
      </c>
      <c r="AB343" s="159" t="s">
        <v>75</v>
      </c>
      <c r="AC343" s="159" t="s">
        <v>84</v>
      </c>
      <c r="AD343" s="159" t="s">
        <v>81</v>
      </c>
      <c r="AE343" s="159">
        <v>1</v>
      </c>
    </row>
    <row r="344" spans="1:31" s="149" customFormat="1" ht="25.05" customHeight="1" x14ac:dyDescent="0.3">
      <c r="A344" s="153" t="s">
        <v>388</v>
      </c>
      <c r="B344" s="153" t="s">
        <v>389</v>
      </c>
      <c r="C344" s="155" t="s">
        <v>78</v>
      </c>
      <c r="D344" s="155" t="s">
        <v>559</v>
      </c>
      <c r="E344" s="153" t="s">
        <v>101</v>
      </c>
      <c r="F344" s="153" t="s">
        <v>103</v>
      </c>
      <c r="G344" s="153" t="s">
        <v>81</v>
      </c>
      <c r="H344" s="153">
        <v>54905604.595176749</v>
      </c>
      <c r="I344" s="156">
        <v>79078895.130295217</v>
      </c>
      <c r="J344" s="153" t="s">
        <v>75</v>
      </c>
      <c r="K344" s="153" t="s">
        <v>391</v>
      </c>
      <c r="L344" s="153" t="s">
        <v>81</v>
      </c>
      <c r="M344" s="153">
        <v>0</v>
      </c>
      <c r="N344" s="153" t="s">
        <v>75</v>
      </c>
      <c r="O344" s="153">
        <v>0</v>
      </c>
      <c r="P344" s="158" t="s">
        <v>78</v>
      </c>
      <c r="Q344" s="153">
        <v>0</v>
      </c>
      <c r="R344" s="155" t="s">
        <v>78</v>
      </c>
      <c r="S344" s="153">
        <v>1</v>
      </c>
      <c r="T344" s="153" t="s">
        <v>392</v>
      </c>
      <c r="U344" s="153">
        <v>1</v>
      </c>
      <c r="V344" s="159" t="s">
        <v>81</v>
      </c>
      <c r="W344" s="159">
        <v>0</v>
      </c>
      <c r="X344" s="159" t="s">
        <v>75</v>
      </c>
      <c r="Y344" s="159" t="s">
        <v>393</v>
      </c>
      <c r="Z344" s="159" t="s">
        <v>132</v>
      </c>
      <c r="AA344" s="159" t="s">
        <v>75</v>
      </c>
      <c r="AB344" s="159" t="s">
        <v>81</v>
      </c>
      <c r="AC344" s="159" t="s">
        <v>84</v>
      </c>
      <c r="AD344" s="159" t="s">
        <v>81</v>
      </c>
      <c r="AE344" s="159">
        <v>1</v>
      </c>
    </row>
    <row r="345" spans="1:31" s="149" customFormat="1" ht="25.05" customHeight="1" x14ac:dyDescent="0.3">
      <c r="A345" s="153" t="s">
        <v>394</v>
      </c>
      <c r="B345" s="153" t="s">
        <v>395</v>
      </c>
      <c r="C345" s="155" t="s">
        <v>78</v>
      </c>
      <c r="D345" s="155" t="s">
        <v>545</v>
      </c>
      <c r="E345" s="153" t="s">
        <v>101</v>
      </c>
      <c r="F345" s="153" t="s">
        <v>73</v>
      </c>
      <c r="G345" s="153" t="s">
        <v>81</v>
      </c>
      <c r="H345" s="153">
        <v>3000000</v>
      </c>
      <c r="I345" s="156">
        <v>4320810</v>
      </c>
      <c r="J345" s="153" t="s">
        <v>81</v>
      </c>
      <c r="K345" s="153">
        <v>0</v>
      </c>
      <c r="L345" s="153" t="s">
        <v>81</v>
      </c>
      <c r="M345" s="153">
        <v>0</v>
      </c>
      <c r="N345" s="153" t="s">
        <v>81</v>
      </c>
      <c r="O345" s="153">
        <v>0</v>
      </c>
      <c r="P345" s="158">
        <v>0</v>
      </c>
      <c r="Q345" s="153">
        <v>0</v>
      </c>
      <c r="R345" s="155">
        <v>0</v>
      </c>
      <c r="S345" s="153">
        <v>0</v>
      </c>
      <c r="T345" s="153">
        <v>0</v>
      </c>
      <c r="U345" s="153">
        <v>0</v>
      </c>
      <c r="V345" s="159" t="s">
        <v>81</v>
      </c>
      <c r="W345" s="159">
        <v>0</v>
      </c>
      <c r="X345" s="159" t="s">
        <v>81</v>
      </c>
      <c r="Y345" s="159">
        <v>0</v>
      </c>
      <c r="Z345" s="159" t="s">
        <v>397</v>
      </c>
      <c r="AA345" s="159" t="s">
        <v>75</v>
      </c>
      <c r="AB345" s="159" t="s">
        <v>81</v>
      </c>
      <c r="AC345" s="159" t="s">
        <v>84</v>
      </c>
      <c r="AD345" s="159" t="s">
        <v>81</v>
      </c>
      <c r="AE345" s="159">
        <v>1</v>
      </c>
    </row>
    <row r="346" spans="1:31" s="149" customFormat="1" ht="25.05" customHeight="1" x14ac:dyDescent="0.3">
      <c r="A346" s="153" t="s">
        <v>398</v>
      </c>
      <c r="B346" s="153" t="s">
        <v>399</v>
      </c>
      <c r="C346" s="155" t="s">
        <v>78</v>
      </c>
      <c r="D346" s="155" t="s">
        <v>557</v>
      </c>
      <c r="E346" s="153" t="s">
        <v>228</v>
      </c>
      <c r="F346" s="153" t="s">
        <v>290</v>
      </c>
      <c r="G346" s="153" t="s">
        <v>81</v>
      </c>
      <c r="H346" s="153">
        <v>3660000</v>
      </c>
      <c r="I346" s="156">
        <v>5271388.2</v>
      </c>
      <c r="J346" s="153" t="s">
        <v>75</v>
      </c>
      <c r="K346" s="153" t="s">
        <v>400</v>
      </c>
      <c r="L346" s="153" t="s">
        <v>81</v>
      </c>
      <c r="M346" s="153">
        <v>0</v>
      </c>
      <c r="N346" s="153" t="s">
        <v>75</v>
      </c>
      <c r="O346" s="153">
        <v>0</v>
      </c>
      <c r="P346" s="158" t="s">
        <v>78</v>
      </c>
      <c r="Q346" s="153">
        <v>0</v>
      </c>
      <c r="R346" s="155" t="s">
        <v>78</v>
      </c>
      <c r="S346" s="153">
        <v>1</v>
      </c>
      <c r="T346" s="153" t="s">
        <v>401</v>
      </c>
      <c r="U346" s="153">
        <v>1</v>
      </c>
      <c r="V346" s="159" t="s">
        <v>75</v>
      </c>
      <c r="W346" s="159" t="s">
        <v>402</v>
      </c>
      <c r="X346" s="159" t="s">
        <v>75</v>
      </c>
      <c r="Y346" s="159" t="s">
        <v>403</v>
      </c>
      <c r="Z346" s="159" t="s">
        <v>121</v>
      </c>
      <c r="AA346" s="159" t="s">
        <v>75</v>
      </c>
      <c r="AB346" s="159" t="s">
        <v>75</v>
      </c>
      <c r="AC346" s="159" t="s">
        <v>84</v>
      </c>
      <c r="AD346" s="159" t="s">
        <v>81</v>
      </c>
      <c r="AE346" s="159">
        <v>1</v>
      </c>
    </row>
    <row r="347" spans="1:31" s="149" customFormat="1" ht="25.05" customHeight="1" x14ac:dyDescent="0.3">
      <c r="A347" s="153" t="s">
        <v>404</v>
      </c>
      <c r="B347" s="153" t="s">
        <v>405</v>
      </c>
      <c r="C347" s="155" t="s">
        <v>78</v>
      </c>
      <c r="D347" s="155" t="s">
        <v>556</v>
      </c>
      <c r="E347" s="153" t="s">
        <v>101</v>
      </c>
      <c r="F347" s="153" t="s">
        <v>103</v>
      </c>
      <c r="G347" s="153" t="s">
        <v>81</v>
      </c>
      <c r="H347" s="153">
        <v>13886285.210411938</v>
      </c>
      <c r="I347" s="156">
        <v>20000000</v>
      </c>
      <c r="J347" s="153" t="s">
        <v>81</v>
      </c>
      <c r="K347" s="153">
        <v>0</v>
      </c>
      <c r="L347" s="153" t="s">
        <v>81</v>
      </c>
      <c r="M347" s="153">
        <v>0</v>
      </c>
      <c r="N347" s="153" t="s">
        <v>81</v>
      </c>
      <c r="O347" s="153">
        <v>0</v>
      </c>
      <c r="P347" s="158">
        <v>0</v>
      </c>
      <c r="Q347" s="153">
        <v>0</v>
      </c>
      <c r="R347" s="155">
        <v>0</v>
      </c>
      <c r="S347" s="153">
        <v>0</v>
      </c>
      <c r="T347" s="153">
        <v>0</v>
      </c>
      <c r="U347" s="153">
        <v>0</v>
      </c>
      <c r="V347" s="159" t="s">
        <v>81</v>
      </c>
      <c r="W347" s="159">
        <v>0</v>
      </c>
      <c r="X347" s="159" t="s">
        <v>81</v>
      </c>
      <c r="Y347" s="159">
        <v>0</v>
      </c>
      <c r="Z347" s="159" t="s">
        <v>121</v>
      </c>
      <c r="AA347" s="159" t="s">
        <v>75</v>
      </c>
      <c r="AB347" s="159" t="s">
        <v>81</v>
      </c>
      <c r="AC347" s="159" t="s">
        <v>84</v>
      </c>
      <c r="AD347" s="159" t="s">
        <v>81</v>
      </c>
      <c r="AE347" s="159">
        <v>1</v>
      </c>
    </row>
    <row r="348" spans="1:31" s="149" customFormat="1" ht="25.05" customHeight="1" x14ac:dyDescent="0.3">
      <c r="A348" s="153" t="s">
        <v>406</v>
      </c>
      <c r="B348" s="153" t="s">
        <v>407</v>
      </c>
      <c r="C348" s="155" t="s">
        <v>78</v>
      </c>
      <c r="D348" s="155" t="s">
        <v>536</v>
      </c>
      <c r="E348" s="153" t="s">
        <v>228</v>
      </c>
      <c r="F348" s="153" t="s">
        <v>73</v>
      </c>
      <c r="G348" s="153" t="s">
        <v>81</v>
      </c>
      <c r="H348" s="153">
        <v>33250000</v>
      </c>
      <c r="I348" s="156">
        <v>47888977.5</v>
      </c>
      <c r="J348" s="153" t="s">
        <v>75</v>
      </c>
      <c r="K348" s="153" t="s">
        <v>408</v>
      </c>
      <c r="L348" s="153" t="s">
        <v>81</v>
      </c>
      <c r="M348" s="153">
        <v>0</v>
      </c>
      <c r="N348" s="153" t="s">
        <v>75</v>
      </c>
      <c r="O348" s="153">
        <v>0</v>
      </c>
      <c r="P348" s="158" t="s">
        <v>78</v>
      </c>
      <c r="Q348" s="153">
        <v>0</v>
      </c>
      <c r="R348" s="155" t="s">
        <v>78</v>
      </c>
      <c r="S348" s="153">
        <v>3</v>
      </c>
      <c r="T348" s="153" t="s">
        <v>409</v>
      </c>
      <c r="U348" s="153">
        <v>3</v>
      </c>
      <c r="V348" s="159" t="s">
        <v>81</v>
      </c>
      <c r="W348" s="159">
        <v>0</v>
      </c>
      <c r="X348" s="159" t="s">
        <v>75</v>
      </c>
      <c r="Y348" s="159" t="s">
        <v>410</v>
      </c>
      <c r="Z348" s="159" t="s">
        <v>121</v>
      </c>
      <c r="AA348" s="159" t="s">
        <v>75</v>
      </c>
      <c r="AB348" s="159" t="s">
        <v>75</v>
      </c>
      <c r="AC348" s="159" t="s">
        <v>110</v>
      </c>
      <c r="AD348" s="159" t="s">
        <v>81</v>
      </c>
      <c r="AE348" s="159">
        <v>1</v>
      </c>
    </row>
    <row r="349" spans="1:31" s="149" customFormat="1" ht="25.05" customHeight="1" x14ac:dyDescent="0.3">
      <c r="A349" s="153" t="s">
        <v>411</v>
      </c>
      <c r="B349" s="153" t="s">
        <v>412</v>
      </c>
      <c r="C349" s="155" t="s">
        <v>78</v>
      </c>
      <c r="D349" s="155" t="s">
        <v>565</v>
      </c>
      <c r="E349" s="153" t="s">
        <v>101</v>
      </c>
      <c r="F349" s="153" t="s">
        <v>103</v>
      </c>
      <c r="G349" s="153" t="s">
        <v>81</v>
      </c>
      <c r="H349" s="153">
        <v>50682096.549393922</v>
      </c>
      <c r="I349" s="156">
        <v>72995903.197195575</v>
      </c>
      <c r="J349" s="153" t="s">
        <v>81</v>
      </c>
      <c r="K349" s="153">
        <v>0</v>
      </c>
      <c r="L349" s="153" t="s">
        <v>81</v>
      </c>
      <c r="M349" s="153">
        <v>0</v>
      </c>
      <c r="N349" s="153" t="s">
        <v>81</v>
      </c>
      <c r="O349" s="153">
        <v>0</v>
      </c>
      <c r="P349" s="158">
        <v>0</v>
      </c>
      <c r="Q349" s="153">
        <v>0</v>
      </c>
      <c r="R349" s="155">
        <v>0</v>
      </c>
      <c r="S349" s="153">
        <v>0</v>
      </c>
      <c r="T349" s="153">
        <v>0</v>
      </c>
      <c r="U349" s="153">
        <v>0</v>
      </c>
      <c r="V349" s="159" t="s">
        <v>81</v>
      </c>
      <c r="W349" s="159">
        <v>0</v>
      </c>
      <c r="X349" s="159" t="s">
        <v>81</v>
      </c>
      <c r="Y349" s="159">
        <v>0</v>
      </c>
      <c r="Z349" s="159" t="s">
        <v>121</v>
      </c>
      <c r="AA349" s="159" t="s">
        <v>75</v>
      </c>
      <c r="AB349" s="159" t="s">
        <v>75</v>
      </c>
      <c r="AC349" s="159" t="s">
        <v>84</v>
      </c>
      <c r="AD349" s="159" t="s">
        <v>81</v>
      </c>
      <c r="AE349" s="159">
        <v>1</v>
      </c>
    </row>
    <row r="350" spans="1:31" s="149" customFormat="1" ht="25.05" customHeight="1" x14ac:dyDescent="0.3">
      <c r="A350" s="153" t="s">
        <v>413</v>
      </c>
      <c r="B350" s="153" t="s">
        <v>414</v>
      </c>
      <c r="C350" s="155" t="s">
        <v>415</v>
      </c>
      <c r="D350" s="155" t="s">
        <v>1848</v>
      </c>
      <c r="E350" s="153" t="s">
        <v>101</v>
      </c>
      <c r="F350" s="153" t="s">
        <v>73</v>
      </c>
      <c r="G350" s="153" t="s">
        <v>81</v>
      </c>
      <c r="H350" s="153">
        <v>10000000</v>
      </c>
      <c r="I350" s="156">
        <v>14402700</v>
      </c>
      <c r="J350" s="153" t="s">
        <v>81</v>
      </c>
      <c r="K350" s="153">
        <v>0</v>
      </c>
      <c r="L350" s="153" t="s">
        <v>81</v>
      </c>
      <c r="M350" s="153">
        <v>0</v>
      </c>
      <c r="N350" s="153" t="s">
        <v>75</v>
      </c>
      <c r="O350" s="153">
        <v>0</v>
      </c>
      <c r="P350" s="158" t="s">
        <v>78</v>
      </c>
      <c r="Q350" s="153">
        <v>0</v>
      </c>
      <c r="R350" s="155" t="s">
        <v>78</v>
      </c>
      <c r="S350" s="153">
        <v>1</v>
      </c>
      <c r="T350" s="153" t="s">
        <v>416</v>
      </c>
      <c r="U350" s="153">
        <v>1</v>
      </c>
      <c r="V350" s="159" t="s">
        <v>81</v>
      </c>
      <c r="W350" s="159">
        <v>0</v>
      </c>
      <c r="X350" s="159" t="s">
        <v>81</v>
      </c>
      <c r="Y350" s="159">
        <v>0</v>
      </c>
      <c r="Z350" s="159" t="s">
        <v>121</v>
      </c>
      <c r="AA350" s="159" t="s">
        <v>75</v>
      </c>
      <c r="AB350" s="159" t="s">
        <v>75</v>
      </c>
      <c r="AC350" s="159" t="s">
        <v>84</v>
      </c>
      <c r="AD350" s="159" t="s">
        <v>81</v>
      </c>
      <c r="AE350" s="159">
        <v>1</v>
      </c>
    </row>
    <row r="351" spans="1:31" s="149" customFormat="1" ht="25.05" customHeight="1" x14ac:dyDescent="0.3">
      <c r="A351" s="153" t="s">
        <v>417</v>
      </c>
      <c r="B351" s="153" t="s">
        <v>418</v>
      </c>
      <c r="C351" s="155" t="s">
        <v>78</v>
      </c>
      <c r="D351" s="155" t="s">
        <v>563</v>
      </c>
      <c r="E351" s="153" t="s">
        <v>228</v>
      </c>
      <c r="F351" s="153" t="s">
        <v>116</v>
      </c>
      <c r="G351" s="153" t="s">
        <v>81</v>
      </c>
      <c r="H351" s="153">
        <v>210000000</v>
      </c>
      <c r="I351" s="156">
        <v>302456700</v>
      </c>
      <c r="J351" s="153" t="s">
        <v>75</v>
      </c>
      <c r="K351" s="153" t="s">
        <v>420</v>
      </c>
      <c r="L351" s="153" t="s">
        <v>81</v>
      </c>
      <c r="M351" s="153">
        <v>0</v>
      </c>
      <c r="N351" s="153" t="s">
        <v>75</v>
      </c>
      <c r="O351" s="153">
        <v>0</v>
      </c>
      <c r="P351" s="158" t="s">
        <v>78</v>
      </c>
      <c r="Q351" s="153">
        <v>0</v>
      </c>
      <c r="R351" s="155" t="s">
        <v>78</v>
      </c>
      <c r="S351" s="153">
        <v>2</v>
      </c>
      <c r="T351" s="153" t="s">
        <v>421</v>
      </c>
      <c r="U351" s="153">
        <v>2</v>
      </c>
      <c r="V351" s="159" t="s">
        <v>81</v>
      </c>
      <c r="W351" s="159">
        <v>0</v>
      </c>
      <c r="X351" s="159" t="s">
        <v>75</v>
      </c>
      <c r="Y351" s="159" t="s">
        <v>422</v>
      </c>
      <c r="Z351" s="159" t="s">
        <v>423</v>
      </c>
      <c r="AA351" s="159" t="s">
        <v>75</v>
      </c>
      <c r="AB351" s="159" t="s">
        <v>75</v>
      </c>
      <c r="AC351" s="159" t="s">
        <v>110</v>
      </c>
      <c r="AD351" s="159" t="s">
        <v>81</v>
      </c>
      <c r="AE351" s="159">
        <v>1</v>
      </c>
    </row>
    <row r="352" spans="1:31" s="149" customFormat="1" ht="25.05" customHeight="1" x14ac:dyDescent="0.3">
      <c r="A352" s="153" t="s">
        <v>424</v>
      </c>
      <c r="B352" s="153" t="s">
        <v>425</v>
      </c>
      <c r="C352" s="155" t="s">
        <v>78</v>
      </c>
      <c r="D352" s="155" t="s">
        <v>546</v>
      </c>
      <c r="E352" s="153" t="s">
        <v>256</v>
      </c>
      <c r="F352" s="153" t="s">
        <v>116</v>
      </c>
      <c r="G352" s="153" t="s">
        <v>81</v>
      </c>
      <c r="H352" s="153">
        <v>59100000</v>
      </c>
      <c r="I352" s="156">
        <v>85119957</v>
      </c>
      <c r="J352" s="153" t="s">
        <v>75</v>
      </c>
      <c r="K352" s="153" t="s">
        <v>426</v>
      </c>
      <c r="L352" s="153" t="s">
        <v>75</v>
      </c>
      <c r="M352" s="153" t="s">
        <v>427</v>
      </c>
      <c r="N352" s="153" t="s">
        <v>75</v>
      </c>
      <c r="O352" s="153">
        <v>0</v>
      </c>
      <c r="P352" s="158" t="s">
        <v>78</v>
      </c>
      <c r="Q352" s="153">
        <v>1</v>
      </c>
      <c r="R352" s="155" t="s">
        <v>428</v>
      </c>
      <c r="S352" s="153">
        <v>1</v>
      </c>
      <c r="T352" s="153" t="s">
        <v>429</v>
      </c>
      <c r="U352" s="153">
        <v>2</v>
      </c>
      <c r="V352" s="159" t="s">
        <v>81</v>
      </c>
      <c r="W352" s="159">
        <v>0</v>
      </c>
      <c r="X352" s="159" t="s">
        <v>75</v>
      </c>
      <c r="Y352" s="159" t="s">
        <v>430</v>
      </c>
      <c r="Z352" s="159" t="s">
        <v>132</v>
      </c>
      <c r="AA352" s="159" t="s">
        <v>75</v>
      </c>
      <c r="AB352" s="159" t="s">
        <v>75</v>
      </c>
      <c r="AC352" s="159" t="s">
        <v>110</v>
      </c>
      <c r="AD352" s="159" t="s">
        <v>75</v>
      </c>
      <c r="AE352" s="159">
        <v>1</v>
      </c>
    </row>
    <row r="353" spans="1:31" s="149" customFormat="1" ht="25.05" customHeight="1" x14ac:dyDescent="0.3">
      <c r="A353" s="153" t="s">
        <v>431</v>
      </c>
      <c r="B353" s="153" t="s">
        <v>432</v>
      </c>
      <c r="C353" s="155" t="s">
        <v>78</v>
      </c>
      <c r="D353" s="155" t="s">
        <v>564</v>
      </c>
      <c r="E353" s="153" t="s">
        <v>101</v>
      </c>
      <c r="F353" s="153" t="s">
        <v>73</v>
      </c>
      <c r="G353" s="153" t="s">
        <v>81</v>
      </c>
      <c r="H353" s="153">
        <v>10500000</v>
      </c>
      <c r="I353" s="156">
        <v>15122835</v>
      </c>
      <c r="J353" s="153" t="s">
        <v>81</v>
      </c>
      <c r="K353" s="153">
        <v>0</v>
      </c>
      <c r="L353" s="153" t="s">
        <v>81</v>
      </c>
      <c r="M353" s="153">
        <v>0</v>
      </c>
      <c r="N353" s="153" t="s">
        <v>75</v>
      </c>
      <c r="O353" s="153">
        <v>1</v>
      </c>
      <c r="P353" s="158" t="s">
        <v>434</v>
      </c>
      <c r="Q353" s="153">
        <v>0</v>
      </c>
      <c r="R353" s="155" t="s">
        <v>78</v>
      </c>
      <c r="S353" s="153">
        <v>1</v>
      </c>
      <c r="T353" s="153" t="s">
        <v>435</v>
      </c>
      <c r="U353" s="153">
        <v>2</v>
      </c>
      <c r="V353" s="159" t="s">
        <v>81</v>
      </c>
      <c r="W353" s="159">
        <v>0</v>
      </c>
      <c r="X353" s="159" t="s">
        <v>81</v>
      </c>
      <c r="Y353" s="159">
        <v>0</v>
      </c>
      <c r="Z353" s="159" t="s">
        <v>121</v>
      </c>
      <c r="AA353" s="159" t="s">
        <v>75</v>
      </c>
      <c r="AB353" s="159" t="s">
        <v>75</v>
      </c>
      <c r="AC353" s="159" t="s">
        <v>84</v>
      </c>
      <c r="AD353" s="159" t="s">
        <v>81</v>
      </c>
      <c r="AE353" s="159">
        <v>1</v>
      </c>
    </row>
    <row r="354" spans="1:31" s="149" customFormat="1" ht="25.05" customHeight="1" x14ac:dyDescent="0.3">
      <c r="A354" s="153" t="s">
        <v>436</v>
      </c>
      <c r="B354" s="153" t="s">
        <v>437</v>
      </c>
      <c r="C354" s="155" t="s">
        <v>78</v>
      </c>
      <c r="D354" s="155" t="s">
        <v>530</v>
      </c>
      <c r="E354" s="153" t="s">
        <v>101</v>
      </c>
      <c r="F354" s="153" t="s">
        <v>103</v>
      </c>
      <c r="G354" s="153" t="s">
        <v>81</v>
      </c>
      <c r="H354" s="153">
        <v>10000000</v>
      </c>
      <c r="I354" s="156">
        <v>13995899.999999998</v>
      </c>
      <c r="J354" s="153" t="s">
        <v>81</v>
      </c>
      <c r="K354" s="153">
        <v>0</v>
      </c>
      <c r="L354" s="153" t="s">
        <v>81</v>
      </c>
      <c r="M354" s="153">
        <v>0</v>
      </c>
      <c r="N354" s="153" t="s">
        <v>81</v>
      </c>
      <c r="O354" s="153">
        <v>0</v>
      </c>
      <c r="P354" s="158">
        <v>0</v>
      </c>
      <c r="Q354" s="153">
        <v>0</v>
      </c>
      <c r="R354" s="155">
        <v>0</v>
      </c>
      <c r="S354" s="153">
        <v>0</v>
      </c>
      <c r="T354" s="153">
        <v>0</v>
      </c>
      <c r="U354" s="153">
        <v>0</v>
      </c>
      <c r="V354" s="159" t="s">
        <v>81</v>
      </c>
      <c r="W354" s="159">
        <v>0</v>
      </c>
      <c r="X354" s="159" t="s">
        <v>81</v>
      </c>
      <c r="Y354" s="159">
        <v>0</v>
      </c>
      <c r="Z354" s="159" t="s">
        <v>121</v>
      </c>
      <c r="AA354" s="159" t="s">
        <v>75</v>
      </c>
      <c r="AB354" s="159" t="s">
        <v>81</v>
      </c>
      <c r="AC354" s="159" t="s">
        <v>84</v>
      </c>
      <c r="AD354" s="159" t="s">
        <v>81</v>
      </c>
      <c r="AE354" s="159">
        <v>1</v>
      </c>
    </row>
    <row r="355" spans="1:31" s="149" customFormat="1" ht="25.05" customHeight="1" x14ac:dyDescent="0.3">
      <c r="A355" s="153" t="s">
        <v>438</v>
      </c>
      <c r="B355" s="153" t="s">
        <v>439</v>
      </c>
      <c r="C355" s="155" t="s">
        <v>440</v>
      </c>
      <c r="D355" s="155" t="s">
        <v>1848</v>
      </c>
      <c r="E355" s="153" t="s">
        <v>101</v>
      </c>
      <c r="F355" s="153" t="s">
        <v>73</v>
      </c>
      <c r="G355" s="153" t="s">
        <v>81</v>
      </c>
      <c r="H355" s="153">
        <v>2000000</v>
      </c>
      <c r="I355" s="156">
        <v>2799180</v>
      </c>
      <c r="J355" s="153" t="s">
        <v>81</v>
      </c>
      <c r="K355" s="153">
        <v>0</v>
      </c>
      <c r="L355" s="153" t="s">
        <v>81</v>
      </c>
      <c r="M355" s="153">
        <v>0</v>
      </c>
      <c r="N355" s="153" t="s">
        <v>75</v>
      </c>
      <c r="O355" s="153">
        <v>0</v>
      </c>
      <c r="P355" s="158" t="s">
        <v>78</v>
      </c>
      <c r="Q355" s="153">
        <v>0</v>
      </c>
      <c r="R355" s="155" t="s">
        <v>78</v>
      </c>
      <c r="S355" s="153">
        <v>1</v>
      </c>
      <c r="T355" s="153" t="s">
        <v>441</v>
      </c>
      <c r="U355" s="153">
        <v>1</v>
      </c>
      <c r="V355" s="159" t="s">
        <v>75</v>
      </c>
      <c r="W355" s="159" t="s">
        <v>442</v>
      </c>
      <c r="X355" s="159" t="s">
        <v>81</v>
      </c>
      <c r="Y355" s="159">
        <v>0</v>
      </c>
      <c r="Z355" s="159" t="s">
        <v>121</v>
      </c>
      <c r="AA355" s="159" t="s">
        <v>75</v>
      </c>
      <c r="AB355" s="159" t="s">
        <v>81</v>
      </c>
      <c r="AC355" s="159" t="s">
        <v>84</v>
      </c>
      <c r="AD355" s="159" t="s">
        <v>81</v>
      </c>
      <c r="AE355" s="159">
        <v>1</v>
      </c>
    </row>
    <row r="356" spans="1:31" s="149" customFormat="1" ht="25.05" customHeight="1" x14ac:dyDescent="0.3">
      <c r="A356" s="153" t="s">
        <v>443</v>
      </c>
      <c r="B356" s="153" t="s">
        <v>444</v>
      </c>
      <c r="C356" s="155" t="s">
        <v>78</v>
      </c>
      <c r="D356" s="155" t="s">
        <v>552</v>
      </c>
      <c r="E356" s="153" t="s">
        <v>228</v>
      </c>
      <c r="F356" s="153" t="s">
        <v>73</v>
      </c>
      <c r="G356" s="153" t="s">
        <v>81</v>
      </c>
      <c r="H356" s="153">
        <v>15000000</v>
      </c>
      <c r="I356" s="156">
        <v>21604050</v>
      </c>
      <c r="J356" s="153" t="s">
        <v>75</v>
      </c>
      <c r="K356" s="153" t="s">
        <v>446</v>
      </c>
      <c r="L356" s="153" t="s">
        <v>81</v>
      </c>
      <c r="M356" s="153">
        <v>0</v>
      </c>
      <c r="N356" s="153" t="s">
        <v>75</v>
      </c>
      <c r="O356" s="153">
        <v>0</v>
      </c>
      <c r="P356" s="158" t="s">
        <v>78</v>
      </c>
      <c r="Q356" s="153">
        <v>0</v>
      </c>
      <c r="R356" s="155" t="s">
        <v>78</v>
      </c>
      <c r="S356" s="153">
        <v>2</v>
      </c>
      <c r="T356" s="153" t="s">
        <v>447</v>
      </c>
      <c r="U356" s="153">
        <v>2</v>
      </c>
      <c r="V356" s="159" t="s">
        <v>75</v>
      </c>
      <c r="W356" s="159" t="s">
        <v>448</v>
      </c>
      <c r="X356" s="159" t="s">
        <v>75</v>
      </c>
      <c r="Y356" s="159" t="s">
        <v>449</v>
      </c>
      <c r="Z356" s="159" t="s">
        <v>132</v>
      </c>
      <c r="AA356" s="159" t="s">
        <v>75</v>
      </c>
      <c r="AB356" s="159" t="s">
        <v>75</v>
      </c>
      <c r="AC356" s="159" t="s">
        <v>110</v>
      </c>
      <c r="AD356" s="159" t="s">
        <v>81</v>
      </c>
      <c r="AE356" s="159">
        <v>1</v>
      </c>
    </row>
    <row r="357" spans="1:31" s="149" customFormat="1" ht="25.05" customHeight="1" x14ac:dyDescent="0.3">
      <c r="A357" s="153" t="s">
        <v>450</v>
      </c>
      <c r="B357" s="153" t="s">
        <v>451</v>
      </c>
      <c r="C357" s="155" t="s">
        <v>452</v>
      </c>
      <c r="D357" s="155" t="s">
        <v>1848</v>
      </c>
      <c r="E357" s="153" t="s">
        <v>101</v>
      </c>
      <c r="F357" s="153" t="s">
        <v>73</v>
      </c>
      <c r="G357" s="153" t="s">
        <v>81</v>
      </c>
      <c r="H357" s="153">
        <v>5000000</v>
      </c>
      <c r="I357" s="156">
        <v>7201350</v>
      </c>
      <c r="J357" s="153" t="s">
        <v>81</v>
      </c>
      <c r="K357" s="153">
        <v>0</v>
      </c>
      <c r="L357" s="153" t="s">
        <v>81</v>
      </c>
      <c r="M357" s="153">
        <v>0</v>
      </c>
      <c r="N357" s="153" t="s">
        <v>81</v>
      </c>
      <c r="O357" s="153">
        <v>0</v>
      </c>
      <c r="P357" s="158">
        <v>0</v>
      </c>
      <c r="Q357" s="153">
        <v>0</v>
      </c>
      <c r="R357" s="155">
        <v>0</v>
      </c>
      <c r="S357" s="153">
        <v>0</v>
      </c>
      <c r="T357" s="153">
        <v>0</v>
      </c>
      <c r="U357" s="153">
        <v>0</v>
      </c>
      <c r="V357" s="159" t="s">
        <v>81</v>
      </c>
      <c r="W357" s="159">
        <v>0</v>
      </c>
      <c r="X357" s="159" t="s">
        <v>81</v>
      </c>
      <c r="Y357" s="159">
        <v>0</v>
      </c>
      <c r="Z357" s="159" t="s">
        <v>121</v>
      </c>
      <c r="AA357" s="159" t="s">
        <v>75</v>
      </c>
      <c r="AB357" s="159" t="s">
        <v>81</v>
      </c>
      <c r="AC357" s="159" t="s">
        <v>84</v>
      </c>
      <c r="AD357" s="159" t="s">
        <v>81</v>
      </c>
      <c r="AE357" s="159">
        <v>1</v>
      </c>
    </row>
    <row r="358" spans="1:31" s="149" customFormat="1" ht="25.05" customHeight="1" x14ac:dyDescent="0.3">
      <c r="A358" s="153" t="s">
        <v>453</v>
      </c>
      <c r="B358" s="153" t="s">
        <v>454</v>
      </c>
      <c r="C358" s="155" t="s">
        <v>78</v>
      </c>
      <c r="D358" s="155" t="s">
        <v>492</v>
      </c>
      <c r="E358" s="153" t="s">
        <v>101</v>
      </c>
      <c r="F358" s="153" t="s">
        <v>73</v>
      </c>
      <c r="G358" s="153" t="s">
        <v>81</v>
      </c>
      <c r="H358" s="163">
        <v>20000000</v>
      </c>
      <c r="I358" s="156">
        <v>28805400</v>
      </c>
      <c r="J358" s="153" t="s">
        <v>75</v>
      </c>
      <c r="K358" s="153" t="s">
        <v>455</v>
      </c>
      <c r="L358" s="153" t="s">
        <v>81</v>
      </c>
      <c r="M358" s="153">
        <v>0</v>
      </c>
      <c r="N358" s="153" t="s">
        <v>75</v>
      </c>
      <c r="O358" s="153">
        <v>0</v>
      </c>
      <c r="P358" s="158" t="s">
        <v>78</v>
      </c>
      <c r="Q358" s="153">
        <v>0</v>
      </c>
      <c r="R358" s="155" t="s">
        <v>78</v>
      </c>
      <c r="S358" s="153">
        <v>2</v>
      </c>
      <c r="T358" s="153" t="s">
        <v>456</v>
      </c>
      <c r="U358" s="153">
        <v>2</v>
      </c>
      <c r="V358" s="159" t="s">
        <v>81</v>
      </c>
      <c r="W358" s="159">
        <v>0</v>
      </c>
      <c r="X358" s="159" t="s">
        <v>75</v>
      </c>
      <c r="Y358" s="159" t="s">
        <v>457</v>
      </c>
      <c r="Z358" s="159" t="s">
        <v>121</v>
      </c>
      <c r="AA358" s="159" t="s">
        <v>75</v>
      </c>
      <c r="AB358" s="159" t="s">
        <v>75</v>
      </c>
      <c r="AC358" s="159" t="s">
        <v>84</v>
      </c>
      <c r="AD358" s="159" t="s">
        <v>81</v>
      </c>
      <c r="AE358" s="159">
        <v>1</v>
      </c>
    </row>
    <row r="359" spans="1:31" x14ac:dyDescent="0.25">
      <c r="B359" s="147" t="s">
        <v>1863</v>
      </c>
      <c r="C359" s="147" t="s">
        <v>78</v>
      </c>
      <c r="G359" s="147" t="s">
        <v>81</v>
      </c>
      <c r="H359" s="147" t="s">
        <v>659</v>
      </c>
      <c r="I359" s="147" t="s">
        <v>659</v>
      </c>
      <c r="J359" s="147" t="s">
        <v>75</v>
      </c>
      <c r="K359" s="147" t="s">
        <v>1864</v>
      </c>
      <c r="L359" s="147" t="s">
        <v>75</v>
      </c>
      <c r="M359" s="147" t="s">
        <v>1865</v>
      </c>
      <c r="N359" s="147" t="s">
        <v>75</v>
      </c>
      <c r="O359" s="147" t="s">
        <v>75</v>
      </c>
      <c r="P359" s="147" t="s">
        <v>1866</v>
      </c>
      <c r="Q359" s="147">
        <v>2</v>
      </c>
      <c r="R359" s="147" t="s">
        <v>1867</v>
      </c>
      <c r="S359" s="147">
        <v>4</v>
      </c>
      <c r="T359" s="147" t="s">
        <v>1868</v>
      </c>
      <c r="U359" s="147">
        <v>6</v>
      </c>
      <c r="V359" s="147" t="s">
        <v>81</v>
      </c>
      <c r="W359" s="147" t="s">
        <v>78</v>
      </c>
      <c r="X359" s="147" t="s">
        <v>75</v>
      </c>
      <c r="Y359" s="147" t="s">
        <v>1869</v>
      </c>
      <c r="Z359" s="147" t="s">
        <v>132</v>
      </c>
      <c r="AA359" s="147" t="s">
        <v>75</v>
      </c>
      <c r="AB359" s="147" t="s">
        <v>75</v>
      </c>
      <c r="AC359" s="147" t="s">
        <v>110</v>
      </c>
    </row>
    <row r="360" spans="1:31" x14ac:dyDescent="0.25">
      <c r="B360" s="147" t="s">
        <v>1870</v>
      </c>
      <c r="C360" s="147" t="s">
        <v>78</v>
      </c>
      <c r="G360" s="147" t="s">
        <v>81</v>
      </c>
      <c r="H360" s="147" t="s">
        <v>659</v>
      </c>
      <c r="I360" s="147" t="s">
        <v>659</v>
      </c>
      <c r="J360" s="147" t="s">
        <v>81</v>
      </c>
      <c r="K360" s="147">
        <v>0</v>
      </c>
      <c r="L360" s="147" t="s">
        <v>81</v>
      </c>
      <c r="M360" s="147">
        <v>0</v>
      </c>
      <c r="N360" s="147" t="s">
        <v>81</v>
      </c>
      <c r="O360" s="147">
        <v>0</v>
      </c>
      <c r="P360" s="147" t="s">
        <v>78</v>
      </c>
      <c r="Q360" s="147">
        <v>0</v>
      </c>
      <c r="R360" s="147" t="s">
        <v>78</v>
      </c>
      <c r="S360" s="147">
        <v>0</v>
      </c>
      <c r="T360" s="147" t="s">
        <v>78</v>
      </c>
      <c r="U360" s="147">
        <v>0</v>
      </c>
      <c r="V360" s="147" t="s">
        <v>81</v>
      </c>
      <c r="W360" s="147" t="s">
        <v>78</v>
      </c>
      <c r="X360" s="147" t="s">
        <v>81</v>
      </c>
      <c r="Y360" s="147">
        <v>0</v>
      </c>
      <c r="Z360" s="147" t="s">
        <v>132</v>
      </c>
      <c r="AA360" s="147" t="s">
        <v>75</v>
      </c>
      <c r="AB360" s="147" t="s">
        <v>81</v>
      </c>
      <c r="AC360" s="147" t="s">
        <v>110</v>
      </c>
    </row>
    <row r="361" spans="1:31" x14ac:dyDescent="0.25">
      <c r="B361" s="147" t="s">
        <v>1871</v>
      </c>
      <c r="C361" s="147" t="s">
        <v>78</v>
      </c>
      <c r="G361" s="147" t="s">
        <v>81</v>
      </c>
      <c r="H361" s="147" t="s">
        <v>659</v>
      </c>
      <c r="I361" s="147" t="s">
        <v>659</v>
      </c>
      <c r="J361" s="147" t="s">
        <v>81</v>
      </c>
      <c r="K361" s="147">
        <v>0</v>
      </c>
      <c r="L361" s="147" t="s">
        <v>81</v>
      </c>
      <c r="M361" s="147">
        <v>0</v>
      </c>
      <c r="N361" s="147" t="s">
        <v>81</v>
      </c>
      <c r="O361" s="147">
        <v>0</v>
      </c>
      <c r="P361" s="147" t="s">
        <v>78</v>
      </c>
      <c r="Q361" s="147">
        <v>0</v>
      </c>
      <c r="R361" s="147" t="s">
        <v>78</v>
      </c>
      <c r="S361" s="147">
        <v>0</v>
      </c>
      <c r="T361" s="147" t="s">
        <v>78</v>
      </c>
      <c r="U361" s="147">
        <v>0</v>
      </c>
      <c r="V361" s="147" t="s">
        <v>81</v>
      </c>
      <c r="W361" s="147" t="s">
        <v>78</v>
      </c>
      <c r="X361" s="147" t="s">
        <v>81</v>
      </c>
      <c r="Y361" s="147">
        <v>0</v>
      </c>
      <c r="Z361" s="147" t="s">
        <v>121</v>
      </c>
      <c r="AA361" s="147" t="s">
        <v>75</v>
      </c>
      <c r="AB361" s="147" t="s">
        <v>75</v>
      </c>
      <c r="AC361" s="147" t="s">
        <v>110</v>
      </c>
    </row>
    <row r="362" spans="1:31" x14ac:dyDescent="0.25">
      <c r="B362" s="147" t="s">
        <v>1872</v>
      </c>
      <c r="C362" s="147" t="s">
        <v>78</v>
      </c>
      <c r="G362" s="147" t="s">
        <v>81</v>
      </c>
      <c r="H362" s="147" t="s">
        <v>659</v>
      </c>
      <c r="I362" s="147" t="s">
        <v>659</v>
      </c>
      <c r="J362" s="147" t="s">
        <v>81</v>
      </c>
      <c r="K362" s="147">
        <v>0</v>
      </c>
      <c r="L362" s="147" t="s">
        <v>81</v>
      </c>
      <c r="M362" s="147">
        <v>0</v>
      </c>
      <c r="N362" s="147" t="s">
        <v>81</v>
      </c>
      <c r="O362" s="147">
        <v>0</v>
      </c>
      <c r="P362" s="147" t="s">
        <v>78</v>
      </c>
      <c r="Q362" s="147">
        <v>0</v>
      </c>
      <c r="R362" s="147" t="s">
        <v>78</v>
      </c>
      <c r="S362" s="147">
        <v>0</v>
      </c>
      <c r="T362" s="147" t="s">
        <v>78</v>
      </c>
      <c r="U362" s="147">
        <v>0</v>
      </c>
      <c r="V362" s="147" t="s">
        <v>81</v>
      </c>
      <c r="W362" s="147" t="s">
        <v>78</v>
      </c>
      <c r="X362" s="147" t="s">
        <v>81</v>
      </c>
      <c r="Y362" s="147">
        <v>0</v>
      </c>
      <c r="Z362" s="147" t="s">
        <v>397</v>
      </c>
      <c r="AA362" s="147" t="s">
        <v>81</v>
      </c>
      <c r="AB362" s="147" t="s">
        <v>81</v>
      </c>
      <c r="AC362" s="147" t="s">
        <v>110</v>
      </c>
    </row>
    <row r="363" spans="1:31" x14ac:dyDescent="0.25">
      <c r="B363" s="147" t="s">
        <v>1873</v>
      </c>
      <c r="C363" s="147" t="s">
        <v>78</v>
      </c>
      <c r="G363" s="147" t="s">
        <v>81</v>
      </c>
      <c r="H363" s="147" t="s">
        <v>659</v>
      </c>
      <c r="I363" s="147" t="s">
        <v>659</v>
      </c>
      <c r="J363" s="147" t="s">
        <v>81</v>
      </c>
      <c r="K363" s="147">
        <v>0</v>
      </c>
      <c r="L363" s="147" t="s">
        <v>81</v>
      </c>
      <c r="M363" s="147">
        <v>0</v>
      </c>
      <c r="N363" s="147" t="s">
        <v>81</v>
      </c>
      <c r="O363" s="147">
        <v>0</v>
      </c>
      <c r="P363" s="147" t="s">
        <v>78</v>
      </c>
      <c r="Q363" s="147">
        <v>0</v>
      </c>
      <c r="R363" s="147" t="s">
        <v>78</v>
      </c>
      <c r="S363" s="147">
        <v>0</v>
      </c>
      <c r="T363" s="147" t="s">
        <v>78</v>
      </c>
      <c r="U363" s="147">
        <v>0</v>
      </c>
      <c r="V363" s="147" t="s">
        <v>81</v>
      </c>
      <c r="W363" s="147" t="s">
        <v>78</v>
      </c>
      <c r="X363" s="147" t="s">
        <v>81</v>
      </c>
      <c r="Y363" s="147">
        <v>0</v>
      </c>
      <c r="Z363" s="147" t="s">
        <v>132</v>
      </c>
      <c r="AA363" s="147" t="s">
        <v>75</v>
      </c>
      <c r="AB363" s="147" t="s">
        <v>75</v>
      </c>
      <c r="AC363" s="147" t="s">
        <v>110</v>
      </c>
    </row>
    <row r="364" spans="1:31" x14ac:dyDescent="0.25">
      <c r="B364" s="147" t="s">
        <v>1874</v>
      </c>
      <c r="C364" s="147" t="s">
        <v>78</v>
      </c>
      <c r="G364" s="147" t="s">
        <v>81</v>
      </c>
      <c r="J364" s="147" t="s">
        <v>81</v>
      </c>
      <c r="K364" s="147">
        <v>0</v>
      </c>
      <c r="L364" s="147" t="s">
        <v>81</v>
      </c>
      <c r="M364" s="147">
        <v>0</v>
      </c>
      <c r="N364" s="147" t="s">
        <v>81</v>
      </c>
      <c r="O364" s="147">
        <v>0</v>
      </c>
      <c r="P364" s="147" t="s">
        <v>78</v>
      </c>
      <c r="Q364" s="147">
        <v>0</v>
      </c>
      <c r="R364" s="147" t="s">
        <v>78</v>
      </c>
      <c r="S364" s="147">
        <v>0</v>
      </c>
      <c r="T364" s="147" t="s">
        <v>78</v>
      </c>
      <c r="U364" s="147">
        <v>0</v>
      </c>
      <c r="V364" s="147" t="s">
        <v>75</v>
      </c>
      <c r="W364" s="147" t="s">
        <v>78</v>
      </c>
      <c r="X364" s="147" t="s">
        <v>81</v>
      </c>
      <c r="Y364" s="147">
        <v>0</v>
      </c>
      <c r="Z364" s="147" t="s">
        <v>121</v>
      </c>
      <c r="AA364" s="147" t="s">
        <v>75</v>
      </c>
      <c r="AB364" s="147" t="s">
        <v>81</v>
      </c>
      <c r="AC364" s="147" t="s">
        <v>84</v>
      </c>
    </row>
    <row r="365" spans="1:31" x14ac:dyDescent="0.25">
      <c r="B365" s="147" t="s">
        <v>1875</v>
      </c>
      <c r="C365" s="147" t="s">
        <v>78</v>
      </c>
      <c r="G365" s="147" t="s">
        <v>75</v>
      </c>
      <c r="J365" s="147" t="s">
        <v>81</v>
      </c>
      <c r="K365" s="147">
        <v>0</v>
      </c>
      <c r="L365" s="147" t="s">
        <v>81</v>
      </c>
      <c r="M365" s="147">
        <v>0</v>
      </c>
      <c r="N365" s="147" t="s">
        <v>81</v>
      </c>
      <c r="O365" s="147">
        <v>0</v>
      </c>
      <c r="P365" s="147" t="s">
        <v>78</v>
      </c>
      <c r="Q365" s="147">
        <v>0</v>
      </c>
      <c r="R365" s="147" t="s">
        <v>78</v>
      </c>
      <c r="S365" s="147">
        <v>0</v>
      </c>
      <c r="T365" s="147" t="s">
        <v>78</v>
      </c>
      <c r="U365" s="147">
        <v>0</v>
      </c>
      <c r="V365" s="147" t="s">
        <v>81</v>
      </c>
      <c r="W365" s="147" t="s">
        <v>78</v>
      </c>
      <c r="X365" s="147" t="s">
        <v>81</v>
      </c>
      <c r="Y365" s="147">
        <v>0</v>
      </c>
      <c r="Z365" s="147" t="s">
        <v>121</v>
      </c>
      <c r="AA365" s="147" t="s">
        <v>75</v>
      </c>
      <c r="AB365" s="147" t="s">
        <v>81</v>
      </c>
      <c r="AC365" s="147" t="s">
        <v>84</v>
      </c>
    </row>
    <row r="366" spans="1:31" x14ac:dyDescent="0.25">
      <c r="B366" s="147" t="s">
        <v>1876</v>
      </c>
      <c r="C366" s="147" t="s">
        <v>78</v>
      </c>
      <c r="G366" s="147" t="s">
        <v>75</v>
      </c>
      <c r="J366" s="147" t="s">
        <v>75</v>
      </c>
      <c r="K366" s="147" t="s">
        <v>1877</v>
      </c>
      <c r="L366" s="147" t="s">
        <v>75</v>
      </c>
      <c r="M366" s="147" t="s">
        <v>1878</v>
      </c>
      <c r="N366" s="147" t="s">
        <v>75</v>
      </c>
      <c r="O366" s="147">
        <v>1</v>
      </c>
      <c r="P366" s="147" t="s">
        <v>1879</v>
      </c>
      <c r="Q366" s="147">
        <v>2</v>
      </c>
      <c r="R366" s="147" t="s">
        <v>1880</v>
      </c>
      <c r="S366" s="147">
        <v>3</v>
      </c>
      <c r="T366" s="147" t="s">
        <v>1881</v>
      </c>
      <c r="U366" s="147">
        <v>6</v>
      </c>
      <c r="V366" s="147" t="s">
        <v>81</v>
      </c>
      <c r="W366" s="147" t="s">
        <v>78</v>
      </c>
      <c r="X366" s="147" t="s">
        <v>75</v>
      </c>
      <c r="Y366" s="147" t="s">
        <v>1882</v>
      </c>
      <c r="Z366" s="147" t="s">
        <v>121</v>
      </c>
      <c r="AA366" s="147" t="s">
        <v>75</v>
      </c>
      <c r="AB366" s="147" t="s">
        <v>75</v>
      </c>
      <c r="AC366" s="147" t="s">
        <v>84</v>
      </c>
    </row>
    <row r="367" spans="1:31" x14ac:dyDescent="0.25">
      <c r="B367" s="147" t="s">
        <v>1883</v>
      </c>
      <c r="C367" s="147" t="s">
        <v>78</v>
      </c>
      <c r="G367" s="147" t="s">
        <v>81</v>
      </c>
      <c r="J367" s="147" t="s">
        <v>81</v>
      </c>
      <c r="K367" s="147">
        <v>0</v>
      </c>
      <c r="L367" s="147" t="s">
        <v>81</v>
      </c>
      <c r="M367" s="147">
        <v>0</v>
      </c>
      <c r="N367" s="147" t="s">
        <v>81</v>
      </c>
      <c r="O367" s="147">
        <v>0</v>
      </c>
      <c r="P367" s="147" t="s">
        <v>78</v>
      </c>
      <c r="Q367" s="147">
        <v>0</v>
      </c>
      <c r="R367" s="147" t="s">
        <v>78</v>
      </c>
      <c r="S367" s="147">
        <v>0</v>
      </c>
      <c r="T367" s="147" t="s">
        <v>78</v>
      </c>
      <c r="U367" s="147">
        <v>0</v>
      </c>
      <c r="V367" s="147" t="s">
        <v>81</v>
      </c>
      <c r="W367" s="147" t="s">
        <v>78</v>
      </c>
      <c r="X367" s="147" t="s">
        <v>81</v>
      </c>
      <c r="Y367" s="147">
        <v>0</v>
      </c>
      <c r="Z367" s="147" t="s">
        <v>121</v>
      </c>
      <c r="AA367" s="147" t="s">
        <v>75</v>
      </c>
      <c r="AB367" s="147" t="s">
        <v>81</v>
      </c>
      <c r="AC367" s="147" t="s">
        <v>84</v>
      </c>
    </row>
    <row r="368" spans="1:31" x14ac:dyDescent="0.25">
      <c r="B368" s="147" t="s">
        <v>1884</v>
      </c>
      <c r="C368" s="147" t="s">
        <v>78</v>
      </c>
      <c r="G368" s="147" t="s">
        <v>81</v>
      </c>
      <c r="J368" s="147" t="s">
        <v>81</v>
      </c>
      <c r="K368" s="147">
        <v>0</v>
      </c>
      <c r="L368" s="147" t="s">
        <v>81</v>
      </c>
      <c r="M368" s="147">
        <v>0</v>
      </c>
      <c r="N368" s="147" t="s">
        <v>81</v>
      </c>
      <c r="O368" s="147">
        <v>0</v>
      </c>
      <c r="P368" s="147" t="s">
        <v>78</v>
      </c>
      <c r="Q368" s="147">
        <v>0</v>
      </c>
      <c r="R368" s="147" t="s">
        <v>78</v>
      </c>
      <c r="S368" s="147">
        <v>0</v>
      </c>
      <c r="T368" s="147" t="s">
        <v>78</v>
      </c>
      <c r="U368" s="147">
        <v>0</v>
      </c>
      <c r="V368" s="147" t="s">
        <v>81</v>
      </c>
      <c r="W368" s="147" t="s">
        <v>78</v>
      </c>
      <c r="X368" s="147" t="s">
        <v>81</v>
      </c>
      <c r="Y368" s="147">
        <v>0</v>
      </c>
      <c r="Z368" s="147" t="s">
        <v>121</v>
      </c>
      <c r="AA368" s="147" t="s">
        <v>75</v>
      </c>
      <c r="AB368" s="147" t="s">
        <v>81</v>
      </c>
      <c r="AC368" s="147" t="s">
        <v>84</v>
      </c>
    </row>
    <row r="369" spans="2:29" x14ac:dyDescent="0.25">
      <c r="B369" s="147" t="s">
        <v>1885</v>
      </c>
      <c r="C369" s="147" t="s">
        <v>1886</v>
      </c>
      <c r="G369" s="147" t="s">
        <v>75</v>
      </c>
      <c r="J369" s="147" t="s">
        <v>75</v>
      </c>
      <c r="K369" s="147" t="s">
        <v>1887</v>
      </c>
      <c r="L369" s="147" t="s">
        <v>75</v>
      </c>
      <c r="M369" s="147" t="s">
        <v>1888</v>
      </c>
      <c r="N369" s="147" t="s">
        <v>75</v>
      </c>
      <c r="O369" s="147">
        <v>1</v>
      </c>
      <c r="P369" s="147" t="s">
        <v>1889</v>
      </c>
      <c r="Q369" s="147">
        <v>3</v>
      </c>
      <c r="R369" s="147" t="s">
        <v>1890</v>
      </c>
      <c r="S369" s="147">
        <v>6</v>
      </c>
      <c r="T369" s="147" t="s">
        <v>1891</v>
      </c>
      <c r="U369" s="147">
        <v>10</v>
      </c>
      <c r="V369" s="147" t="s">
        <v>75</v>
      </c>
      <c r="W369" s="147" t="s">
        <v>1892</v>
      </c>
      <c r="X369" s="147" t="s">
        <v>75</v>
      </c>
      <c r="Y369" s="147" t="s">
        <v>1893</v>
      </c>
      <c r="Z369" s="147" t="s">
        <v>121</v>
      </c>
      <c r="AA369" s="147" t="s">
        <v>75</v>
      </c>
      <c r="AB369" s="147" t="s">
        <v>75</v>
      </c>
      <c r="AC369" s="147" t="s">
        <v>84</v>
      </c>
    </row>
    <row r="370" spans="2:29" x14ac:dyDescent="0.25">
      <c r="B370" s="147" t="s">
        <v>1894</v>
      </c>
      <c r="C370" s="147" t="s">
        <v>1886</v>
      </c>
      <c r="G370" s="147" t="s">
        <v>81</v>
      </c>
      <c r="J370" s="147" t="s">
        <v>75</v>
      </c>
      <c r="K370" s="147" t="s">
        <v>1887</v>
      </c>
      <c r="L370" s="147" t="s">
        <v>75</v>
      </c>
      <c r="M370" s="147" t="s">
        <v>1888</v>
      </c>
      <c r="N370" s="147" t="s">
        <v>75</v>
      </c>
      <c r="O370" s="147">
        <v>1</v>
      </c>
      <c r="P370" s="147" t="s">
        <v>1889</v>
      </c>
      <c r="Q370" s="147">
        <v>3</v>
      </c>
      <c r="R370" s="147" t="s">
        <v>1895</v>
      </c>
      <c r="S370" s="147">
        <v>6</v>
      </c>
      <c r="T370" s="147" t="s">
        <v>1891</v>
      </c>
      <c r="U370" s="147">
        <v>10</v>
      </c>
      <c r="V370" s="147" t="s">
        <v>75</v>
      </c>
      <c r="W370" s="147" t="s">
        <v>1892</v>
      </c>
      <c r="X370" s="147" t="s">
        <v>75</v>
      </c>
      <c r="Y370" s="147" t="s">
        <v>1893</v>
      </c>
      <c r="Z370" s="147" t="s">
        <v>121</v>
      </c>
      <c r="AA370" s="147" t="s">
        <v>75</v>
      </c>
      <c r="AB370" s="147" t="s">
        <v>75</v>
      </c>
      <c r="AC370" s="147" t="s">
        <v>84</v>
      </c>
    </row>
    <row r="371" spans="2:29" x14ac:dyDescent="0.25">
      <c r="B371" s="147" t="s">
        <v>1896</v>
      </c>
      <c r="C371" s="147" t="s">
        <v>1886</v>
      </c>
      <c r="G371" s="147" t="s">
        <v>81</v>
      </c>
      <c r="J371" s="147" t="s">
        <v>75</v>
      </c>
      <c r="K371" s="147" t="s">
        <v>1887</v>
      </c>
      <c r="L371" s="147" t="s">
        <v>75</v>
      </c>
      <c r="M371" s="147" t="s">
        <v>1888</v>
      </c>
      <c r="N371" s="147" t="s">
        <v>75</v>
      </c>
      <c r="O371" s="147">
        <v>1</v>
      </c>
      <c r="P371" s="147" t="s">
        <v>1889</v>
      </c>
      <c r="Q371" s="147">
        <v>3</v>
      </c>
      <c r="R371" s="147" t="s">
        <v>1895</v>
      </c>
      <c r="S371" s="147">
        <v>6</v>
      </c>
      <c r="T371" s="147" t="s">
        <v>1891</v>
      </c>
      <c r="U371" s="147">
        <v>10</v>
      </c>
      <c r="V371" s="147" t="s">
        <v>75</v>
      </c>
      <c r="W371" s="147" t="s">
        <v>1892</v>
      </c>
      <c r="X371" s="147" t="s">
        <v>1897</v>
      </c>
      <c r="Y371" s="147" t="s">
        <v>1893</v>
      </c>
      <c r="Z371" s="147" t="s">
        <v>121</v>
      </c>
      <c r="AA371" s="147" t="s">
        <v>75</v>
      </c>
      <c r="AB371" s="147" t="s">
        <v>75</v>
      </c>
      <c r="AC371" s="147" t="s">
        <v>84</v>
      </c>
    </row>
    <row r="372" spans="2:29" x14ac:dyDescent="0.25">
      <c r="B372" s="147" t="s">
        <v>1898</v>
      </c>
      <c r="C372" s="147" t="s">
        <v>1886</v>
      </c>
      <c r="G372" s="147" t="s">
        <v>81</v>
      </c>
      <c r="J372" s="147" t="s">
        <v>75</v>
      </c>
      <c r="K372" s="147" t="s">
        <v>1887</v>
      </c>
      <c r="L372" s="147" t="s">
        <v>75</v>
      </c>
      <c r="M372" s="147" t="s">
        <v>1888</v>
      </c>
      <c r="N372" s="147" t="s">
        <v>75</v>
      </c>
      <c r="O372" s="147">
        <v>1</v>
      </c>
      <c r="P372" s="147" t="s">
        <v>1889</v>
      </c>
      <c r="Q372" s="147">
        <v>3</v>
      </c>
      <c r="R372" s="147" t="s">
        <v>1895</v>
      </c>
      <c r="S372" s="147">
        <v>6</v>
      </c>
      <c r="T372" s="147" t="s">
        <v>1891</v>
      </c>
      <c r="U372" s="147">
        <v>10</v>
      </c>
      <c r="V372" s="147" t="s">
        <v>75</v>
      </c>
      <c r="W372" s="147" t="s">
        <v>1892</v>
      </c>
      <c r="X372" s="147" t="s">
        <v>75</v>
      </c>
      <c r="Y372" s="147" t="s">
        <v>1893</v>
      </c>
      <c r="Z372" s="147" t="s">
        <v>121</v>
      </c>
      <c r="AA372" s="147" t="s">
        <v>75</v>
      </c>
      <c r="AB372" s="147" t="s">
        <v>75</v>
      </c>
      <c r="AC372" s="147" t="s">
        <v>84</v>
      </c>
    </row>
    <row r="373" spans="2:29" x14ac:dyDescent="0.25">
      <c r="B373" s="147" t="s">
        <v>1899</v>
      </c>
      <c r="C373" s="147" t="s">
        <v>1886</v>
      </c>
      <c r="G373" s="147" t="s">
        <v>81</v>
      </c>
      <c r="J373" s="147" t="s">
        <v>75</v>
      </c>
      <c r="K373" s="147" t="s">
        <v>1887</v>
      </c>
      <c r="L373" s="147" t="s">
        <v>75</v>
      </c>
      <c r="M373" s="147" t="s">
        <v>1888</v>
      </c>
      <c r="N373" s="147" t="s">
        <v>75</v>
      </c>
      <c r="O373" s="147">
        <v>1</v>
      </c>
      <c r="P373" s="147" t="s">
        <v>1889</v>
      </c>
      <c r="Q373" s="147">
        <v>3</v>
      </c>
      <c r="R373" s="147" t="s">
        <v>1895</v>
      </c>
      <c r="S373" s="147">
        <v>6</v>
      </c>
      <c r="T373" s="147" t="s">
        <v>1891</v>
      </c>
      <c r="U373" s="147">
        <v>10</v>
      </c>
      <c r="V373" s="147" t="s">
        <v>75</v>
      </c>
      <c r="W373" s="147" t="s">
        <v>1892</v>
      </c>
      <c r="X373" s="147" t="s">
        <v>75</v>
      </c>
      <c r="Y373" s="147" t="s">
        <v>1893</v>
      </c>
      <c r="Z373" s="147" t="s">
        <v>121</v>
      </c>
      <c r="AA373" s="147" t="s">
        <v>75</v>
      </c>
      <c r="AB373" s="147" t="s">
        <v>75</v>
      </c>
      <c r="AC373" s="147" t="s">
        <v>84</v>
      </c>
    </row>
    <row r="374" spans="2:29" x14ac:dyDescent="0.25">
      <c r="B374" s="147" t="s">
        <v>1900</v>
      </c>
      <c r="C374" s="147" t="s">
        <v>78</v>
      </c>
      <c r="G374" s="147" t="s">
        <v>81</v>
      </c>
      <c r="J374" s="147" t="s">
        <v>81</v>
      </c>
      <c r="K374" s="147">
        <v>0</v>
      </c>
      <c r="L374" s="147" t="s">
        <v>81</v>
      </c>
      <c r="M374" s="147">
        <v>0</v>
      </c>
      <c r="N374" s="147" t="s">
        <v>81</v>
      </c>
      <c r="O374" s="147">
        <v>0</v>
      </c>
      <c r="P374" s="147" t="s">
        <v>78</v>
      </c>
      <c r="Q374" s="147">
        <v>0</v>
      </c>
      <c r="R374" s="147" t="s">
        <v>78</v>
      </c>
      <c r="S374" s="147">
        <v>0</v>
      </c>
      <c r="T374" s="147" t="s">
        <v>78</v>
      </c>
      <c r="U374" s="147">
        <v>0</v>
      </c>
      <c r="V374" s="147" t="s">
        <v>81</v>
      </c>
      <c r="W374" s="147" t="s">
        <v>78</v>
      </c>
      <c r="X374" s="147" t="s">
        <v>81</v>
      </c>
      <c r="Y374" s="147">
        <v>0</v>
      </c>
      <c r="Z374" s="147" t="s">
        <v>1648</v>
      </c>
      <c r="AA374" s="147" t="s">
        <v>81</v>
      </c>
      <c r="AB374" s="147" t="s">
        <v>81</v>
      </c>
      <c r="AC374" s="147" t="s">
        <v>84</v>
      </c>
    </row>
    <row r="375" spans="2:29" x14ac:dyDescent="0.25">
      <c r="B375" s="147" t="s">
        <v>1901</v>
      </c>
      <c r="C375" s="147" t="s">
        <v>78</v>
      </c>
      <c r="G375" s="147" t="s">
        <v>81</v>
      </c>
      <c r="J375" s="147" t="s">
        <v>81</v>
      </c>
      <c r="K375" s="147">
        <v>0</v>
      </c>
      <c r="L375" s="147" t="s">
        <v>75</v>
      </c>
      <c r="M375" s="147" t="s">
        <v>1902</v>
      </c>
      <c r="N375" s="147" t="s">
        <v>75</v>
      </c>
      <c r="O375" s="147">
        <v>0</v>
      </c>
      <c r="P375" s="147" t="s">
        <v>78</v>
      </c>
      <c r="Q375" s="147">
        <v>1</v>
      </c>
      <c r="R375" s="147" t="s">
        <v>1903</v>
      </c>
      <c r="S375" s="147">
        <v>1</v>
      </c>
      <c r="T375" s="147" t="s">
        <v>1904</v>
      </c>
      <c r="U375" s="147">
        <v>2</v>
      </c>
      <c r="V375" s="147" t="s">
        <v>81</v>
      </c>
      <c r="W375" s="147" t="s">
        <v>78</v>
      </c>
      <c r="X375" s="147" t="s">
        <v>81</v>
      </c>
      <c r="Y375" s="147" t="s">
        <v>228</v>
      </c>
      <c r="Z375" s="147" t="s">
        <v>121</v>
      </c>
      <c r="AA375" s="147" t="s">
        <v>75</v>
      </c>
      <c r="AB375" s="147" t="s">
        <v>81</v>
      </c>
      <c r="AC375" s="147" t="s">
        <v>84</v>
      </c>
    </row>
    <row r="376" spans="2:29" x14ac:dyDescent="0.25">
      <c r="B376" s="147" t="s">
        <v>1905</v>
      </c>
      <c r="C376" s="147" t="s">
        <v>78</v>
      </c>
      <c r="G376" s="147" t="s">
        <v>81</v>
      </c>
      <c r="J376" s="147" t="s">
        <v>81</v>
      </c>
      <c r="K376" s="147">
        <v>0</v>
      </c>
      <c r="L376" s="147" t="s">
        <v>81</v>
      </c>
      <c r="M376" s="147">
        <v>0</v>
      </c>
      <c r="N376" s="147" t="s">
        <v>81</v>
      </c>
      <c r="O376" s="147">
        <v>0</v>
      </c>
      <c r="P376" s="147" t="s">
        <v>78</v>
      </c>
      <c r="Q376" s="147">
        <v>0</v>
      </c>
      <c r="R376" s="147" t="s">
        <v>78</v>
      </c>
      <c r="S376" s="147">
        <v>0</v>
      </c>
      <c r="T376" s="147" t="s">
        <v>78</v>
      </c>
      <c r="U376" s="147">
        <v>0</v>
      </c>
      <c r="V376" s="147" t="s">
        <v>81</v>
      </c>
      <c r="W376" s="147" t="s">
        <v>78</v>
      </c>
      <c r="X376" s="147" t="s">
        <v>81</v>
      </c>
      <c r="Y376" s="147">
        <v>0</v>
      </c>
      <c r="Z376" s="147" t="s">
        <v>121</v>
      </c>
      <c r="AA376" s="147" t="s">
        <v>75</v>
      </c>
      <c r="AB376" s="147" t="s">
        <v>81</v>
      </c>
      <c r="AC376" s="147" t="s">
        <v>84</v>
      </c>
    </row>
    <row r="377" spans="2:29" x14ac:dyDescent="0.25">
      <c r="B377" s="147" t="s">
        <v>1906</v>
      </c>
      <c r="C377" s="147" t="s">
        <v>78</v>
      </c>
      <c r="G377" s="147" t="s">
        <v>81</v>
      </c>
      <c r="J377" s="147" t="s">
        <v>81</v>
      </c>
      <c r="K377" s="147">
        <v>0</v>
      </c>
      <c r="L377" s="147" t="s">
        <v>81</v>
      </c>
      <c r="M377" s="147">
        <v>0</v>
      </c>
      <c r="N377" s="147" t="s">
        <v>81</v>
      </c>
      <c r="O377" s="147">
        <v>0</v>
      </c>
      <c r="P377" s="147" t="s">
        <v>78</v>
      </c>
      <c r="Q377" s="147">
        <v>0</v>
      </c>
      <c r="R377" s="147" t="s">
        <v>78</v>
      </c>
      <c r="S377" s="147">
        <v>0</v>
      </c>
      <c r="T377" s="147" t="s">
        <v>78</v>
      </c>
      <c r="U377" s="147">
        <v>0</v>
      </c>
      <c r="V377" s="147" t="s">
        <v>81</v>
      </c>
      <c r="W377" s="147" t="s">
        <v>78</v>
      </c>
      <c r="X377" s="147" t="s">
        <v>81</v>
      </c>
      <c r="Y377" s="147">
        <v>0</v>
      </c>
      <c r="Z377" s="147" t="s">
        <v>1648</v>
      </c>
      <c r="AA377" s="147" t="s">
        <v>81</v>
      </c>
      <c r="AB377" s="147" t="s">
        <v>81</v>
      </c>
      <c r="AC377" s="147" t="s">
        <v>84</v>
      </c>
    </row>
    <row r="378" spans="2:29" x14ac:dyDescent="0.25">
      <c r="B378" s="147" t="s">
        <v>1907</v>
      </c>
      <c r="C378" s="147" t="s">
        <v>1908</v>
      </c>
      <c r="G378" s="147" t="s">
        <v>81</v>
      </c>
      <c r="J378" s="147" t="s">
        <v>75</v>
      </c>
      <c r="K378" s="147" t="s">
        <v>1909</v>
      </c>
      <c r="L378" s="147" t="s">
        <v>75</v>
      </c>
      <c r="M378" s="147" t="s">
        <v>1910</v>
      </c>
      <c r="N378" s="147" t="s">
        <v>75</v>
      </c>
      <c r="O378" s="147">
        <v>0</v>
      </c>
      <c r="P378" s="147" t="s">
        <v>78</v>
      </c>
      <c r="Q378" s="147">
        <v>1</v>
      </c>
      <c r="R378" s="147" t="s">
        <v>1911</v>
      </c>
      <c r="S378" s="147">
        <v>2</v>
      </c>
      <c r="T378" s="147" t="s">
        <v>1912</v>
      </c>
      <c r="U378" s="147">
        <v>3</v>
      </c>
      <c r="V378" s="147" t="s">
        <v>75</v>
      </c>
      <c r="W378" s="147" t="s">
        <v>1913</v>
      </c>
      <c r="X378" s="147" t="s">
        <v>75</v>
      </c>
      <c r="Y378" s="147" t="s">
        <v>72</v>
      </c>
      <c r="Z378" s="147" t="s">
        <v>121</v>
      </c>
      <c r="AA378" s="147" t="s">
        <v>75</v>
      </c>
      <c r="AB378" s="147" t="s">
        <v>75</v>
      </c>
      <c r="AC378" s="147" t="s">
        <v>84</v>
      </c>
    </row>
    <row r="379" spans="2:29" x14ac:dyDescent="0.25">
      <c r="B379" s="147" t="s">
        <v>1914</v>
      </c>
      <c r="C379" s="147" t="s">
        <v>78</v>
      </c>
      <c r="G379" s="147" t="s">
        <v>81</v>
      </c>
      <c r="J379" s="147" t="s">
        <v>81</v>
      </c>
      <c r="K379" s="147">
        <v>0</v>
      </c>
      <c r="L379" s="147" t="s">
        <v>81</v>
      </c>
      <c r="M379" s="147">
        <v>0</v>
      </c>
      <c r="N379" s="147" t="s">
        <v>81</v>
      </c>
      <c r="O379" s="147">
        <v>0</v>
      </c>
      <c r="P379" s="147" t="s">
        <v>78</v>
      </c>
      <c r="Q379" s="147">
        <v>0</v>
      </c>
      <c r="R379" s="147" t="s">
        <v>78</v>
      </c>
      <c r="S379" s="147">
        <v>0</v>
      </c>
      <c r="T379" s="147" t="s">
        <v>78</v>
      </c>
      <c r="U379" s="147">
        <v>0</v>
      </c>
      <c r="V379" s="147" t="s">
        <v>81</v>
      </c>
      <c r="W379" s="147" t="s">
        <v>78</v>
      </c>
      <c r="X379" s="147" t="s">
        <v>81</v>
      </c>
      <c r="Y379" s="147">
        <v>0</v>
      </c>
      <c r="Z379" s="147" t="s">
        <v>121</v>
      </c>
      <c r="AA379" s="147" t="s">
        <v>75</v>
      </c>
      <c r="AB379" s="147" t="s">
        <v>81</v>
      </c>
      <c r="AC379" s="147" t="s">
        <v>84</v>
      </c>
    </row>
    <row r="380" spans="2:29" x14ac:dyDescent="0.25">
      <c r="B380" s="147" t="s">
        <v>1915</v>
      </c>
      <c r="C380" s="147" t="s">
        <v>78</v>
      </c>
      <c r="G380" s="147" t="s">
        <v>81</v>
      </c>
      <c r="J380" s="147" t="s">
        <v>81</v>
      </c>
      <c r="K380" s="147">
        <v>0</v>
      </c>
      <c r="L380" s="147" t="s">
        <v>81</v>
      </c>
      <c r="M380" s="147">
        <v>0</v>
      </c>
      <c r="N380" s="147" t="s">
        <v>81</v>
      </c>
      <c r="O380" s="147">
        <v>0</v>
      </c>
      <c r="P380" s="147" t="s">
        <v>78</v>
      </c>
      <c r="Q380" s="147">
        <v>0</v>
      </c>
      <c r="R380" s="147" t="s">
        <v>78</v>
      </c>
      <c r="S380" s="147">
        <v>0</v>
      </c>
      <c r="T380" s="147" t="s">
        <v>78</v>
      </c>
      <c r="U380" s="147">
        <v>0</v>
      </c>
      <c r="V380" s="147" t="s">
        <v>81</v>
      </c>
      <c r="W380" s="147" t="s">
        <v>78</v>
      </c>
      <c r="X380" s="147" t="s">
        <v>81</v>
      </c>
      <c r="Y380" s="147">
        <v>0</v>
      </c>
      <c r="Z380" s="147" t="s">
        <v>121</v>
      </c>
      <c r="AA380" s="147" t="s">
        <v>75</v>
      </c>
      <c r="AB380" s="147" t="s">
        <v>81</v>
      </c>
      <c r="AC380" s="147" t="s">
        <v>84</v>
      </c>
    </row>
    <row r="381" spans="2:29" x14ac:dyDescent="0.25">
      <c r="B381" s="147" t="s">
        <v>1916</v>
      </c>
      <c r="C381" s="147" t="s">
        <v>78</v>
      </c>
      <c r="G381" s="147" t="s">
        <v>81</v>
      </c>
      <c r="J381" s="147" t="s">
        <v>81</v>
      </c>
      <c r="K381" s="147">
        <v>0</v>
      </c>
      <c r="L381" s="147" t="s">
        <v>81</v>
      </c>
      <c r="M381" s="147">
        <v>0</v>
      </c>
      <c r="N381" s="147" t="s">
        <v>81</v>
      </c>
      <c r="O381" s="147">
        <v>0</v>
      </c>
      <c r="P381" s="147" t="s">
        <v>78</v>
      </c>
      <c r="Q381" s="147">
        <v>0</v>
      </c>
      <c r="R381" s="147" t="s">
        <v>78</v>
      </c>
      <c r="S381" s="147">
        <v>0</v>
      </c>
      <c r="T381" s="147" t="s">
        <v>78</v>
      </c>
      <c r="U381" s="147">
        <v>0</v>
      </c>
      <c r="V381" s="147" t="s">
        <v>81</v>
      </c>
      <c r="W381" s="147" t="s">
        <v>78</v>
      </c>
      <c r="X381" s="147" t="s">
        <v>81</v>
      </c>
      <c r="Y381" s="147">
        <v>0</v>
      </c>
      <c r="Z381" s="147" t="s">
        <v>1648</v>
      </c>
      <c r="AA381" s="147" t="s">
        <v>81</v>
      </c>
      <c r="AB381" s="147" t="s">
        <v>81</v>
      </c>
      <c r="AC381" s="147" t="s">
        <v>84</v>
      </c>
    </row>
    <row r="382" spans="2:29" x14ac:dyDescent="0.25">
      <c r="B382" s="147" t="s">
        <v>1917</v>
      </c>
      <c r="C382" s="147" t="s">
        <v>78</v>
      </c>
      <c r="G382" s="147" t="s">
        <v>81</v>
      </c>
      <c r="J382" s="147" t="s">
        <v>81</v>
      </c>
      <c r="K382" s="147">
        <v>0</v>
      </c>
      <c r="L382" s="147" t="s">
        <v>81</v>
      </c>
      <c r="M382" s="147">
        <v>0</v>
      </c>
      <c r="N382" s="147" t="s">
        <v>81</v>
      </c>
      <c r="O382" s="147">
        <v>0</v>
      </c>
      <c r="P382" s="147" t="s">
        <v>78</v>
      </c>
      <c r="Q382" s="147">
        <v>0</v>
      </c>
      <c r="R382" s="147" t="s">
        <v>78</v>
      </c>
      <c r="S382" s="147">
        <v>0</v>
      </c>
      <c r="T382" s="147" t="s">
        <v>78</v>
      </c>
      <c r="U382" s="147">
        <v>0</v>
      </c>
      <c r="V382" s="147" t="s">
        <v>81</v>
      </c>
      <c r="W382" s="147" t="s">
        <v>78</v>
      </c>
      <c r="X382" s="147" t="s">
        <v>81</v>
      </c>
      <c r="Y382" s="147">
        <v>0</v>
      </c>
      <c r="Z382" s="147" t="s">
        <v>121</v>
      </c>
      <c r="AA382" s="147" t="s">
        <v>75</v>
      </c>
      <c r="AB382" s="147" t="s">
        <v>81</v>
      </c>
      <c r="AC382" s="147" t="s">
        <v>84</v>
      </c>
    </row>
    <row r="383" spans="2:29" x14ac:dyDescent="0.25">
      <c r="B383" s="147" t="s">
        <v>1918</v>
      </c>
      <c r="C383" s="147" t="s">
        <v>78</v>
      </c>
      <c r="G383" s="147" t="s">
        <v>81</v>
      </c>
      <c r="J383" s="147" t="s">
        <v>81</v>
      </c>
      <c r="K383" s="147">
        <v>0</v>
      </c>
      <c r="L383" s="147" t="s">
        <v>81</v>
      </c>
      <c r="M383" s="147">
        <v>0</v>
      </c>
      <c r="N383" s="147" t="s">
        <v>81</v>
      </c>
      <c r="O383" s="147">
        <v>0</v>
      </c>
      <c r="P383" s="147" t="s">
        <v>78</v>
      </c>
      <c r="Q383" s="147">
        <v>0</v>
      </c>
      <c r="R383" s="147" t="s">
        <v>78</v>
      </c>
      <c r="S383" s="147">
        <v>0</v>
      </c>
      <c r="T383" s="147" t="s">
        <v>78</v>
      </c>
      <c r="U383" s="147">
        <v>0</v>
      </c>
      <c r="V383" s="147" t="s">
        <v>81</v>
      </c>
      <c r="W383" s="147" t="s">
        <v>78</v>
      </c>
      <c r="X383" s="147" t="s">
        <v>81</v>
      </c>
      <c r="Y383" s="147">
        <v>0</v>
      </c>
      <c r="Z383" s="147" t="s">
        <v>121</v>
      </c>
      <c r="AA383" s="147" t="s">
        <v>75</v>
      </c>
      <c r="AB383" s="147" t="s">
        <v>81</v>
      </c>
      <c r="AC383" s="147" t="s">
        <v>84</v>
      </c>
    </row>
    <row r="384" spans="2:29" x14ac:dyDescent="0.25">
      <c r="B384" s="147" t="s">
        <v>1919</v>
      </c>
      <c r="C384" s="147" t="s">
        <v>78</v>
      </c>
      <c r="G384" s="147" t="s">
        <v>81</v>
      </c>
      <c r="J384" s="147" t="s">
        <v>81</v>
      </c>
      <c r="K384" s="147">
        <v>0</v>
      </c>
      <c r="L384" s="147" t="s">
        <v>81</v>
      </c>
      <c r="M384" s="147">
        <v>0</v>
      </c>
      <c r="N384" s="147" t="s">
        <v>81</v>
      </c>
      <c r="O384" s="147">
        <v>0</v>
      </c>
      <c r="P384" s="147" t="s">
        <v>78</v>
      </c>
      <c r="Q384" s="147">
        <v>0</v>
      </c>
      <c r="R384" s="147" t="s">
        <v>78</v>
      </c>
      <c r="S384" s="147">
        <v>0</v>
      </c>
      <c r="T384" s="147" t="s">
        <v>78</v>
      </c>
      <c r="U384" s="147">
        <v>0</v>
      </c>
      <c r="V384" s="147" t="s">
        <v>81</v>
      </c>
      <c r="W384" s="147" t="s">
        <v>78</v>
      </c>
      <c r="X384" s="147" t="s">
        <v>81</v>
      </c>
      <c r="Y384" s="147">
        <v>0</v>
      </c>
      <c r="Z384" s="147" t="s">
        <v>1648</v>
      </c>
      <c r="AA384" s="147" t="s">
        <v>75</v>
      </c>
      <c r="AB384" s="147" t="s">
        <v>81</v>
      </c>
      <c r="AC384" s="147" t="s">
        <v>110</v>
      </c>
    </row>
    <row r="385" spans="2:29" x14ac:dyDescent="0.25">
      <c r="B385" s="147" t="s">
        <v>1920</v>
      </c>
      <c r="C385" s="147" t="s">
        <v>78</v>
      </c>
      <c r="G385" s="147" t="s">
        <v>81</v>
      </c>
      <c r="J385" s="147" t="s">
        <v>81</v>
      </c>
      <c r="K385" s="147">
        <v>0</v>
      </c>
      <c r="L385" s="147" t="s">
        <v>81</v>
      </c>
      <c r="M385" s="147">
        <v>0</v>
      </c>
      <c r="N385" s="147" t="s">
        <v>81</v>
      </c>
      <c r="O385" s="147">
        <v>0</v>
      </c>
      <c r="P385" s="147" t="s">
        <v>78</v>
      </c>
      <c r="Q385" s="147">
        <v>0</v>
      </c>
      <c r="R385" s="147" t="s">
        <v>78</v>
      </c>
      <c r="S385" s="147">
        <v>0</v>
      </c>
      <c r="T385" s="147" t="s">
        <v>78</v>
      </c>
      <c r="U385" s="147">
        <v>0</v>
      </c>
      <c r="V385" s="147" t="s">
        <v>81</v>
      </c>
      <c r="W385" s="147" t="s">
        <v>78</v>
      </c>
      <c r="X385" s="147" t="s">
        <v>81</v>
      </c>
      <c r="Y385" s="147">
        <v>0</v>
      </c>
      <c r="Z385" s="147" t="s">
        <v>121</v>
      </c>
      <c r="AA385" s="147" t="s">
        <v>75</v>
      </c>
      <c r="AB385" s="147" t="s">
        <v>81</v>
      </c>
      <c r="AC385" s="147" t="s">
        <v>110</v>
      </c>
    </row>
    <row r="386" spans="2:29" x14ac:dyDescent="0.25">
      <c r="B386" s="147" t="s">
        <v>1921</v>
      </c>
      <c r="C386" s="147" t="s">
        <v>78</v>
      </c>
      <c r="G386" s="147" t="s">
        <v>81</v>
      </c>
      <c r="J386" s="147" t="s">
        <v>75</v>
      </c>
      <c r="K386" s="147" t="s">
        <v>1922</v>
      </c>
      <c r="L386" s="147" t="s">
        <v>81</v>
      </c>
      <c r="M386" s="147">
        <v>0</v>
      </c>
      <c r="N386" s="147" t="s">
        <v>75</v>
      </c>
      <c r="O386" s="147">
        <v>0</v>
      </c>
      <c r="P386" s="147" t="s">
        <v>78</v>
      </c>
      <c r="Q386" s="147">
        <v>2</v>
      </c>
      <c r="R386" s="147" t="s">
        <v>1923</v>
      </c>
      <c r="S386" s="147">
        <v>1</v>
      </c>
      <c r="T386" s="147" t="s">
        <v>1924</v>
      </c>
      <c r="U386" s="147">
        <v>3</v>
      </c>
      <c r="V386" s="147" t="s">
        <v>81</v>
      </c>
      <c r="W386" s="147" t="s">
        <v>78</v>
      </c>
      <c r="X386" s="147" t="s">
        <v>75</v>
      </c>
      <c r="Y386" s="147" t="s">
        <v>1925</v>
      </c>
      <c r="Z386" s="147" t="s">
        <v>121</v>
      </c>
      <c r="AA386" s="147" t="s">
        <v>75</v>
      </c>
      <c r="AB386" s="147" t="s">
        <v>75</v>
      </c>
      <c r="AC386" s="147" t="s">
        <v>84</v>
      </c>
    </row>
    <row r="387" spans="2:29" x14ac:dyDescent="0.25">
      <c r="B387" s="147" t="s">
        <v>1926</v>
      </c>
      <c r="C387" s="147" t="s">
        <v>78</v>
      </c>
      <c r="G387" s="147" t="s">
        <v>81</v>
      </c>
      <c r="J387" s="147" t="s">
        <v>81</v>
      </c>
      <c r="K387" s="147">
        <v>0</v>
      </c>
      <c r="L387" s="147" t="s">
        <v>81</v>
      </c>
      <c r="M387" s="147">
        <v>0</v>
      </c>
      <c r="N387" s="147" t="s">
        <v>81</v>
      </c>
      <c r="O387" s="147">
        <v>0</v>
      </c>
      <c r="P387" s="147" t="s">
        <v>78</v>
      </c>
      <c r="Q387" s="147">
        <v>0</v>
      </c>
      <c r="R387" s="147" t="s">
        <v>78</v>
      </c>
      <c r="S387" s="147">
        <v>0</v>
      </c>
      <c r="T387" s="147" t="s">
        <v>78</v>
      </c>
      <c r="U387" s="147">
        <v>0</v>
      </c>
      <c r="V387" s="147" t="s">
        <v>81</v>
      </c>
      <c r="W387" s="147" t="s">
        <v>78</v>
      </c>
      <c r="X387" s="147" t="s">
        <v>81</v>
      </c>
      <c r="Y387" s="147">
        <v>0</v>
      </c>
      <c r="Z387" s="147" t="s">
        <v>1648</v>
      </c>
      <c r="AA387" s="147" t="s">
        <v>81</v>
      </c>
      <c r="AB387" s="147" t="s">
        <v>81</v>
      </c>
      <c r="AC387" s="147" t="s">
        <v>84</v>
      </c>
    </row>
    <row r="388" spans="2:29" x14ac:dyDescent="0.25">
      <c r="B388" s="147" t="s">
        <v>1927</v>
      </c>
      <c r="C388" s="147" t="s">
        <v>78</v>
      </c>
      <c r="G388" s="147" t="s">
        <v>81</v>
      </c>
      <c r="J388" s="147" t="s">
        <v>75</v>
      </c>
      <c r="K388" s="147" t="s">
        <v>1928</v>
      </c>
      <c r="L388" s="147" t="s">
        <v>81</v>
      </c>
      <c r="M388" s="147">
        <v>0</v>
      </c>
      <c r="N388" s="147" t="s">
        <v>75</v>
      </c>
      <c r="O388" s="147">
        <v>0</v>
      </c>
      <c r="P388" s="147" t="s">
        <v>78</v>
      </c>
      <c r="Q388" s="147">
        <v>1</v>
      </c>
      <c r="R388" s="147" t="s">
        <v>1929</v>
      </c>
      <c r="S388" s="147">
        <v>0</v>
      </c>
      <c r="T388" s="147" t="s">
        <v>78</v>
      </c>
      <c r="U388" s="147">
        <v>1</v>
      </c>
      <c r="V388" s="147" t="s">
        <v>75</v>
      </c>
      <c r="W388" s="147" t="s">
        <v>1930</v>
      </c>
      <c r="X388" s="147" t="s">
        <v>75</v>
      </c>
      <c r="Y388" s="147" t="s">
        <v>1931</v>
      </c>
      <c r="Z388" s="147" t="s">
        <v>121</v>
      </c>
      <c r="AA388" s="147" t="s">
        <v>75</v>
      </c>
      <c r="AB388" s="147" t="s">
        <v>75</v>
      </c>
      <c r="AC388" s="147" t="s">
        <v>84</v>
      </c>
    </row>
    <row r="389" spans="2:29" x14ac:dyDescent="0.25">
      <c r="B389" s="147" t="s">
        <v>1932</v>
      </c>
      <c r="C389" s="147" t="s">
        <v>78</v>
      </c>
      <c r="G389" s="147" t="s">
        <v>81</v>
      </c>
      <c r="J389" s="147" t="s">
        <v>81</v>
      </c>
      <c r="K389" s="147" t="s">
        <v>78</v>
      </c>
      <c r="L389" s="147" t="s">
        <v>81</v>
      </c>
      <c r="M389" s="147">
        <v>0</v>
      </c>
      <c r="N389" s="147" t="s">
        <v>81</v>
      </c>
      <c r="O389" s="147">
        <v>0</v>
      </c>
      <c r="P389" s="147" t="s">
        <v>78</v>
      </c>
      <c r="Q389" s="147">
        <v>0</v>
      </c>
      <c r="R389" s="147" t="s">
        <v>78</v>
      </c>
      <c r="S389" s="147">
        <v>0</v>
      </c>
      <c r="T389" s="147" t="s">
        <v>78</v>
      </c>
      <c r="U389" s="147">
        <v>0</v>
      </c>
      <c r="V389" s="147" t="s">
        <v>81</v>
      </c>
      <c r="W389" s="147" t="s">
        <v>78</v>
      </c>
      <c r="X389" s="147" t="s">
        <v>81</v>
      </c>
      <c r="Y389" s="147">
        <v>0</v>
      </c>
      <c r="Z389" s="147" t="s">
        <v>1648</v>
      </c>
      <c r="AA389" s="147" t="s">
        <v>81</v>
      </c>
      <c r="AB389" s="147" t="s">
        <v>81</v>
      </c>
      <c r="AC389" s="147" t="s">
        <v>110</v>
      </c>
    </row>
    <row r="390" spans="2:29" x14ac:dyDescent="0.25">
      <c r="B390" s="147" t="s">
        <v>1933</v>
      </c>
      <c r="C390" s="147" t="s">
        <v>78</v>
      </c>
      <c r="G390" s="147" t="s">
        <v>81</v>
      </c>
      <c r="J390" s="147" t="s">
        <v>75</v>
      </c>
      <c r="K390" s="147" t="s">
        <v>1934</v>
      </c>
      <c r="L390" s="147" t="s">
        <v>75</v>
      </c>
      <c r="M390" s="147" t="s">
        <v>1935</v>
      </c>
      <c r="N390" s="147" t="s">
        <v>75</v>
      </c>
      <c r="O390" s="147">
        <v>2</v>
      </c>
      <c r="P390" s="147" t="s">
        <v>1936</v>
      </c>
      <c r="Q390" s="147">
        <v>3</v>
      </c>
      <c r="R390" s="147" t="s">
        <v>1937</v>
      </c>
      <c r="S390" s="147">
        <v>4</v>
      </c>
      <c r="T390" s="147" t="s">
        <v>1938</v>
      </c>
      <c r="U390" s="147">
        <v>9</v>
      </c>
      <c r="V390" s="147" t="s">
        <v>81</v>
      </c>
      <c r="W390" s="147" t="s">
        <v>78</v>
      </c>
      <c r="X390" s="147" t="s">
        <v>75</v>
      </c>
      <c r="Y390" s="147" t="s">
        <v>1939</v>
      </c>
      <c r="Z390" s="147" t="s">
        <v>121</v>
      </c>
      <c r="AA390" s="147" t="s">
        <v>75</v>
      </c>
      <c r="AB390" s="147" t="s">
        <v>75</v>
      </c>
      <c r="AC390" s="147" t="s">
        <v>84</v>
      </c>
    </row>
    <row r="391" spans="2:29" x14ac:dyDescent="0.25">
      <c r="B391" s="147" t="s">
        <v>1940</v>
      </c>
      <c r="C391" s="147" t="s">
        <v>1941</v>
      </c>
      <c r="G391" s="147" t="s">
        <v>75</v>
      </c>
      <c r="J391" s="147" t="s">
        <v>75</v>
      </c>
      <c r="K391" s="147" t="s">
        <v>1942</v>
      </c>
      <c r="L391" s="147" t="s">
        <v>81</v>
      </c>
      <c r="M391" s="147">
        <v>0</v>
      </c>
      <c r="N391" s="147" t="s">
        <v>75</v>
      </c>
      <c r="O391" s="147">
        <v>0</v>
      </c>
      <c r="P391" s="147" t="s">
        <v>78</v>
      </c>
      <c r="Q391" s="147">
        <v>1</v>
      </c>
      <c r="R391" s="147" t="s">
        <v>1943</v>
      </c>
      <c r="S391" s="147">
        <v>3</v>
      </c>
      <c r="T391" s="147" t="s">
        <v>1944</v>
      </c>
      <c r="U391" s="147">
        <v>4</v>
      </c>
      <c r="V391" s="147" t="s">
        <v>81</v>
      </c>
      <c r="W391" s="147" t="s">
        <v>78</v>
      </c>
      <c r="X391" s="147" t="s">
        <v>75</v>
      </c>
      <c r="Y391" s="147" t="s">
        <v>1945</v>
      </c>
      <c r="Z391" s="147" t="s">
        <v>121</v>
      </c>
      <c r="AA391" s="147" t="s">
        <v>75</v>
      </c>
      <c r="AB391" s="147" t="s">
        <v>75</v>
      </c>
      <c r="AC391" s="147" t="s">
        <v>84</v>
      </c>
    </row>
    <row r="392" spans="2:29" x14ac:dyDescent="0.25">
      <c r="B392" s="147" t="s">
        <v>1946</v>
      </c>
      <c r="C392" s="147" t="s">
        <v>1941</v>
      </c>
      <c r="G392" s="147" t="s">
        <v>75</v>
      </c>
      <c r="J392" s="147" t="s">
        <v>75</v>
      </c>
      <c r="K392" s="147" t="s">
        <v>1942</v>
      </c>
      <c r="L392" s="147" t="s">
        <v>81</v>
      </c>
      <c r="M392" s="147">
        <v>0</v>
      </c>
      <c r="N392" s="147" t="s">
        <v>75</v>
      </c>
      <c r="O392" s="147">
        <v>0</v>
      </c>
      <c r="P392" s="147" t="s">
        <v>78</v>
      </c>
      <c r="Q392" s="147">
        <v>1</v>
      </c>
      <c r="R392" s="147" t="s">
        <v>1943</v>
      </c>
      <c r="S392" s="147">
        <v>3</v>
      </c>
      <c r="T392" s="147" t="s">
        <v>1944</v>
      </c>
      <c r="U392" s="147">
        <v>4</v>
      </c>
      <c r="V392" s="147" t="s">
        <v>81</v>
      </c>
      <c r="W392" s="147" t="s">
        <v>78</v>
      </c>
      <c r="X392" s="147" t="s">
        <v>75</v>
      </c>
      <c r="Y392" s="147" t="s">
        <v>1945</v>
      </c>
      <c r="Z392" s="147" t="s">
        <v>121</v>
      </c>
      <c r="AA392" s="147" t="s">
        <v>75</v>
      </c>
      <c r="AB392" s="147" t="s">
        <v>75</v>
      </c>
      <c r="AC392" s="147" t="s">
        <v>84</v>
      </c>
    </row>
    <row r="393" spans="2:29" x14ac:dyDescent="0.25">
      <c r="B393" s="147" t="s">
        <v>1947</v>
      </c>
      <c r="C393" s="147" t="s">
        <v>78</v>
      </c>
      <c r="G393" s="147" t="s">
        <v>81</v>
      </c>
      <c r="J393" s="147" t="s">
        <v>81</v>
      </c>
      <c r="K393" s="147" t="s">
        <v>78</v>
      </c>
      <c r="L393" s="147" t="s">
        <v>81</v>
      </c>
      <c r="M393" s="147">
        <v>0</v>
      </c>
      <c r="N393" s="147" t="s">
        <v>81</v>
      </c>
      <c r="O393" s="147">
        <v>0</v>
      </c>
      <c r="P393" s="147" t="s">
        <v>78</v>
      </c>
      <c r="Q393" s="147">
        <v>0</v>
      </c>
      <c r="R393" s="147" t="s">
        <v>78</v>
      </c>
      <c r="S393" s="147">
        <v>0</v>
      </c>
      <c r="T393" s="147" t="s">
        <v>78</v>
      </c>
      <c r="U393" s="147">
        <v>0</v>
      </c>
      <c r="V393" s="147" t="s">
        <v>81</v>
      </c>
      <c r="W393" s="147" t="s">
        <v>78</v>
      </c>
      <c r="X393" s="147" t="s">
        <v>81</v>
      </c>
      <c r="Y393" s="147">
        <v>0</v>
      </c>
      <c r="Z393" s="147" t="s">
        <v>121</v>
      </c>
      <c r="AA393" s="147" t="s">
        <v>75</v>
      </c>
      <c r="AB393" s="147" t="s">
        <v>81</v>
      </c>
      <c r="AC393" s="147" t="s">
        <v>84</v>
      </c>
    </row>
    <row r="394" spans="2:29" x14ac:dyDescent="0.25">
      <c r="B394" s="147" t="s">
        <v>1948</v>
      </c>
      <c r="C394" s="147" t="s">
        <v>78</v>
      </c>
      <c r="G394" s="147" t="s">
        <v>81</v>
      </c>
      <c r="J394" s="147" t="s">
        <v>81</v>
      </c>
      <c r="K394" s="147" t="s">
        <v>78</v>
      </c>
      <c r="L394" s="147" t="s">
        <v>81</v>
      </c>
      <c r="M394" s="147">
        <v>0</v>
      </c>
      <c r="N394" s="147" t="s">
        <v>75</v>
      </c>
      <c r="O394" s="147">
        <v>0</v>
      </c>
      <c r="P394" s="147" t="s">
        <v>78</v>
      </c>
      <c r="Q394" s="147">
        <v>0</v>
      </c>
      <c r="R394" s="147" t="s">
        <v>78</v>
      </c>
      <c r="S394" s="147">
        <v>1</v>
      </c>
      <c r="T394" s="147" t="s">
        <v>1949</v>
      </c>
      <c r="U394" s="147">
        <v>1</v>
      </c>
      <c r="V394" s="147" t="s">
        <v>81</v>
      </c>
      <c r="W394" s="147" t="s">
        <v>78</v>
      </c>
      <c r="X394" s="147" t="s">
        <v>75</v>
      </c>
      <c r="Y394" s="147" t="s">
        <v>1950</v>
      </c>
      <c r="Z394" s="147" t="s">
        <v>8</v>
      </c>
      <c r="AA394" s="147" t="s">
        <v>75</v>
      </c>
      <c r="AB394" s="147" t="s">
        <v>81</v>
      </c>
      <c r="AC394" s="147" t="s">
        <v>110</v>
      </c>
    </row>
    <row r="395" spans="2:29" x14ac:dyDescent="0.25">
      <c r="B395" s="147" t="s">
        <v>1951</v>
      </c>
      <c r="C395" s="147" t="s">
        <v>78</v>
      </c>
      <c r="G395" s="147" t="s">
        <v>81</v>
      </c>
      <c r="J395" s="147" t="s">
        <v>75</v>
      </c>
      <c r="K395" s="147" t="s">
        <v>1952</v>
      </c>
      <c r="L395" s="147" t="s">
        <v>75</v>
      </c>
      <c r="M395" s="147" t="s">
        <v>1953</v>
      </c>
      <c r="N395" s="147" t="s">
        <v>75</v>
      </c>
      <c r="O395" s="147">
        <v>1</v>
      </c>
      <c r="P395" s="147" t="s">
        <v>1954</v>
      </c>
      <c r="Q395" s="147">
        <v>2</v>
      </c>
      <c r="R395" s="147" t="s">
        <v>1955</v>
      </c>
      <c r="S395" s="147">
        <v>2</v>
      </c>
      <c r="T395" s="147" t="s">
        <v>1956</v>
      </c>
      <c r="U395" s="147">
        <v>5</v>
      </c>
      <c r="V395" s="147" t="s">
        <v>81</v>
      </c>
      <c r="W395" s="147" t="s">
        <v>78</v>
      </c>
      <c r="X395" s="147" t="s">
        <v>75</v>
      </c>
      <c r="Y395" s="147" t="s">
        <v>1957</v>
      </c>
      <c r="Z395" s="147" t="s">
        <v>121</v>
      </c>
      <c r="AA395" s="147" t="s">
        <v>75</v>
      </c>
      <c r="AB395" s="147" t="s">
        <v>75</v>
      </c>
      <c r="AC395" s="147" t="s">
        <v>84</v>
      </c>
    </row>
    <row r="396" spans="2:29" x14ac:dyDescent="0.25">
      <c r="B396" s="147" t="s">
        <v>1958</v>
      </c>
      <c r="C396" s="147" t="s">
        <v>78</v>
      </c>
      <c r="G396" s="147" t="s">
        <v>81</v>
      </c>
      <c r="J396" s="147" t="s">
        <v>75</v>
      </c>
      <c r="K396" s="147" t="s">
        <v>1959</v>
      </c>
      <c r="L396" s="147" t="s">
        <v>81</v>
      </c>
      <c r="M396" s="147">
        <v>0</v>
      </c>
      <c r="N396" s="147" t="s">
        <v>75</v>
      </c>
      <c r="O396" s="147">
        <v>0</v>
      </c>
      <c r="P396" s="147" t="s">
        <v>78</v>
      </c>
      <c r="Q396" s="147">
        <v>0</v>
      </c>
      <c r="R396" s="147" t="s">
        <v>78</v>
      </c>
      <c r="S396" s="147">
        <v>2</v>
      </c>
      <c r="T396" s="147" t="s">
        <v>1960</v>
      </c>
      <c r="U396" s="147">
        <v>2</v>
      </c>
      <c r="V396" s="147" t="s">
        <v>81</v>
      </c>
      <c r="W396" s="147" t="s">
        <v>78</v>
      </c>
      <c r="X396" s="147" t="s">
        <v>75</v>
      </c>
      <c r="Y396" s="147" t="s">
        <v>1961</v>
      </c>
      <c r="Z396" s="147" t="s">
        <v>217</v>
      </c>
      <c r="AA396" s="147" t="s">
        <v>75</v>
      </c>
      <c r="AB396" s="147" t="s">
        <v>75</v>
      </c>
      <c r="AC396" s="147" t="s">
        <v>84</v>
      </c>
    </row>
    <row r="397" spans="2:29" x14ac:dyDescent="0.25">
      <c r="B397" s="147" t="s">
        <v>1962</v>
      </c>
      <c r="C397" s="147" t="s">
        <v>78</v>
      </c>
      <c r="G397" s="147" t="s">
        <v>81</v>
      </c>
      <c r="J397" s="147" t="s">
        <v>81</v>
      </c>
      <c r="K397" s="147" t="s">
        <v>78</v>
      </c>
      <c r="L397" s="147" t="s">
        <v>81</v>
      </c>
      <c r="M397" s="147">
        <v>0</v>
      </c>
      <c r="N397" s="147" t="s">
        <v>81</v>
      </c>
      <c r="O397" s="147">
        <v>1</v>
      </c>
      <c r="P397" s="147" t="s">
        <v>1963</v>
      </c>
      <c r="Q397" s="147">
        <v>1</v>
      </c>
      <c r="R397" s="147" t="s">
        <v>1964</v>
      </c>
      <c r="S397" s="147">
        <v>0</v>
      </c>
      <c r="T397" s="147" t="s">
        <v>78</v>
      </c>
      <c r="U397" s="147">
        <v>2</v>
      </c>
      <c r="V397" s="147" t="s">
        <v>81</v>
      </c>
      <c r="W397" s="147" t="s">
        <v>78</v>
      </c>
      <c r="X397" s="147" t="s">
        <v>75</v>
      </c>
      <c r="Y397" s="147" t="s">
        <v>1965</v>
      </c>
      <c r="Z397" s="147" t="s">
        <v>121</v>
      </c>
      <c r="AA397" s="147" t="s">
        <v>75</v>
      </c>
      <c r="AB397" s="147" t="s">
        <v>81</v>
      </c>
      <c r="AC397" s="147" t="s">
        <v>110</v>
      </c>
    </row>
    <row r="398" spans="2:29" x14ac:dyDescent="0.25">
      <c r="B398" s="147" t="s">
        <v>1966</v>
      </c>
      <c r="C398" s="147" t="s">
        <v>78</v>
      </c>
      <c r="G398" s="147" t="s">
        <v>81</v>
      </c>
      <c r="J398" s="147" t="s">
        <v>81</v>
      </c>
      <c r="K398" s="147" t="s">
        <v>78</v>
      </c>
      <c r="L398" s="147" t="s">
        <v>81</v>
      </c>
      <c r="N398" s="147" t="s">
        <v>81</v>
      </c>
      <c r="O398" s="147">
        <v>0</v>
      </c>
      <c r="P398" s="147" t="s">
        <v>78</v>
      </c>
      <c r="Q398" s="147">
        <v>0</v>
      </c>
      <c r="R398" s="147" t="s">
        <v>78</v>
      </c>
      <c r="S398" s="147">
        <v>0</v>
      </c>
      <c r="T398" s="147" t="s">
        <v>78</v>
      </c>
      <c r="U398" s="147">
        <v>0</v>
      </c>
      <c r="V398" s="147" t="s">
        <v>81</v>
      </c>
      <c r="W398" s="147" t="s">
        <v>78</v>
      </c>
      <c r="X398" s="147" t="s">
        <v>81</v>
      </c>
      <c r="Y398" s="147" t="s">
        <v>78</v>
      </c>
      <c r="Z398" s="147" t="s">
        <v>121</v>
      </c>
      <c r="AA398" s="147" t="s">
        <v>75</v>
      </c>
      <c r="AB398" s="147" t="s">
        <v>81</v>
      </c>
      <c r="AC398" s="147" t="s">
        <v>84</v>
      </c>
    </row>
    <row r="399" spans="2:29" x14ac:dyDescent="0.25">
      <c r="B399" s="147" t="s">
        <v>1967</v>
      </c>
      <c r="C399" s="147" t="s">
        <v>78</v>
      </c>
      <c r="G399" s="147" t="s">
        <v>81</v>
      </c>
      <c r="J399" s="147" t="s">
        <v>81</v>
      </c>
      <c r="K399" s="147" t="s">
        <v>78</v>
      </c>
      <c r="L399" s="147" t="s">
        <v>81</v>
      </c>
      <c r="M399" s="147">
        <v>0</v>
      </c>
      <c r="N399" s="147" t="s">
        <v>81</v>
      </c>
      <c r="O399" s="147">
        <v>0</v>
      </c>
      <c r="P399" s="147" t="s">
        <v>78</v>
      </c>
      <c r="Q399" s="147">
        <v>0</v>
      </c>
      <c r="R399" s="147" t="s">
        <v>78</v>
      </c>
      <c r="S399" s="147">
        <v>0</v>
      </c>
      <c r="T399" s="147" t="s">
        <v>78</v>
      </c>
      <c r="U399" s="147">
        <v>0</v>
      </c>
      <c r="V399" s="147" t="s">
        <v>81</v>
      </c>
      <c r="W399" s="147" t="s">
        <v>78</v>
      </c>
      <c r="X399" s="147" t="s">
        <v>81</v>
      </c>
      <c r="Y399" s="147" t="s">
        <v>78</v>
      </c>
      <c r="Z399" s="147" t="s">
        <v>1648</v>
      </c>
      <c r="AA399" s="147" t="s">
        <v>81</v>
      </c>
      <c r="AB399" s="147" t="s">
        <v>81</v>
      </c>
      <c r="AC399" s="147" t="s">
        <v>84</v>
      </c>
    </row>
    <row r="400" spans="2:29" x14ac:dyDescent="0.25">
      <c r="B400" s="147" t="s">
        <v>1968</v>
      </c>
      <c r="C400" s="147" t="s">
        <v>78</v>
      </c>
      <c r="G400" s="147" t="s">
        <v>81</v>
      </c>
      <c r="J400" s="147" t="s">
        <v>81</v>
      </c>
      <c r="K400" s="147" t="s">
        <v>78</v>
      </c>
      <c r="L400" s="147" t="s">
        <v>81</v>
      </c>
      <c r="M400" s="147">
        <v>0</v>
      </c>
      <c r="N400" s="147" t="s">
        <v>81</v>
      </c>
      <c r="O400" s="147">
        <v>0</v>
      </c>
      <c r="P400" s="147" t="s">
        <v>78</v>
      </c>
      <c r="Q400" s="147">
        <v>0</v>
      </c>
      <c r="R400" s="147" t="s">
        <v>78</v>
      </c>
      <c r="S400" s="147">
        <v>0</v>
      </c>
      <c r="T400" s="147" t="s">
        <v>78</v>
      </c>
      <c r="U400" s="147">
        <v>0</v>
      </c>
      <c r="V400" s="147" t="s">
        <v>81</v>
      </c>
      <c r="W400" s="147" t="s">
        <v>78</v>
      </c>
      <c r="X400" s="147" t="s">
        <v>75</v>
      </c>
      <c r="Y400" s="147" t="s">
        <v>1969</v>
      </c>
      <c r="Z400" s="147" t="s">
        <v>121</v>
      </c>
      <c r="AA400" s="147" t="s">
        <v>75</v>
      </c>
      <c r="AB400" s="147" t="s">
        <v>81</v>
      </c>
      <c r="AC400" s="147" t="s">
        <v>84</v>
      </c>
    </row>
    <row r="401" spans="2:29" x14ac:dyDescent="0.25">
      <c r="B401" s="147" t="s">
        <v>1970</v>
      </c>
      <c r="C401" s="147" t="s">
        <v>78</v>
      </c>
      <c r="G401" s="147" t="s">
        <v>81</v>
      </c>
      <c r="J401" s="147" t="s">
        <v>81</v>
      </c>
      <c r="K401" s="147" t="s">
        <v>78</v>
      </c>
      <c r="L401" s="147" t="s">
        <v>81</v>
      </c>
      <c r="M401" s="147">
        <v>0</v>
      </c>
      <c r="N401" s="147" t="s">
        <v>81</v>
      </c>
      <c r="O401" s="147">
        <v>0</v>
      </c>
      <c r="P401" s="147" t="s">
        <v>78</v>
      </c>
      <c r="Q401" s="147">
        <v>0</v>
      </c>
      <c r="R401" s="147" t="s">
        <v>78</v>
      </c>
      <c r="S401" s="147">
        <v>0</v>
      </c>
      <c r="T401" s="147" t="s">
        <v>78</v>
      </c>
      <c r="U401" s="147">
        <v>0</v>
      </c>
      <c r="V401" s="147" t="s">
        <v>81</v>
      </c>
      <c r="W401" s="147" t="s">
        <v>78</v>
      </c>
      <c r="X401" s="147" t="s">
        <v>81</v>
      </c>
      <c r="Y401" s="147" t="s">
        <v>78</v>
      </c>
      <c r="Z401" s="147" t="s">
        <v>1648</v>
      </c>
      <c r="AA401" s="147" t="s">
        <v>81</v>
      </c>
      <c r="AB401" s="147" t="s">
        <v>81</v>
      </c>
      <c r="AC401" s="147" t="s">
        <v>84</v>
      </c>
    </row>
    <row r="402" spans="2:29" x14ac:dyDescent="0.25">
      <c r="B402" s="147" t="s">
        <v>1971</v>
      </c>
      <c r="C402" s="147" t="s">
        <v>78</v>
      </c>
      <c r="G402" s="147" t="s">
        <v>81</v>
      </c>
      <c r="J402" s="147" t="s">
        <v>81</v>
      </c>
      <c r="K402" s="147" t="s">
        <v>78</v>
      </c>
      <c r="L402" s="147" t="s">
        <v>81</v>
      </c>
      <c r="M402" s="147">
        <v>0</v>
      </c>
      <c r="N402" s="147" t="s">
        <v>81</v>
      </c>
      <c r="O402" s="147">
        <v>0</v>
      </c>
      <c r="P402" s="147" t="s">
        <v>78</v>
      </c>
      <c r="Q402" s="147">
        <v>0</v>
      </c>
      <c r="R402" s="147" t="s">
        <v>78</v>
      </c>
      <c r="S402" s="147">
        <v>0</v>
      </c>
      <c r="T402" s="147" t="s">
        <v>78</v>
      </c>
      <c r="U402" s="147">
        <v>0</v>
      </c>
      <c r="V402" s="147" t="s">
        <v>81</v>
      </c>
      <c r="W402" s="147" t="s">
        <v>78</v>
      </c>
      <c r="X402" s="147" t="s">
        <v>81</v>
      </c>
      <c r="Y402" s="147" t="s">
        <v>78</v>
      </c>
      <c r="Z402" s="147" t="s">
        <v>121</v>
      </c>
      <c r="AA402" s="147" t="s">
        <v>75</v>
      </c>
      <c r="AB402" s="147" t="s">
        <v>75</v>
      </c>
      <c r="AC402" s="147" t="s">
        <v>84</v>
      </c>
    </row>
    <row r="403" spans="2:29" x14ac:dyDescent="0.25">
      <c r="B403" s="147" t="s">
        <v>1972</v>
      </c>
      <c r="C403" s="147" t="s">
        <v>1973</v>
      </c>
      <c r="G403" s="147" t="s">
        <v>81</v>
      </c>
      <c r="J403" s="147" t="s">
        <v>81</v>
      </c>
      <c r="K403" s="147" t="s">
        <v>78</v>
      </c>
      <c r="L403" s="147" t="s">
        <v>81</v>
      </c>
      <c r="M403" s="147">
        <v>0</v>
      </c>
      <c r="N403" s="147" t="s">
        <v>81</v>
      </c>
      <c r="O403" s="147">
        <v>0</v>
      </c>
      <c r="P403" s="147" t="s">
        <v>78</v>
      </c>
      <c r="Q403" s="147">
        <v>0</v>
      </c>
      <c r="R403" s="147" t="s">
        <v>78</v>
      </c>
      <c r="S403" s="147">
        <v>0</v>
      </c>
      <c r="T403" s="147" t="s">
        <v>78</v>
      </c>
      <c r="U403" s="147">
        <v>0</v>
      </c>
      <c r="V403" s="147" t="s">
        <v>81</v>
      </c>
      <c r="W403" s="147" t="s">
        <v>78</v>
      </c>
      <c r="X403" s="147" t="s">
        <v>81</v>
      </c>
      <c r="Y403" s="147" t="s">
        <v>78</v>
      </c>
      <c r="Z403" s="147" t="s">
        <v>217</v>
      </c>
      <c r="AA403" s="147" t="s">
        <v>75</v>
      </c>
      <c r="AB403" s="147" t="s">
        <v>81</v>
      </c>
      <c r="AC403" s="147" t="s">
        <v>84</v>
      </c>
    </row>
    <row r="404" spans="2:29" x14ac:dyDescent="0.25">
      <c r="B404" s="147" t="s">
        <v>1974</v>
      </c>
      <c r="C404" s="147" t="s">
        <v>78</v>
      </c>
      <c r="G404" s="147" t="s">
        <v>81</v>
      </c>
      <c r="J404" s="147" t="s">
        <v>81</v>
      </c>
      <c r="K404" s="147" t="s">
        <v>78</v>
      </c>
      <c r="L404" s="147" t="s">
        <v>81</v>
      </c>
      <c r="M404" s="147">
        <v>0</v>
      </c>
      <c r="N404" s="147" t="s">
        <v>81</v>
      </c>
      <c r="O404" s="147">
        <v>0</v>
      </c>
      <c r="P404" s="147" t="s">
        <v>78</v>
      </c>
      <c r="Q404" s="147">
        <v>0</v>
      </c>
      <c r="R404" s="147" t="s">
        <v>78</v>
      </c>
      <c r="S404" s="147">
        <v>0</v>
      </c>
      <c r="T404" s="147" t="s">
        <v>78</v>
      </c>
      <c r="U404" s="147">
        <v>0</v>
      </c>
      <c r="V404" s="147" t="s">
        <v>81</v>
      </c>
      <c r="W404" s="147" t="s">
        <v>78</v>
      </c>
      <c r="X404" s="147" t="s">
        <v>81</v>
      </c>
      <c r="Y404" s="147" t="s">
        <v>78</v>
      </c>
      <c r="Z404" s="147" t="s">
        <v>1648</v>
      </c>
      <c r="AA404" s="147" t="s">
        <v>81</v>
      </c>
      <c r="AB404" s="147" t="s">
        <v>81</v>
      </c>
      <c r="AC404" s="147" t="s">
        <v>110</v>
      </c>
    </row>
    <row r="405" spans="2:29" x14ac:dyDescent="0.25">
      <c r="B405" s="147" t="s">
        <v>1975</v>
      </c>
      <c r="C405" s="147" t="s">
        <v>78</v>
      </c>
      <c r="G405" s="147" t="s">
        <v>81</v>
      </c>
      <c r="J405" s="147" t="s">
        <v>81</v>
      </c>
      <c r="K405" s="147" t="s">
        <v>78</v>
      </c>
      <c r="L405" s="147" t="s">
        <v>81</v>
      </c>
      <c r="M405" s="147">
        <v>0</v>
      </c>
      <c r="N405" s="147" t="s">
        <v>75</v>
      </c>
      <c r="O405" s="147">
        <v>0</v>
      </c>
      <c r="P405" s="147" t="s">
        <v>78</v>
      </c>
      <c r="Q405" s="147">
        <v>0</v>
      </c>
      <c r="R405" s="147" t="s">
        <v>78</v>
      </c>
      <c r="S405" s="147">
        <v>4</v>
      </c>
      <c r="T405" s="147" t="s">
        <v>1976</v>
      </c>
      <c r="U405" s="147">
        <v>4</v>
      </c>
      <c r="V405" s="147" t="s">
        <v>81</v>
      </c>
      <c r="W405" s="147" t="s">
        <v>78</v>
      </c>
      <c r="X405" s="147" t="s">
        <v>75</v>
      </c>
      <c r="Y405" s="147" t="s">
        <v>1977</v>
      </c>
      <c r="Z405" s="147" t="s">
        <v>121</v>
      </c>
      <c r="AA405" s="147" t="s">
        <v>75</v>
      </c>
      <c r="AB405" s="147" t="s">
        <v>75</v>
      </c>
      <c r="AC405" s="147" t="s">
        <v>84</v>
      </c>
    </row>
    <row r="406" spans="2:29" x14ac:dyDescent="0.25">
      <c r="B406" s="147" t="s">
        <v>1978</v>
      </c>
      <c r="C406" s="147" t="s">
        <v>78</v>
      </c>
      <c r="G406" s="147" t="s">
        <v>81</v>
      </c>
      <c r="J406" s="147" t="s">
        <v>81</v>
      </c>
      <c r="K406" s="147" t="s">
        <v>78</v>
      </c>
      <c r="L406" s="147" t="s">
        <v>81</v>
      </c>
      <c r="M406" s="147">
        <v>0</v>
      </c>
      <c r="N406" s="147" t="s">
        <v>81</v>
      </c>
      <c r="O406" s="147">
        <v>0</v>
      </c>
      <c r="P406" s="147" t="s">
        <v>78</v>
      </c>
      <c r="Q406" s="147">
        <v>0</v>
      </c>
      <c r="R406" s="147" t="s">
        <v>78</v>
      </c>
      <c r="S406" s="147">
        <v>0</v>
      </c>
      <c r="T406" s="147" t="s">
        <v>78</v>
      </c>
      <c r="U406" s="147">
        <v>0</v>
      </c>
      <c r="V406" s="147" t="s">
        <v>81</v>
      </c>
      <c r="W406" s="147" t="s">
        <v>78</v>
      </c>
      <c r="X406" s="147" t="s">
        <v>81</v>
      </c>
      <c r="Y406" s="147" t="s">
        <v>78</v>
      </c>
      <c r="Z406" s="147" t="s">
        <v>1648</v>
      </c>
      <c r="AA406" s="147" t="s">
        <v>81</v>
      </c>
      <c r="AB406" s="147" t="s">
        <v>81</v>
      </c>
      <c r="AC406" s="147" t="s">
        <v>84</v>
      </c>
    </row>
    <row r="407" spans="2:29" x14ac:dyDescent="0.25">
      <c r="B407" s="147" t="s">
        <v>1979</v>
      </c>
      <c r="C407" s="147" t="s">
        <v>78</v>
      </c>
      <c r="G407" s="147" t="s">
        <v>81</v>
      </c>
      <c r="J407" s="147" t="s">
        <v>81</v>
      </c>
      <c r="K407" s="147" t="s">
        <v>78</v>
      </c>
      <c r="L407" s="147" t="s">
        <v>81</v>
      </c>
      <c r="M407" s="147">
        <v>0</v>
      </c>
      <c r="N407" s="147" t="s">
        <v>81</v>
      </c>
      <c r="O407" s="147">
        <v>0</v>
      </c>
      <c r="P407" s="147" t="s">
        <v>78</v>
      </c>
      <c r="Q407" s="147">
        <v>0</v>
      </c>
      <c r="R407" s="147" t="s">
        <v>78</v>
      </c>
      <c r="S407" s="147">
        <v>0</v>
      </c>
      <c r="T407" s="147" t="s">
        <v>78</v>
      </c>
      <c r="U407" s="147">
        <v>0</v>
      </c>
      <c r="V407" s="147" t="s">
        <v>81</v>
      </c>
      <c r="W407" s="147" t="s">
        <v>78</v>
      </c>
      <c r="X407" s="147" t="s">
        <v>81</v>
      </c>
      <c r="Y407" s="147" t="s">
        <v>78</v>
      </c>
      <c r="Z407" s="147" t="s">
        <v>8</v>
      </c>
      <c r="AA407" s="147" t="s">
        <v>81</v>
      </c>
      <c r="AB407" s="147" t="s">
        <v>81</v>
      </c>
      <c r="AC407" s="147" t="s">
        <v>84</v>
      </c>
    </row>
    <row r="408" spans="2:29" x14ac:dyDescent="0.25">
      <c r="B408" s="147" t="s">
        <v>1980</v>
      </c>
      <c r="C408" s="147" t="s">
        <v>78</v>
      </c>
      <c r="G408" s="147" t="s">
        <v>81</v>
      </c>
      <c r="J408" s="147" t="s">
        <v>75</v>
      </c>
      <c r="K408" s="147" t="s">
        <v>1981</v>
      </c>
      <c r="L408" s="147" t="s">
        <v>81</v>
      </c>
      <c r="M408" s="147">
        <v>0</v>
      </c>
      <c r="N408" s="147" t="s">
        <v>75</v>
      </c>
      <c r="O408" s="147">
        <v>0</v>
      </c>
      <c r="P408" s="147" t="s">
        <v>78</v>
      </c>
      <c r="Q408" s="147">
        <v>1</v>
      </c>
      <c r="R408" s="147" t="s">
        <v>1982</v>
      </c>
      <c r="S408" s="147">
        <v>1</v>
      </c>
      <c r="T408" s="147" t="s">
        <v>1983</v>
      </c>
      <c r="U408" s="147">
        <v>2</v>
      </c>
      <c r="V408" s="147" t="s">
        <v>81</v>
      </c>
      <c r="W408" s="147" t="s">
        <v>78</v>
      </c>
      <c r="X408" s="147" t="s">
        <v>75</v>
      </c>
      <c r="Y408" s="147" t="s">
        <v>1984</v>
      </c>
      <c r="Z408" s="147" t="s">
        <v>121</v>
      </c>
      <c r="AA408" s="147" t="s">
        <v>75</v>
      </c>
      <c r="AB408" s="147" t="s">
        <v>75</v>
      </c>
      <c r="AC408" s="147" t="s">
        <v>84</v>
      </c>
    </row>
    <row r="409" spans="2:29" x14ac:dyDescent="0.25">
      <c r="B409" s="147" t="s">
        <v>1985</v>
      </c>
      <c r="C409" s="147" t="s">
        <v>78</v>
      </c>
      <c r="G409" s="147" t="s">
        <v>81</v>
      </c>
      <c r="J409" s="147" t="s">
        <v>81</v>
      </c>
      <c r="K409" s="147" t="s">
        <v>78</v>
      </c>
      <c r="L409" s="147" t="s">
        <v>81</v>
      </c>
      <c r="M409" s="147">
        <v>0</v>
      </c>
      <c r="N409" s="147" t="s">
        <v>81</v>
      </c>
      <c r="O409" s="147">
        <v>0</v>
      </c>
      <c r="P409" s="147" t="s">
        <v>78</v>
      </c>
      <c r="Q409" s="147">
        <v>0</v>
      </c>
      <c r="R409" s="147" t="s">
        <v>78</v>
      </c>
      <c r="S409" s="147">
        <v>0</v>
      </c>
      <c r="T409" s="147" t="s">
        <v>78</v>
      </c>
      <c r="U409" s="147">
        <v>0</v>
      </c>
      <c r="V409" s="147" t="s">
        <v>81</v>
      </c>
      <c r="W409" s="147" t="s">
        <v>78</v>
      </c>
      <c r="X409" s="147" t="s">
        <v>81</v>
      </c>
      <c r="Y409" s="147" t="s">
        <v>78</v>
      </c>
      <c r="Z409" s="147" t="s">
        <v>121</v>
      </c>
      <c r="AA409" s="147" t="s">
        <v>75</v>
      </c>
      <c r="AB409" s="147" t="s">
        <v>81</v>
      </c>
      <c r="AC409" s="147" t="s">
        <v>84</v>
      </c>
    </row>
    <row r="410" spans="2:29" x14ac:dyDescent="0.25">
      <c r="B410" s="147" t="s">
        <v>1986</v>
      </c>
      <c r="C410" s="147" t="s">
        <v>1987</v>
      </c>
      <c r="G410" s="147" t="s">
        <v>81</v>
      </c>
      <c r="J410" s="147" t="s">
        <v>75</v>
      </c>
      <c r="K410" s="147" t="s">
        <v>1988</v>
      </c>
      <c r="L410" s="147" t="s">
        <v>75</v>
      </c>
      <c r="M410" s="147" t="s">
        <v>1989</v>
      </c>
      <c r="N410" s="147" t="s">
        <v>75</v>
      </c>
      <c r="O410" s="147">
        <v>1</v>
      </c>
      <c r="P410" s="147" t="s">
        <v>1990</v>
      </c>
      <c r="Q410" s="147">
        <v>3</v>
      </c>
      <c r="R410" s="147" t="s">
        <v>1991</v>
      </c>
      <c r="S410" s="147">
        <v>0</v>
      </c>
      <c r="T410" s="147" t="s">
        <v>78</v>
      </c>
      <c r="U410" s="147">
        <v>4</v>
      </c>
      <c r="V410" s="147" t="s">
        <v>81</v>
      </c>
      <c r="W410" s="147" t="s">
        <v>78</v>
      </c>
      <c r="X410" s="147" t="s">
        <v>75</v>
      </c>
      <c r="Y410" s="147" t="s">
        <v>1992</v>
      </c>
      <c r="Z410" s="147" t="s">
        <v>217</v>
      </c>
      <c r="AA410" s="147" t="s">
        <v>75</v>
      </c>
      <c r="AB410" s="147" t="s">
        <v>75</v>
      </c>
      <c r="AC410" s="147" t="s">
        <v>84</v>
      </c>
    </row>
    <row r="411" spans="2:29" x14ac:dyDescent="0.25">
      <c r="B411" s="147" t="s">
        <v>2217</v>
      </c>
      <c r="C411" s="147" t="s">
        <v>78</v>
      </c>
      <c r="G411" s="147" t="s">
        <v>81</v>
      </c>
      <c r="J411" s="147" t="s">
        <v>75</v>
      </c>
      <c r="K411" s="147" t="s">
        <v>1993</v>
      </c>
      <c r="L411" s="147" t="s">
        <v>75</v>
      </c>
      <c r="M411" s="147" t="s">
        <v>1994</v>
      </c>
      <c r="N411" s="147" t="s">
        <v>75</v>
      </c>
      <c r="O411" s="147">
        <v>1</v>
      </c>
      <c r="P411" s="147" t="s">
        <v>1995</v>
      </c>
      <c r="Q411" s="147">
        <v>2</v>
      </c>
      <c r="R411" s="147" t="s">
        <v>1996</v>
      </c>
      <c r="S411" s="147">
        <v>4</v>
      </c>
      <c r="T411" s="147" t="s">
        <v>1997</v>
      </c>
      <c r="U411" s="147">
        <v>7</v>
      </c>
      <c r="V411" s="147" t="s">
        <v>81</v>
      </c>
      <c r="W411" s="147" t="s">
        <v>78</v>
      </c>
      <c r="X411" s="147" t="s">
        <v>75</v>
      </c>
      <c r="Y411" s="147" t="s">
        <v>1998</v>
      </c>
      <c r="Z411" s="147" t="s">
        <v>121</v>
      </c>
      <c r="AA411" s="147" t="s">
        <v>75</v>
      </c>
      <c r="AB411" s="147" t="s">
        <v>75</v>
      </c>
      <c r="AC411" s="147" t="s">
        <v>84</v>
      </c>
    </row>
    <row r="412" spans="2:29" x14ac:dyDescent="0.25">
      <c r="B412" s="147" t="s">
        <v>2218</v>
      </c>
      <c r="C412" s="147" t="s">
        <v>78</v>
      </c>
      <c r="G412" s="147" t="s">
        <v>81</v>
      </c>
      <c r="J412" s="147" t="s">
        <v>81</v>
      </c>
      <c r="K412" s="147" t="s">
        <v>78</v>
      </c>
      <c r="L412" s="147" t="s">
        <v>81</v>
      </c>
      <c r="M412" s="147">
        <v>0</v>
      </c>
      <c r="N412" s="147" t="s">
        <v>81</v>
      </c>
      <c r="O412" s="147">
        <v>0</v>
      </c>
      <c r="P412" s="147" t="s">
        <v>78</v>
      </c>
      <c r="Q412" s="147">
        <v>0</v>
      </c>
      <c r="R412" s="147" t="s">
        <v>78</v>
      </c>
      <c r="S412" s="147">
        <v>0</v>
      </c>
      <c r="T412" s="147" t="s">
        <v>78</v>
      </c>
      <c r="U412" s="147">
        <v>0</v>
      </c>
      <c r="V412" s="147" t="s">
        <v>81</v>
      </c>
      <c r="W412" s="147" t="s">
        <v>78</v>
      </c>
      <c r="X412" s="147" t="s">
        <v>81</v>
      </c>
      <c r="Y412" s="147" t="s">
        <v>78</v>
      </c>
      <c r="Z412" s="147" t="s">
        <v>1648</v>
      </c>
      <c r="AA412" s="147" t="s">
        <v>81</v>
      </c>
      <c r="AB412" s="147" t="s">
        <v>81</v>
      </c>
      <c r="AC412" s="147" t="s">
        <v>84</v>
      </c>
    </row>
    <row r="413" spans="2:29" x14ac:dyDescent="0.25">
      <c r="B413" s="147" t="s">
        <v>2219</v>
      </c>
      <c r="C413" s="147" t="s">
        <v>78</v>
      </c>
      <c r="G413" s="147" t="s">
        <v>81</v>
      </c>
      <c r="J413" s="147" t="s">
        <v>81</v>
      </c>
      <c r="K413" s="147" t="s">
        <v>78</v>
      </c>
      <c r="L413" s="147" t="s">
        <v>81</v>
      </c>
      <c r="M413" s="147">
        <v>0</v>
      </c>
      <c r="N413" s="147" t="s">
        <v>81</v>
      </c>
      <c r="O413" s="147">
        <v>0</v>
      </c>
      <c r="P413" s="147" t="s">
        <v>78</v>
      </c>
      <c r="Q413" s="147">
        <v>0</v>
      </c>
      <c r="R413" s="147" t="s">
        <v>78</v>
      </c>
      <c r="S413" s="147">
        <v>0</v>
      </c>
      <c r="T413" s="147" t="s">
        <v>78</v>
      </c>
      <c r="U413" s="147">
        <v>0</v>
      </c>
      <c r="V413" s="147" t="s">
        <v>81</v>
      </c>
      <c r="W413" s="147" t="s">
        <v>78</v>
      </c>
      <c r="X413" s="147" t="s">
        <v>81</v>
      </c>
      <c r="Y413" s="147" t="s">
        <v>78</v>
      </c>
      <c r="Z413" s="147" t="s">
        <v>121</v>
      </c>
      <c r="AA413" s="147" t="s">
        <v>81</v>
      </c>
      <c r="AB413" s="147" t="s">
        <v>81</v>
      </c>
      <c r="AC413" s="147" t="s">
        <v>84</v>
      </c>
    </row>
    <row r="414" spans="2:29" x14ac:dyDescent="0.25">
      <c r="B414" s="147" t="s">
        <v>2220</v>
      </c>
      <c r="C414" s="147" t="s">
        <v>78</v>
      </c>
      <c r="G414" s="147" t="s">
        <v>75</v>
      </c>
      <c r="J414" s="147" t="s">
        <v>75</v>
      </c>
      <c r="K414" s="147" t="s">
        <v>1999</v>
      </c>
      <c r="L414" s="147" t="s">
        <v>75</v>
      </c>
      <c r="M414" s="147" t="s">
        <v>2000</v>
      </c>
      <c r="N414" s="147" t="s">
        <v>75</v>
      </c>
      <c r="O414" s="147">
        <v>1</v>
      </c>
      <c r="P414" s="147" t="s">
        <v>2001</v>
      </c>
      <c r="Q414" s="147">
        <v>2</v>
      </c>
      <c r="R414" s="147" t="s">
        <v>2002</v>
      </c>
      <c r="S414" s="147">
        <v>2</v>
      </c>
      <c r="T414" s="147" t="s">
        <v>2003</v>
      </c>
      <c r="U414" s="147">
        <v>5</v>
      </c>
      <c r="V414" s="147" t="s">
        <v>81</v>
      </c>
      <c r="W414" s="147" t="s">
        <v>78</v>
      </c>
      <c r="X414" s="147" t="s">
        <v>75</v>
      </c>
      <c r="Y414" s="147" t="s">
        <v>2004</v>
      </c>
      <c r="Z414" s="147" t="s">
        <v>121</v>
      </c>
      <c r="AA414" s="147" t="s">
        <v>75</v>
      </c>
      <c r="AB414" s="147" t="s">
        <v>75</v>
      </c>
      <c r="AC414" s="147" t="s">
        <v>84</v>
      </c>
    </row>
    <row r="415" spans="2:29" x14ac:dyDescent="0.25">
      <c r="B415" s="147" t="s">
        <v>2221</v>
      </c>
      <c r="C415" s="147" t="s">
        <v>78</v>
      </c>
      <c r="G415" s="147" t="s">
        <v>81</v>
      </c>
      <c r="J415" s="147" t="s">
        <v>75</v>
      </c>
      <c r="K415" s="147" t="s">
        <v>2005</v>
      </c>
      <c r="L415" s="147" t="s">
        <v>75</v>
      </c>
      <c r="M415" s="147" t="s">
        <v>2006</v>
      </c>
      <c r="N415" s="147" t="s">
        <v>75</v>
      </c>
      <c r="O415" s="147">
        <v>1</v>
      </c>
      <c r="P415" s="147" t="s">
        <v>2007</v>
      </c>
      <c r="Q415" s="147">
        <v>2</v>
      </c>
      <c r="R415" s="147" t="s">
        <v>2008</v>
      </c>
      <c r="S415" s="147">
        <v>3</v>
      </c>
      <c r="T415" s="147" t="s">
        <v>2009</v>
      </c>
      <c r="U415" s="147">
        <v>6</v>
      </c>
      <c r="V415" s="147" t="s">
        <v>81</v>
      </c>
      <c r="W415" s="147" t="s">
        <v>78</v>
      </c>
      <c r="X415" s="147" t="s">
        <v>75</v>
      </c>
      <c r="Y415" s="147" t="s">
        <v>2010</v>
      </c>
      <c r="Z415" s="147" t="s">
        <v>121</v>
      </c>
      <c r="AA415" s="147" t="s">
        <v>75</v>
      </c>
      <c r="AB415" s="147" t="s">
        <v>75</v>
      </c>
      <c r="AC415" s="147" t="s">
        <v>84</v>
      </c>
    </row>
    <row r="416" spans="2:29" x14ac:dyDescent="0.25">
      <c r="B416" s="147" t="s">
        <v>2222</v>
      </c>
      <c r="G416" s="147" t="s">
        <v>81</v>
      </c>
      <c r="J416" s="147" t="s">
        <v>81</v>
      </c>
      <c r="K416" s="147" t="s">
        <v>78</v>
      </c>
      <c r="L416" s="147" t="s">
        <v>75</v>
      </c>
      <c r="M416" s="147" t="s">
        <v>2011</v>
      </c>
      <c r="N416" s="147" t="s">
        <v>81</v>
      </c>
      <c r="O416" s="147">
        <v>0</v>
      </c>
      <c r="P416" s="147" t="s">
        <v>78</v>
      </c>
      <c r="Q416" s="147">
        <v>0</v>
      </c>
      <c r="R416" s="147" t="s">
        <v>78</v>
      </c>
      <c r="S416" s="147">
        <v>0</v>
      </c>
      <c r="T416" s="147" t="s">
        <v>78</v>
      </c>
      <c r="U416" s="147">
        <v>0</v>
      </c>
      <c r="V416" s="147" t="s">
        <v>81</v>
      </c>
      <c r="W416" s="147" t="s">
        <v>78</v>
      </c>
      <c r="X416" s="147" t="s">
        <v>75</v>
      </c>
      <c r="Y416" s="147" t="s">
        <v>78</v>
      </c>
      <c r="Z416" s="147" t="s">
        <v>121</v>
      </c>
      <c r="AA416" s="147" t="s">
        <v>75</v>
      </c>
      <c r="AB416" s="147" t="s">
        <v>81</v>
      </c>
      <c r="AC416" s="147" t="s">
        <v>84</v>
      </c>
    </row>
    <row r="417" spans="2:29" x14ac:dyDescent="0.25">
      <c r="B417" s="147" t="s">
        <v>2223</v>
      </c>
      <c r="C417" s="147" t="s">
        <v>78</v>
      </c>
      <c r="G417" s="147" t="s">
        <v>81</v>
      </c>
      <c r="J417" s="147" t="s">
        <v>75</v>
      </c>
      <c r="K417" s="147" t="s">
        <v>2012</v>
      </c>
      <c r="L417" s="147" t="s">
        <v>75</v>
      </c>
      <c r="M417" s="147" t="s">
        <v>2013</v>
      </c>
      <c r="N417" s="147" t="s">
        <v>75</v>
      </c>
      <c r="O417" s="147">
        <v>1</v>
      </c>
      <c r="P417" s="147" t="s">
        <v>2014</v>
      </c>
      <c r="Q417" s="147">
        <v>2</v>
      </c>
      <c r="R417" s="147" t="s">
        <v>2015</v>
      </c>
      <c r="S417" s="147">
        <v>1</v>
      </c>
      <c r="T417" s="147" t="s">
        <v>2016</v>
      </c>
      <c r="U417" s="147">
        <v>3</v>
      </c>
      <c r="V417" s="147" t="s">
        <v>81</v>
      </c>
      <c r="W417" s="147" t="s">
        <v>78</v>
      </c>
      <c r="X417" s="147" t="s">
        <v>75</v>
      </c>
      <c r="Y417" s="147" t="s">
        <v>2017</v>
      </c>
      <c r="Z417" s="147" t="s">
        <v>121</v>
      </c>
      <c r="AA417" s="147" t="s">
        <v>75</v>
      </c>
      <c r="AB417" s="147" t="s">
        <v>75</v>
      </c>
      <c r="AC417" s="147" t="s">
        <v>84</v>
      </c>
    </row>
    <row r="418" spans="2:29" x14ac:dyDescent="0.25">
      <c r="B418" s="147" t="s">
        <v>2224</v>
      </c>
      <c r="C418" s="147" t="s">
        <v>78</v>
      </c>
      <c r="G418" s="147" t="s">
        <v>81</v>
      </c>
      <c r="J418" s="147" t="s">
        <v>81</v>
      </c>
      <c r="K418" s="147" t="s">
        <v>78</v>
      </c>
      <c r="L418" s="147" t="s">
        <v>81</v>
      </c>
      <c r="M418" s="147">
        <v>0</v>
      </c>
      <c r="N418" s="147" t="s">
        <v>81</v>
      </c>
      <c r="O418" s="147">
        <v>0</v>
      </c>
      <c r="P418" s="147" t="s">
        <v>78</v>
      </c>
      <c r="Q418" s="147">
        <v>0</v>
      </c>
      <c r="R418" s="147" t="s">
        <v>78</v>
      </c>
      <c r="S418" s="147">
        <v>0</v>
      </c>
      <c r="T418" s="147" t="s">
        <v>78</v>
      </c>
      <c r="U418" s="147">
        <v>0</v>
      </c>
      <c r="V418" s="147" t="s">
        <v>81</v>
      </c>
      <c r="W418" s="147" t="s">
        <v>78</v>
      </c>
      <c r="X418" s="147" t="s">
        <v>81</v>
      </c>
      <c r="Y418" s="147" t="s">
        <v>78</v>
      </c>
      <c r="Z418" s="147" t="s">
        <v>121</v>
      </c>
      <c r="AA418" s="147" t="s">
        <v>75</v>
      </c>
      <c r="AB418" s="147" t="s">
        <v>75</v>
      </c>
      <c r="AC418" s="147" t="s">
        <v>84</v>
      </c>
    </row>
    <row r="419" spans="2:29" x14ac:dyDescent="0.25">
      <c r="B419" s="147" t="s">
        <v>2225</v>
      </c>
      <c r="C419" s="147" t="s">
        <v>78</v>
      </c>
      <c r="G419" s="147" t="s">
        <v>81</v>
      </c>
      <c r="J419" s="147" t="s">
        <v>81</v>
      </c>
      <c r="K419" s="147" t="s">
        <v>78</v>
      </c>
      <c r="L419" s="147" t="s">
        <v>81</v>
      </c>
      <c r="M419" s="147">
        <v>0</v>
      </c>
      <c r="N419" s="147" t="s">
        <v>81</v>
      </c>
      <c r="O419" s="147">
        <v>0</v>
      </c>
      <c r="P419" s="147" t="s">
        <v>78</v>
      </c>
      <c r="Q419" s="147">
        <v>0</v>
      </c>
      <c r="R419" s="147" t="s">
        <v>78</v>
      </c>
      <c r="S419" s="147">
        <v>0</v>
      </c>
      <c r="T419" s="147" t="s">
        <v>78</v>
      </c>
      <c r="U419" s="147">
        <v>0</v>
      </c>
      <c r="V419" s="147" t="s">
        <v>81</v>
      </c>
      <c r="W419" s="147" t="s">
        <v>78</v>
      </c>
      <c r="X419" s="147" t="s">
        <v>81</v>
      </c>
      <c r="Y419" s="147" t="s">
        <v>78</v>
      </c>
      <c r="Z419" s="147" t="s">
        <v>397</v>
      </c>
      <c r="AA419" s="147" t="s">
        <v>81</v>
      </c>
      <c r="AB419" s="147" t="s">
        <v>81</v>
      </c>
      <c r="AC419" s="147" t="s">
        <v>110</v>
      </c>
    </row>
    <row r="420" spans="2:29" x14ac:dyDescent="0.25">
      <c r="B420" s="147" t="s">
        <v>2226</v>
      </c>
      <c r="C420" s="147" t="s">
        <v>78</v>
      </c>
      <c r="G420" s="147" t="s">
        <v>81</v>
      </c>
      <c r="J420" s="147" t="s">
        <v>75</v>
      </c>
      <c r="K420" s="147" t="s">
        <v>2018</v>
      </c>
      <c r="L420" s="147" t="s">
        <v>75</v>
      </c>
      <c r="M420" s="147" t="s">
        <v>2019</v>
      </c>
      <c r="N420" s="147" t="s">
        <v>75</v>
      </c>
      <c r="O420" s="147">
        <v>1</v>
      </c>
      <c r="P420" s="147" t="s">
        <v>2020</v>
      </c>
      <c r="Q420" s="147">
        <v>2</v>
      </c>
      <c r="R420" s="147" t="s">
        <v>2021</v>
      </c>
      <c r="S420" s="147">
        <v>1</v>
      </c>
      <c r="T420" s="147" t="s">
        <v>2022</v>
      </c>
      <c r="U420" s="147">
        <v>4</v>
      </c>
      <c r="V420" s="147" t="s">
        <v>81</v>
      </c>
      <c r="W420" s="147" t="s">
        <v>78</v>
      </c>
      <c r="X420" s="147" t="s">
        <v>75</v>
      </c>
      <c r="Y420" s="147" t="s">
        <v>2023</v>
      </c>
      <c r="Z420" s="147" t="s">
        <v>121</v>
      </c>
      <c r="AA420" s="147" t="s">
        <v>75</v>
      </c>
      <c r="AB420" s="147" t="s">
        <v>75</v>
      </c>
      <c r="AC420" s="147" t="s">
        <v>84</v>
      </c>
    </row>
    <row r="421" spans="2:29" x14ac:dyDescent="0.25">
      <c r="B421" s="147" t="s">
        <v>2227</v>
      </c>
      <c r="C421" s="147" t="s">
        <v>78</v>
      </c>
      <c r="G421" s="147" t="s">
        <v>81</v>
      </c>
      <c r="J421" s="147" t="s">
        <v>81</v>
      </c>
      <c r="K421" s="147" t="s">
        <v>78</v>
      </c>
      <c r="L421" s="147" t="s">
        <v>81</v>
      </c>
      <c r="M421" s="147">
        <v>0</v>
      </c>
      <c r="N421" s="147" t="s">
        <v>81</v>
      </c>
      <c r="O421" s="147">
        <v>0</v>
      </c>
      <c r="P421" s="147" t="s">
        <v>78</v>
      </c>
      <c r="Q421" s="147">
        <v>0</v>
      </c>
      <c r="R421" s="147" t="s">
        <v>78</v>
      </c>
      <c r="S421" s="147">
        <v>0</v>
      </c>
      <c r="T421" s="147" t="s">
        <v>78</v>
      </c>
      <c r="U421" s="147">
        <v>0</v>
      </c>
      <c r="V421" s="147" t="s">
        <v>81</v>
      </c>
      <c r="W421" s="147" t="s">
        <v>78</v>
      </c>
      <c r="X421" s="147" t="s">
        <v>81</v>
      </c>
      <c r="Y421" s="147" t="s">
        <v>78</v>
      </c>
      <c r="Z421" s="147" t="s">
        <v>121</v>
      </c>
      <c r="AA421" s="147" t="s">
        <v>75</v>
      </c>
      <c r="AB421" s="147" t="s">
        <v>81</v>
      </c>
      <c r="AC421" s="147" t="s">
        <v>84</v>
      </c>
    </row>
    <row r="422" spans="2:29" x14ac:dyDescent="0.25">
      <c r="B422" s="147" t="s">
        <v>2228</v>
      </c>
      <c r="C422" s="147" t="s">
        <v>78</v>
      </c>
      <c r="G422" s="147" t="s">
        <v>81</v>
      </c>
      <c r="J422" s="147" t="s">
        <v>75</v>
      </c>
      <c r="K422" s="147" t="s">
        <v>2024</v>
      </c>
      <c r="L422" s="147" t="s">
        <v>75</v>
      </c>
      <c r="M422" s="147" t="s">
        <v>2025</v>
      </c>
      <c r="N422" s="147" t="s">
        <v>75</v>
      </c>
      <c r="O422" s="147">
        <v>2</v>
      </c>
      <c r="P422" s="147" t="s">
        <v>2026</v>
      </c>
      <c r="Q422" s="147">
        <v>1</v>
      </c>
      <c r="R422" s="147" t="s">
        <v>2027</v>
      </c>
      <c r="S422" s="147">
        <v>2</v>
      </c>
      <c r="T422" s="147" t="s">
        <v>2028</v>
      </c>
      <c r="U422" s="147">
        <v>5</v>
      </c>
      <c r="V422" s="147" t="s">
        <v>81</v>
      </c>
      <c r="W422" s="147" t="s">
        <v>78</v>
      </c>
      <c r="X422" s="147" t="s">
        <v>75</v>
      </c>
      <c r="Y422" s="147" t="s">
        <v>2023</v>
      </c>
      <c r="Z422" s="147" t="s">
        <v>121</v>
      </c>
      <c r="AA422" s="147" t="s">
        <v>75</v>
      </c>
      <c r="AB422" s="147" t="s">
        <v>75</v>
      </c>
      <c r="AC422" s="147" t="s">
        <v>84</v>
      </c>
    </row>
    <row r="423" spans="2:29" x14ac:dyDescent="0.25">
      <c r="B423" s="147" t="s">
        <v>2229</v>
      </c>
      <c r="C423" s="147" t="s">
        <v>78</v>
      </c>
      <c r="G423" s="147" t="s">
        <v>81</v>
      </c>
      <c r="J423" s="147" t="s">
        <v>75</v>
      </c>
      <c r="K423" s="147" t="s">
        <v>2029</v>
      </c>
      <c r="L423" s="147" t="s">
        <v>75</v>
      </c>
      <c r="M423" s="147" t="s">
        <v>2030</v>
      </c>
      <c r="N423" s="147" t="s">
        <v>75</v>
      </c>
      <c r="O423" s="147">
        <v>2</v>
      </c>
      <c r="P423" s="147" t="s">
        <v>2031</v>
      </c>
      <c r="Q423" s="147">
        <v>1</v>
      </c>
      <c r="R423" s="147" t="s">
        <v>2032</v>
      </c>
      <c r="S423" s="147">
        <v>3</v>
      </c>
      <c r="T423" s="147" t="s">
        <v>2033</v>
      </c>
      <c r="U423" s="147">
        <v>6</v>
      </c>
      <c r="V423" s="147" t="s">
        <v>81</v>
      </c>
      <c r="W423" s="147" t="s">
        <v>78</v>
      </c>
      <c r="X423" s="147" t="s">
        <v>75</v>
      </c>
      <c r="Y423" s="147" t="s">
        <v>2034</v>
      </c>
      <c r="Z423" s="147" t="s">
        <v>121</v>
      </c>
      <c r="AA423" s="147" t="s">
        <v>75</v>
      </c>
      <c r="AB423" s="147" t="s">
        <v>75</v>
      </c>
      <c r="AC423" s="147" t="s">
        <v>84</v>
      </c>
    </row>
    <row r="424" spans="2:29" x14ac:dyDescent="0.25">
      <c r="B424" s="147" t="s">
        <v>2230</v>
      </c>
      <c r="C424" s="147" t="s">
        <v>78</v>
      </c>
      <c r="G424" s="147" t="s">
        <v>81</v>
      </c>
      <c r="J424" s="147" t="s">
        <v>75</v>
      </c>
      <c r="K424" s="147" t="s">
        <v>2035</v>
      </c>
      <c r="L424" s="147" t="s">
        <v>75</v>
      </c>
      <c r="M424" s="147" t="s">
        <v>2036</v>
      </c>
      <c r="N424" s="147" t="s">
        <v>75</v>
      </c>
      <c r="O424" s="147">
        <v>1</v>
      </c>
      <c r="P424" s="147" t="s">
        <v>2037</v>
      </c>
      <c r="Q424" s="147">
        <v>1</v>
      </c>
      <c r="R424" s="147" t="s">
        <v>2038</v>
      </c>
      <c r="S424" s="147">
        <v>1</v>
      </c>
      <c r="T424" s="147" t="s">
        <v>2039</v>
      </c>
      <c r="U424" s="147">
        <v>3</v>
      </c>
      <c r="V424" s="147" t="s">
        <v>81</v>
      </c>
      <c r="W424" s="147" t="s">
        <v>78</v>
      </c>
      <c r="X424" s="147" t="s">
        <v>75</v>
      </c>
      <c r="Y424" s="147" t="s">
        <v>2040</v>
      </c>
      <c r="Z424" s="147" t="s">
        <v>121</v>
      </c>
      <c r="AA424" s="147" t="s">
        <v>75</v>
      </c>
      <c r="AB424" s="147" t="s">
        <v>75</v>
      </c>
      <c r="AC424" s="147" t="s">
        <v>84</v>
      </c>
    </row>
    <row r="425" spans="2:29" x14ac:dyDescent="0.25">
      <c r="B425" s="147" t="s">
        <v>2231</v>
      </c>
      <c r="C425" s="147" t="s">
        <v>1886</v>
      </c>
      <c r="G425" s="147" t="s">
        <v>81</v>
      </c>
      <c r="J425" s="147" t="s">
        <v>75</v>
      </c>
      <c r="K425" s="147" t="s">
        <v>2041</v>
      </c>
      <c r="L425" s="147" t="s">
        <v>75</v>
      </c>
      <c r="M425" s="147" t="s">
        <v>1888</v>
      </c>
      <c r="N425" s="147" t="s">
        <v>75</v>
      </c>
      <c r="O425" s="147">
        <v>1</v>
      </c>
      <c r="P425" s="147" t="s">
        <v>1889</v>
      </c>
      <c r="Q425" s="147">
        <v>3</v>
      </c>
      <c r="R425" s="147" t="s">
        <v>1890</v>
      </c>
      <c r="S425" s="147">
        <v>2</v>
      </c>
      <c r="T425" s="147" t="s">
        <v>2042</v>
      </c>
      <c r="U425" s="147">
        <v>6</v>
      </c>
      <c r="V425" s="147" t="s">
        <v>75</v>
      </c>
      <c r="W425" s="147" t="s">
        <v>1892</v>
      </c>
      <c r="X425" s="147" t="s">
        <v>75</v>
      </c>
      <c r="Y425" s="147" t="s">
        <v>1893</v>
      </c>
      <c r="Z425" s="147" t="s">
        <v>121</v>
      </c>
      <c r="AA425" s="147" t="s">
        <v>75</v>
      </c>
      <c r="AB425" s="147" t="s">
        <v>75</v>
      </c>
      <c r="AC425" s="147" t="s">
        <v>84</v>
      </c>
    </row>
    <row r="426" spans="2:29" x14ac:dyDescent="0.25">
      <c r="B426" s="147" t="s">
        <v>2232</v>
      </c>
      <c r="C426" s="147" t="s">
        <v>2043</v>
      </c>
      <c r="G426" s="147" t="s">
        <v>81</v>
      </c>
      <c r="J426" s="147" t="s">
        <v>75</v>
      </c>
      <c r="K426" s="147" t="s">
        <v>2044</v>
      </c>
      <c r="L426" s="147" t="s">
        <v>81</v>
      </c>
      <c r="M426" s="147" t="s">
        <v>78</v>
      </c>
      <c r="N426" s="147" t="s">
        <v>75</v>
      </c>
      <c r="O426" s="147">
        <v>1</v>
      </c>
      <c r="P426" s="147" t="s">
        <v>2045</v>
      </c>
      <c r="Q426" s="147">
        <v>0</v>
      </c>
      <c r="R426" s="147" t="s">
        <v>78</v>
      </c>
      <c r="S426" s="147">
        <v>1</v>
      </c>
      <c r="T426" s="147" t="s">
        <v>2046</v>
      </c>
      <c r="U426" s="147">
        <v>2</v>
      </c>
      <c r="V426" s="147" t="s">
        <v>81</v>
      </c>
      <c r="W426" s="147" t="s">
        <v>78</v>
      </c>
      <c r="X426" s="147" t="s">
        <v>75</v>
      </c>
      <c r="Y426" s="147" t="s">
        <v>2047</v>
      </c>
      <c r="Z426" s="147" t="s">
        <v>121</v>
      </c>
      <c r="AA426" s="147" t="s">
        <v>75</v>
      </c>
      <c r="AB426" s="147" t="s">
        <v>81</v>
      </c>
      <c r="AC426" s="147" t="s">
        <v>84</v>
      </c>
    </row>
    <row r="427" spans="2:29" x14ac:dyDescent="0.25">
      <c r="B427" s="147" t="s">
        <v>2233</v>
      </c>
      <c r="C427" s="147" t="s">
        <v>2043</v>
      </c>
      <c r="G427" s="147" t="s">
        <v>81</v>
      </c>
      <c r="J427" s="147" t="s">
        <v>75</v>
      </c>
      <c r="K427" s="147" t="s">
        <v>2044</v>
      </c>
      <c r="L427" s="147" t="s">
        <v>81</v>
      </c>
      <c r="M427" s="147" t="s">
        <v>78</v>
      </c>
      <c r="N427" s="147" t="s">
        <v>75</v>
      </c>
      <c r="O427" s="147">
        <v>1</v>
      </c>
      <c r="P427" s="147" t="s">
        <v>2045</v>
      </c>
      <c r="Q427" s="147">
        <v>0</v>
      </c>
      <c r="R427" s="147" t="s">
        <v>78</v>
      </c>
      <c r="S427" s="147">
        <v>1</v>
      </c>
      <c r="T427" s="147" t="s">
        <v>2046</v>
      </c>
      <c r="U427" s="147">
        <v>2</v>
      </c>
      <c r="V427" s="147" t="s">
        <v>81</v>
      </c>
      <c r="W427" s="147" t="s">
        <v>78</v>
      </c>
      <c r="X427" s="147" t="s">
        <v>75</v>
      </c>
      <c r="Y427" s="147" t="s">
        <v>2047</v>
      </c>
      <c r="Z427" s="147" t="s">
        <v>121</v>
      </c>
      <c r="AA427" s="147" t="s">
        <v>75</v>
      </c>
      <c r="AB427" s="147" t="s">
        <v>81</v>
      </c>
      <c r="AC427" s="147" t="s">
        <v>84</v>
      </c>
    </row>
    <row r="428" spans="2:29" x14ac:dyDescent="0.25">
      <c r="B428" s="147" t="s">
        <v>2234</v>
      </c>
      <c r="C428" s="147" t="s">
        <v>2043</v>
      </c>
      <c r="G428" s="147" t="s">
        <v>81</v>
      </c>
      <c r="J428" s="147" t="s">
        <v>75</v>
      </c>
      <c r="K428" s="147" t="s">
        <v>2044</v>
      </c>
      <c r="L428" s="147" t="s">
        <v>81</v>
      </c>
      <c r="M428" s="147" t="s">
        <v>78</v>
      </c>
      <c r="N428" s="147" t="s">
        <v>75</v>
      </c>
      <c r="O428" s="147">
        <v>1</v>
      </c>
      <c r="P428" s="147" t="s">
        <v>2045</v>
      </c>
      <c r="Q428" s="147">
        <v>0</v>
      </c>
      <c r="R428" s="147" t="s">
        <v>78</v>
      </c>
      <c r="S428" s="147">
        <v>1</v>
      </c>
      <c r="T428" s="147" t="s">
        <v>2046</v>
      </c>
      <c r="U428" s="147">
        <v>2</v>
      </c>
      <c r="V428" s="147" t="s">
        <v>81</v>
      </c>
      <c r="W428" s="147" t="s">
        <v>78</v>
      </c>
      <c r="X428" s="147" t="s">
        <v>75</v>
      </c>
      <c r="Y428" s="147" t="s">
        <v>2047</v>
      </c>
      <c r="Z428" s="147" t="s">
        <v>121</v>
      </c>
      <c r="AA428" s="147" t="s">
        <v>75</v>
      </c>
      <c r="AB428" s="147" t="s">
        <v>81</v>
      </c>
      <c r="AC428" s="147" t="s">
        <v>84</v>
      </c>
    </row>
    <row r="429" spans="2:29" x14ac:dyDescent="0.25">
      <c r="B429" s="147" t="s">
        <v>2235</v>
      </c>
      <c r="C429" s="147" t="s">
        <v>78</v>
      </c>
      <c r="G429" s="147" t="s">
        <v>81</v>
      </c>
      <c r="J429" s="147" t="s">
        <v>81</v>
      </c>
      <c r="K429" s="147" t="s">
        <v>78</v>
      </c>
      <c r="L429" s="147" t="s">
        <v>81</v>
      </c>
      <c r="M429" s="147" t="s">
        <v>78</v>
      </c>
      <c r="N429" s="147" t="s">
        <v>81</v>
      </c>
      <c r="O429" s="147">
        <v>0</v>
      </c>
      <c r="P429" s="147" t="s">
        <v>78</v>
      </c>
      <c r="Q429" s="147">
        <v>0</v>
      </c>
      <c r="R429" s="147" t="s">
        <v>78</v>
      </c>
      <c r="S429" s="147">
        <v>0</v>
      </c>
      <c r="T429" s="147" t="s">
        <v>78</v>
      </c>
      <c r="U429" s="147">
        <v>0</v>
      </c>
      <c r="V429" s="147" t="s">
        <v>81</v>
      </c>
      <c r="W429" s="147" t="s">
        <v>78</v>
      </c>
      <c r="X429" s="147" t="s">
        <v>81</v>
      </c>
      <c r="Y429" s="147" t="s">
        <v>78</v>
      </c>
      <c r="Z429" s="147" t="s">
        <v>397</v>
      </c>
      <c r="AA429" s="147" t="s">
        <v>81</v>
      </c>
      <c r="AB429" s="147" t="s">
        <v>81</v>
      </c>
      <c r="AC429" s="147" t="s">
        <v>84</v>
      </c>
    </row>
    <row r="430" spans="2:29" x14ac:dyDescent="0.25">
      <c r="B430" s="147" t="s">
        <v>2236</v>
      </c>
      <c r="C430" s="147" t="s">
        <v>2048</v>
      </c>
      <c r="G430" s="147" t="s">
        <v>81</v>
      </c>
      <c r="J430" s="147" t="s">
        <v>81</v>
      </c>
      <c r="K430" s="147" t="s">
        <v>78</v>
      </c>
      <c r="L430" s="147" t="s">
        <v>81</v>
      </c>
      <c r="M430" s="147" t="s">
        <v>78</v>
      </c>
      <c r="N430" s="147" t="s">
        <v>81</v>
      </c>
      <c r="O430" s="147">
        <v>0</v>
      </c>
      <c r="P430" s="147" t="s">
        <v>78</v>
      </c>
      <c r="Q430" s="147">
        <v>0</v>
      </c>
      <c r="R430" s="147" t="s">
        <v>78</v>
      </c>
      <c r="S430" s="147">
        <v>0</v>
      </c>
      <c r="T430" s="147" t="s">
        <v>78</v>
      </c>
      <c r="U430" s="147">
        <v>0</v>
      </c>
      <c r="V430" s="147" t="s">
        <v>81</v>
      </c>
      <c r="W430" s="147" t="s">
        <v>78</v>
      </c>
      <c r="X430" s="147" t="s">
        <v>81</v>
      </c>
      <c r="Y430" s="147" t="s">
        <v>78</v>
      </c>
      <c r="Z430" s="147" t="s">
        <v>217</v>
      </c>
      <c r="AA430" s="147" t="s">
        <v>81</v>
      </c>
      <c r="AB430" s="147" t="s">
        <v>81</v>
      </c>
      <c r="AC430" s="147" t="s">
        <v>84</v>
      </c>
    </row>
    <row r="431" spans="2:29" x14ac:dyDescent="0.25">
      <c r="B431" s="147" t="s">
        <v>2237</v>
      </c>
      <c r="C431" s="147" t="s">
        <v>78</v>
      </c>
      <c r="G431" s="147" t="s">
        <v>81</v>
      </c>
      <c r="J431" s="147" t="s">
        <v>81</v>
      </c>
      <c r="K431" s="147" t="s">
        <v>78</v>
      </c>
      <c r="L431" s="147" t="s">
        <v>81</v>
      </c>
      <c r="M431" s="147" t="s">
        <v>78</v>
      </c>
      <c r="N431" s="147" t="s">
        <v>81</v>
      </c>
      <c r="O431" s="147">
        <v>0</v>
      </c>
      <c r="P431" s="147" t="s">
        <v>78</v>
      </c>
      <c r="Q431" s="147">
        <v>0</v>
      </c>
      <c r="R431" s="147" t="s">
        <v>78</v>
      </c>
      <c r="S431" s="147">
        <v>0</v>
      </c>
      <c r="T431" s="147" t="s">
        <v>78</v>
      </c>
      <c r="U431" s="147">
        <v>0</v>
      </c>
      <c r="V431" s="147" t="s">
        <v>81</v>
      </c>
      <c r="W431" s="147" t="s">
        <v>78</v>
      </c>
      <c r="X431" s="147" t="s">
        <v>81</v>
      </c>
      <c r="Y431" s="147" t="s">
        <v>78</v>
      </c>
      <c r="Z431" s="147" t="s">
        <v>1648</v>
      </c>
      <c r="AA431" s="147" t="s">
        <v>75</v>
      </c>
      <c r="AB431" s="147" t="s">
        <v>81</v>
      </c>
      <c r="AC431" s="147" t="s">
        <v>84</v>
      </c>
    </row>
    <row r="432" spans="2:29" x14ac:dyDescent="0.25">
      <c r="B432" s="147" t="s">
        <v>2238</v>
      </c>
      <c r="C432" s="147" t="s">
        <v>78</v>
      </c>
      <c r="G432" s="147" t="s">
        <v>75</v>
      </c>
      <c r="J432" s="147" t="s">
        <v>75</v>
      </c>
      <c r="K432" s="147" t="s">
        <v>2049</v>
      </c>
      <c r="L432" s="147" t="s">
        <v>75</v>
      </c>
      <c r="M432" s="147" t="s">
        <v>2050</v>
      </c>
      <c r="N432" s="147" t="s">
        <v>81</v>
      </c>
      <c r="O432" s="147">
        <v>0</v>
      </c>
      <c r="P432" s="147" t="s">
        <v>78</v>
      </c>
      <c r="Q432" s="147">
        <v>0</v>
      </c>
      <c r="R432" s="147" t="s">
        <v>78</v>
      </c>
      <c r="S432" s="147">
        <v>0</v>
      </c>
      <c r="T432" s="147" t="s">
        <v>78</v>
      </c>
      <c r="U432" s="147">
        <v>0</v>
      </c>
      <c r="V432" s="147" t="s">
        <v>75</v>
      </c>
      <c r="W432" s="147" t="s">
        <v>826</v>
      </c>
      <c r="X432" s="147" t="s">
        <v>81</v>
      </c>
      <c r="Y432" s="147" t="s">
        <v>78</v>
      </c>
      <c r="Z432" s="147" t="s">
        <v>121</v>
      </c>
      <c r="AA432" s="147" t="s">
        <v>75</v>
      </c>
      <c r="AB432" s="147" t="s">
        <v>81</v>
      </c>
      <c r="AC432" s="147" t="s">
        <v>84</v>
      </c>
    </row>
    <row r="433" spans="2:29" x14ac:dyDescent="0.25">
      <c r="B433" s="147" t="s">
        <v>2239</v>
      </c>
      <c r="C433" s="147" t="s">
        <v>78</v>
      </c>
      <c r="G433" s="147" t="s">
        <v>81</v>
      </c>
      <c r="J433" s="147" t="s">
        <v>81</v>
      </c>
      <c r="K433" s="147" t="s">
        <v>78</v>
      </c>
      <c r="L433" s="147" t="s">
        <v>81</v>
      </c>
      <c r="M433" s="147" t="s">
        <v>78</v>
      </c>
      <c r="N433" s="147" t="s">
        <v>81</v>
      </c>
      <c r="O433" s="147">
        <v>0</v>
      </c>
      <c r="P433" s="147" t="s">
        <v>78</v>
      </c>
      <c r="Q433" s="147">
        <v>0</v>
      </c>
      <c r="R433" s="147" t="s">
        <v>78</v>
      </c>
      <c r="S433" s="147">
        <v>0</v>
      </c>
      <c r="T433" s="147" t="s">
        <v>78</v>
      </c>
      <c r="U433" s="147">
        <v>0</v>
      </c>
      <c r="V433" s="147" t="s">
        <v>81</v>
      </c>
      <c r="W433" s="147" t="s">
        <v>78</v>
      </c>
      <c r="X433" s="147" t="s">
        <v>81</v>
      </c>
      <c r="Y433" s="147" t="s">
        <v>78</v>
      </c>
      <c r="Z433" s="147" t="s">
        <v>121</v>
      </c>
      <c r="AA433" s="147" t="s">
        <v>75</v>
      </c>
      <c r="AB433" s="147" t="s">
        <v>81</v>
      </c>
      <c r="AC433" s="147" t="s">
        <v>84</v>
      </c>
    </row>
    <row r="434" spans="2:29" x14ac:dyDescent="0.25">
      <c r="B434" s="147" t="s">
        <v>2240</v>
      </c>
      <c r="C434" s="147" t="s">
        <v>2051</v>
      </c>
      <c r="G434" s="147" t="s">
        <v>81</v>
      </c>
      <c r="J434" s="147" t="s">
        <v>81</v>
      </c>
      <c r="K434" s="147" t="s">
        <v>78</v>
      </c>
      <c r="L434" s="147" t="s">
        <v>81</v>
      </c>
      <c r="M434" s="147" t="s">
        <v>78</v>
      </c>
      <c r="N434" s="147" t="s">
        <v>81</v>
      </c>
      <c r="O434" s="147">
        <v>0</v>
      </c>
      <c r="P434" s="147" t="s">
        <v>78</v>
      </c>
      <c r="Q434" s="147">
        <v>0</v>
      </c>
      <c r="R434" s="147" t="s">
        <v>78</v>
      </c>
      <c r="S434" s="147">
        <v>0</v>
      </c>
      <c r="T434" s="147" t="s">
        <v>78</v>
      </c>
      <c r="U434" s="147">
        <v>0</v>
      </c>
      <c r="V434" s="147" t="s">
        <v>81</v>
      </c>
      <c r="W434" s="147" t="s">
        <v>78</v>
      </c>
      <c r="X434" s="147" t="s">
        <v>81</v>
      </c>
      <c r="Y434" s="147" t="s">
        <v>78</v>
      </c>
      <c r="Z434" s="147" t="s">
        <v>121</v>
      </c>
      <c r="AA434" s="147" t="s">
        <v>75</v>
      </c>
      <c r="AB434" s="147" t="s">
        <v>81</v>
      </c>
      <c r="AC434" s="147" t="s">
        <v>84</v>
      </c>
    </row>
    <row r="435" spans="2:29" x14ac:dyDescent="0.25">
      <c r="B435" s="147" t="s">
        <v>2241</v>
      </c>
      <c r="C435" s="147" t="s">
        <v>2051</v>
      </c>
      <c r="G435" s="147" t="s">
        <v>81</v>
      </c>
      <c r="J435" s="147" t="s">
        <v>81</v>
      </c>
      <c r="K435" s="147" t="s">
        <v>78</v>
      </c>
      <c r="L435" s="147" t="s">
        <v>81</v>
      </c>
      <c r="M435" s="147" t="s">
        <v>78</v>
      </c>
      <c r="N435" s="147" t="s">
        <v>81</v>
      </c>
      <c r="O435" s="147">
        <v>0</v>
      </c>
      <c r="P435" s="147" t="s">
        <v>78</v>
      </c>
      <c r="Q435" s="147">
        <v>0</v>
      </c>
      <c r="R435" s="147" t="s">
        <v>78</v>
      </c>
      <c r="S435" s="147">
        <v>0</v>
      </c>
      <c r="T435" s="147" t="s">
        <v>78</v>
      </c>
      <c r="U435" s="147">
        <v>0</v>
      </c>
      <c r="V435" s="147" t="s">
        <v>81</v>
      </c>
      <c r="W435" s="147" t="s">
        <v>78</v>
      </c>
      <c r="X435" s="147" t="s">
        <v>81</v>
      </c>
      <c r="Y435" s="147" t="s">
        <v>78</v>
      </c>
      <c r="Z435" s="147" t="s">
        <v>121</v>
      </c>
      <c r="AA435" s="147" t="s">
        <v>75</v>
      </c>
      <c r="AB435" s="147" t="s">
        <v>81</v>
      </c>
      <c r="AC435" s="147" t="s">
        <v>84</v>
      </c>
    </row>
    <row r="436" spans="2:29" x14ac:dyDescent="0.25">
      <c r="B436" s="147" t="s">
        <v>2242</v>
      </c>
      <c r="C436" s="147" t="s">
        <v>78</v>
      </c>
      <c r="G436" s="147" t="s">
        <v>81</v>
      </c>
      <c r="J436" s="147" t="s">
        <v>81</v>
      </c>
      <c r="K436" s="147" t="s">
        <v>78</v>
      </c>
      <c r="L436" s="147" t="s">
        <v>81</v>
      </c>
      <c r="M436" s="147" t="s">
        <v>78</v>
      </c>
      <c r="N436" s="147" t="s">
        <v>81</v>
      </c>
      <c r="O436" s="147">
        <v>0</v>
      </c>
      <c r="P436" s="147" t="s">
        <v>78</v>
      </c>
      <c r="Q436" s="147">
        <v>0</v>
      </c>
      <c r="R436" s="147" t="s">
        <v>78</v>
      </c>
      <c r="S436" s="147">
        <v>0</v>
      </c>
      <c r="T436" s="147" t="s">
        <v>78</v>
      </c>
      <c r="U436" s="147">
        <v>0</v>
      </c>
      <c r="V436" s="147" t="s">
        <v>81</v>
      </c>
      <c r="W436" s="147" t="s">
        <v>78</v>
      </c>
      <c r="X436" s="147" t="s">
        <v>81</v>
      </c>
      <c r="Y436" s="147" t="s">
        <v>78</v>
      </c>
      <c r="Z436" s="147" t="s">
        <v>397</v>
      </c>
      <c r="AA436" s="147" t="s">
        <v>75</v>
      </c>
      <c r="AB436" s="147" t="s">
        <v>81</v>
      </c>
      <c r="AC436" s="147" t="s">
        <v>84</v>
      </c>
    </row>
    <row r="437" spans="2:29" x14ac:dyDescent="0.25">
      <c r="B437" s="147" t="s">
        <v>2243</v>
      </c>
      <c r="C437" s="147" t="s">
        <v>78</v>
      </c>
      <c r="G437" s="147" t="s">
        <v>81</v>
      </c>
      <c r="J437" s="147" t="s">
        <v>75</v>
      </c>
      <c r="K437" s="147" t="s">
        <v>2052</v>
      </c>
      <c r="L437" s="147" t="s">
        <v>75</v>
      </c>
      <c r="M437" s="147" t="s">
        <v>2053</v>
      </c>
      <c r="N437" s="147" t="s">
        <v>75</v>
      </c>
      <c r="O437" s="147">
        <v>2</v>
      </c>
      <c r="P437" s="147" t="s">
        <v>2054</v>
      </c>
      <c r="Q437" s="147">
        <v>3</v>
      </c>
      <c r="R437" s="147" t="s">
        <v>2055</v>
      </c>
      <c r="S437" s="147">
        <v>3</v>
      </c>
      <c r="T437" s="147" t="s">
        <v>2056</v>
      </c>
      <c r="U437" s="147">
        <v>8</v>
      </c>
      <c r="V437" s="147" t="s">
        <v>81</v>
      </c>
      <c r="W437" s="147" t="s">
        <v>78</v>
      </c>
      <c r="X437" s="147" t="s">
        <v>75</v>
      </c>
      <c r="Y437" s="147" t="s">
        <v>2057</v>
      </c>
      <c r="Z437" s="147" t="s">
        <v>121</v>
      </c>
      <c r="AA437" s="147" t="s">
        <v>75</v>
      </c>
      <c r="AB437" s="147" t="s">
        <v>75</v>
      </c>
      <c r="AC437" s="147" t="s">
        <v>84</v>
      </c>
    </row>
    <row r="438" spans="2:29" x14ac:dyDescent="0.25">
      <c r="B438" s="147" t="s">
        <v>2244</v>
      </c>
      <c r="C438" s="147" t="s">
        <v>78</v>
      </c>
      <c r="G438" s="147" t="s">
        <v>81</v>
      </c>
      <c r="J438" s="147" t="s">
        <v>81</v>
      </c>
      <c r="K438" s="147" t="s">
        <v>78</v>
      </c>
      <c r="L438" s="147" t="s">
        <v>81</v>
      </c>
      <c r="M438" s="147" t="s">
        <v>78</v>
      </c>
      <c r="N438" s="147" t="s">
        <v>81</v>
      </c>
      <c r="O438" s="147">
        <v>0</v>
      </c>
      <c r="P438" s="147" t="s">
        <v>78</v>
      </c>
      <c r="Q438" s="147">
        <v>0</v>
      </c>
      <c r="R438" s="147" t="s">
        <v>78</v>
      </c>
      <c r="S438" s="147">
        <v>0</v>
      </c>
      <c r="T438" s="147" t="s">
        <v>78</v>
      </c>
      <c r="U438" s="147">
        <v>0</v>
      </c>
      <c r="V438" s="147" t="s">
        <v>81</v>
      </c>
      <c r="W438" s="147" t="s">
        <v>78</v>
      </c>
      <c r="X438" s="147" t="s">
        <v>81</v>
      </c>
      <c r="Y438" s="147" t="s">
        <v>78</v>
      </c>
      <c r="Z438" s="147" t="s">
        <v>1648</v>
      </c>
      <c r="AA438" s="147" t="s">
        <v>75</v>
      </c>
      <c r="AB438" s="147" t="s">
        <v>81</v>
      </c>
      <c r="AC438" s="147" t="s">
        <v>84</v>
      </c>
    </row>
    <row r="439" spans="2:29" x14ac:dyDescent="0.25">
      <c r="B439" s="147" t="s">
        <v>2245</v>
      </c>
      <c r="C439" s="147" t="s">
        <v>78</v>
      </c>
      <c r="G439" s="147" t="s">
        <v>81</v>
      </c>
      <c r="J439" s="147" t="s">
        <v>81</v>
      </c>
      <c r="K439" s="147" t="s">
        <v>78</v>
      </c>
      <c r="L439" s="147" t="s">
        <v>75</v>
      </c>
      <c r="M439" s="147" t="s">
        <v>2058</v>
      </c>
      <c r="N439" s="147" t="s">
        <v>75</v>
      </c>
      <c r="O439" s="147">
        <v>1</v>
      </c>
      <c r="P439" s="147" t="s">
        <v>2059</v>
      </c>
      <c r="Q439" s="147">
        <v>0</v>
      </c>
      <c r="R439" s="147" t="s">
        <v>78</v>
      </c>
      <c r="S439" s="147">
        <v>0</v>
      </c>
      <c r="T439" s="147" t="s">
        <v>2060</v>
      </c>
      <c r="U439" s="147">
        <v>1</v>
      </c>
      <c r="V439" s="147" t="s">
        <v>81</v>
      </c>
      <c r="W439" s="147" t="s">
        <v>78</v>
      </c>
      <c r="X439" s="147" t="s">
        <v>75</v>
      </c>
      <c r="Y439" s="147" t="s">
        <v>2061</v>
      </c>
      <c r="Z439" s="147" t="s">
        <v>121</v>
      </c>
      <c r="AA439" s="147" t="s">
        <v>75</v>
      </c>
      <c r="AB439" s="147" t="s">
        <v>75</v>
      </c>
      <c r="AC439" s="147" t="s">
        <v>84</v>
      </c>
    </row>
    <row r="440" spans="2:29" x14ac:dyDescent="0.25">
      <c r="B440" s="147" t="s">
        <v>2246</v>
      </c>
      <c r="C440" s="147" t="s">
        <v>78</v>
      </c>
      <c r="G440" s="147" t="s">
        <v>81</v>
      </c>
      <c r="J440" s="147" t="s">
        <v>81</v>
      </c>
      <c r="K440" s="147" t="s">
        <v>78</v>
      </c>
      <c r="L440" s="147" t="s">
        <v>81</v>
      </c>
      <c r="M440" s="147" t="s">
        <v>78</v>
      </c>
      <c r="N440" s="147" t="s">
        <v>81</v>
      </c>
      <c r="O440" s="147">
        <v>0</v>
      </c>
      <c r="P440" s="147" t="s">
        <v>78</v>
      </c>
      <c r="Q440" s="147">
        <v>0</v>
      </c>
      <c r="R440" s="147" t="s">
        <v>78</v>
      </c>
      <c r="S440" s="147">
        <v>0</v>
      </c>
      <c r="T440" s="147" t="s">
        <v>78</v>
      </c>
      <c r="U440" s="147">
        <v>0</v>
      </c>
      <c r="V440" s="147" t="s">
        <v>81</v>
      </c>
      <c r="W440" s="147" t="s">
        <v>78</v>
      </c>
      <c r="X440" s="147" t="s">
        <v>81</v>
      </c>
      <c r="Y440" s="147" t="s">
        <v>78</v>
      </c>
      <c r="Z440" s="147" t="s">
        <v>121</v>
      </c>
      <c r="AA440" s="147" t="s">
        <v>75</v>
      </c>
      <c r="AB440" s="147" t="s">
        <v>81</v>
      </c>
      <c r="AC440" s="147" t="s">
        <v>84</v>
      </c>
    </row>
    <row r="441" spans="2:29" x14ac:dyDescent="0.25">
      <c r="B441" s="147" t="s">
        <v>2247</v>
      </c>
      <c r="C441" s="147" t="s">
        <v>78</v>
      </c>
      <c r="G441" s="147" t="s">
        <v>81</v>
      </c>
      <c r="J441" s="147" t="s">
        <v>81</v>
      </c>
      <c r="K441" s="147" t="s">
        <v>78</v>
      </c>
      <c r="L441" s="147" t="s">
        <v>81</v>
      </c>
      <c r="M441" s="147" t="s">
        <v>78</v>
      </c>
      <c r="N441" s="147" t="s">
        <v>81</v>
      </c>
      <c r="O441" s="147">
        <v>0</v>
      </c>
      <c r="P441" s="147" t="s">
        <v>78</v>
      </c>
      <c r="Q441" s="147">
        <v>0</v>
      </c>
      <c r="R441" s="147" t="s">
        <v>78</v>
      </c>
      <c r="S441" s="147">
        <v>0</v>
      </c>
      <c r="T441" s="147" t="s">
        <v>78</v>
      </c>
      <c r="U441" s="147">
        <v>0</v>
      </c>
      <c r="V441" s="147" t="s">
        <v>81</v>
      </c>
      <c r="W441" s="147" t="s">
        <v>78</v>
      </c>
      <c r="X441" s="147" t="s">
        <v>81</v>
      </c>
      <c r="Y441" s="147" t="s">
        <v>78</v>
      </c>
      <c r="Z441" s="147" t="s">
        <v>121</v>
      </c>
      <c r="AA441" s="147" t="s">
        <v>81</v>
      </c>
      <c r="AB441" s="147" t="s">
        <v>81</v>
      </c>
      <c r="AC441" s="147" t="s">
        <v>84</v>
      </c>
    </row>
    <row r="442" spans="2:29" x14ac:dyDescent="0.25">
      <c r="B442" s="147" t="s">
        <v>2248</v>
      </c>
      <c r="C442" s="147" t="s">
        <v>78</v>
      </c>
      <c r="G442" s="147" t="s">
        <v>81</v>
      </c>
      <c r="J442" s="147" t="s">
        <v>81</v>
      </c>
      <c r="K442" s="147" t="s">
        <v>78</v>
      </c>
      <c r="L442" s="147" t="s">
        <v>81</v>
      </c>
      <c r="M442" s="147" t="s">
        <v>78</v>
      </c>
      <c r="N442" s="147" t="s">
        <v>81</v>
      </c>
      <c r="O442" s="147">
        <v>0</v>
      </c>
      <c r="P442" s="147" t="s">
        <v>78</v>
      </c>
      <c r="Q442" s="147">
        <v>0</v>
      </c>
      <c r="R442" s="147" t="s">
        <v>78</v>
      </c>
      <c r="S442" s="147">
        <v>0</v>
      </c>
      <c r="T442" s="147" t="s">
        <v>78</v>
      </c>
      <c r="U442" s="147">
        <v>0</v>
      </c>
      <c r="V442" s="147" t="s">
        <v>81</v>
      </c>
      <c r="W442" s="147" t="s">
        <v>78</v>
      </c>
      <c r="X442" s="147" t="s">
        <v>81</v>
      </c>
      <c r="Y442" s="147" t="s">
        <v>78</v>
      </c>
      <c r="Z442" s="147" t="s">
        <v>121</v>
      </c>
      <c r="AA442" s="147" t="s">
        <v>75</v>
      </c>
      <c r="AB442" s="147" t="s">
        <v>81</v>
      </c>
      <c r="AC442" s="147" t="s">
        <v>84</v>
      </c>
    </row>
    <row r="443" spans="2:29" x14ac:dyDescent="0.25">
      <c r="B443" s="147" t="s">
        <v>2249</v>
      </c>
      <c r="C443" s="147" t="s">
        <v>78</v>
      </c>
      <c r="G443" s="147" t="s">
        <v>81</v>
      </c>
      <c r="J443" s="147" t="s">
        <v>81</v>
      </c>
      <c r="K443" s="147" t="s">
        <v>78</v>
      </c>
      <c r="L443" s="147" t="s">
        <v>81</v>
      </c>
      <c r="M443" s="147" t="s">
        <v>78</v>
      </c>
      <c r="N443" s="147" t="s">
        <v>81</v>
      </c>
      <c r="O443" s="147">
        <v>0</v>
      </c>
      <c r="P443" s="147" t="s">
        <v>78</v>
      </c>
      <c r="Q443" s="147">
        <v>0</v>
      </c>
      <c r="R443" s="147" t="s">
        <v>78</v>
      </c>
      <c r="S443" s="147">
        <v>0</v>
      </c>
      <c r="T443" s="147" t="s">
        <v>78</v>
      </c>
      <c r="U443" s="147">
        <v>0</v>
      </c>
      <c r="V443" s="147" t="s">
        <v>81</v>
      </c>
      <c r="W443" s="147" t="s">
        <v>78</v>
      </c>
      <c r="X443" s="147" t="s">
        <v>75</v>
      </c>
      <c r="Y443" s="147" t="s">
        <v>1295</v>
      </c>
      <c r="Z443" s="147" t="s">
        <v>121</v>
      </c>
      <c r="AA443" s="147" t="s">
        <v>75</v>
      </c>
      <c r="AB443" s="147" t="s">
        <v>81</v>
      </c>
      <c r="AC443" s="147" t="s">
        <v>84</v>
      </c>
    </row>
    <row r="444" spans="2:29" x14ac:dyDescent="0.25">
      <c r="B444" s="147" t="s">
        <v>2250</v>
      </c>
      <c r="C444" s="147" t="s">
        <v>78</v>
      </c>
      <c r="G444" s="147" t="s">
        <v>81</v>
      </c>
      <c r="J444" s="147" t="s">
        <v>81</v>
      </c>
      <c r="K444" s="147" t="s">
        <v>78</v>
      </c>
      <c r="L444" s="147" t="s">
        <v>81</v>
      </c>
      <c r="M444" s="147" t="s">
        <v>78</v>
      </c>
      <c r="N444" s="147" t="s">
        <v>81</v>
      </c>
      <c r="O444" s="147">
        <v>0</v>
      </c>
      <c r="P444" s="147" t="s">
        <v>78</v>
      </c>
      <c r="Q444" s="147">
        <v>0</v>
      </c>
      <c r="R444" s="147" t="s">
        <v>78</v>
      </c>
      <c r="S444" s="147">
        <v>0</v>
      </c>
      <c r="T444" s="147" t="s">
        <v>78</v>
      </c>
      <c r="U444" s="147">
        <v>0</v>
      </c>
      <c r="V444" s="147" t="s">
        <v>81</v>
      </c>
      <c r="W444" s="147" t="s">
        <v>78</v>
      </c>
      <c r="X444" s="147" t="s">
        <v>81</v>
      </c>
      <c r="Y444" s="147" t="s">
        <v>78</v>
      </c>
      <c r="Z444" s="147" t="s">
        <v>1648</v>
      </c>
      <c r="AA444" s="147" t="s">
        <v>81</v>
      </c>
      <c r="AB444" s="147" t="s">
        <v>81</v>
      </c>
      <c r="AC444" s="147" t="s">
        <v>110</v>
      </c>
    </row>
    <row r="445" spans="2:29" x14ac:dyDescent="0.25">
      <c r="B445" s="147" t="s">
        <v>2251</v>
      </c>
      <c r="C445" s="147" t="s">
        <v>2062</v>
      </c>
      <c r="G445" s="147" t="s">
        <v>81</v>
      </c>
      <c r="J445" s="147" t="s">
        <v>81</v>
      </c>
      <c r="K445" s="147" t="s">
        <v>78</v>
      </c>
      <c r="L445" s="147" t="s">
        <v>81</v>
      </c>
      <c r="M445" s="147" t="s">
        <v>78</v>
      </c>
      <c r="N445" s="147" t="s">
        <v>81</v>
      </c>
      <c r="O445" s="147">
        <v>0</v>
      </c>
      <c r="P445" s="147" t="s">
        <v>78</v>
      </c>
      <c r="Q445" s="147">
        <v>0</v>
      </c>
      <c r="R445" s="147" t="s">
        <v>78</v>
      </c>
      <c r="S445" s="147">
        <v>0</v>
      </c>
      <c r="T445" s="147" t="s">
        <v>78</v>
      </c>
      <c r="U445" s="147">
        <v>0</v>
      </c>
      <c r="V445" s="147" t="s">
        <v>81</v>
      </c>
      <c r="W445" s="147" t="s">
        <v>78</v>
      </c>
      <c r="X445" s="147" t="s">
        <v>81</v>
      </c>
      <c r="Y445" s="147" t="s">
        <v>78</v>
      </c>
      <c r="Z445" s="147" t="s">
        <v>1648</v>
      </c>
      <c r="AA445" s="147" t="s">
        <v>81</v>
      </c>
      <c r="AB445" s="147" t="s">
        <v>81</v>
      </c>
      <c r="AC445" s="147" t="s">
        <v>110</v>
      </c>
    </row>
    <row r="446" spans="2:29" x14ac:dyDescent="0.25">
      <c r="B446" s="147" t="s">
        <v>2252</v>
      </c>
      <c r="C446" s="147" t="s">
        <v>2062</v>
      </c>
      <c r="G446" s="147" t="s">
        <v>81</v>
      </c>
      <c r="J446" s="147" t="s">
        <v>81</v>
      </c>
      <c r="K446" s="147" t="s">
        <v>78</v>
      </c>
      <c r="L446" s="147" t="s">
        <v>81</v>
      </c>
      <c r="M446" s="147" t="s">
        <v>78</v>
      </c>
      <c r="N446" s="147" t="s">
        <v>81</v>
      </c>
      <c r="O446" s="147">
        <v>0</v>
      </c>
      <c r="P446" s="147" t="s">
        <v>78</v>
      </c>
      <c r="Q446" s="147">
        <v>0</v>
      </c>
      <c r="R446" s="147" t="s">
        <v>78</v>
      </c>
      <c r="S446" s="147">
        <v>0</v>
      </c>
      <c r="T446" s="147" t="s">
        <v>78</v>
      </c>
      <c r="U446" s="147">
        <v>0</v>
      </c>
      <c r="V446" s="147" t="s">
        <v>81</v>
      </c>
      <c r="W446" s="147" t="s">
        <v>78</v>
      </c>
      <c r="X446" s="147" t="s">
        <v>81</v>
      </c>
      <c r="Y446" s="147" t="s">
        <v>78</v>
      </c>
      <c r="Z446" s="147" t="s">
        <v>1648</v>
      </c>
      <c r="AA446" s="147" t="s">
        <v>81</v>
      </c>
      <c r="AB446" s="147" t="s">
        <v>81</v>
      </c>
      <c r="AC446" s="147" t="s">
        <v>110</v>
      </c>
    </row>
    <row r="447" spans="2:29" x14ac:dyDescent="0.25">
      <c r="B447" s="147" t="s">
        <v>2253</v>
      </c>
      <c r="C447" s="147" t="s">
        <v>2063</v>
      </c>
      <c r="G447" s="147" t="s">
        <v>81</v>
      </c>
      <c r="J447" s="147" t="s">
        <v>81</v>
      </c>
      <c r="K447" s="147" t="s">
        <v>78</v>
      </c>
      <c r="L447" s="147" t="s">
        <v>81</v>
      </c>
      <c r="M447" s="147" t="s">
        <v>78</v>
      </c>
      <c r="N447" s="147" t="s">
        <v>81</v>
      </c>
      <c r="O447" s="147">
        <v>0</v>
      </c>
      <c r="P447" s="147" t="s">
        <v>78</v>
      </c>
      <c r="Q447" s="147">
        <v>0</v>
      </c>
      <c r="R447" s="147" t="s">
        <v>78</v>
      </c>
      <c r="S447" s="147">
        <v>0</v>
      </c>
      <c r="T447" s="147" t="s">
        <v>78</v>
      </c>
      <c r="U447" s="147">
        <v>0</v>
      </c>
      <c r="V447" s="147" t="s">
        <v>81</v>
      </c>
      <c r="W447" s="147" t="s">
        <v>78</v>
      </c>
      <c r="X447" s="147" t="s">
        <v>81</v>
      </c>
      <c r="Y447" s="147" t="s">
        <v>78</v>
      </c>
      <c r="Z447" s="147" t="s">
        <v>1648</v>
      </c>
      <c r="AA447" s="147" t="s">
        <v>81</v>
      </c>
      <c r="AB447" s="147" t="s">
        <v>81</v>
      </c>
      <c r="AC447" s="147" t="s">
        <v>110</v>
      </c>
    </row>
    <row r="448" spans="2:29" x14ac:dyDescent="0.25">
      <c r="B448" s="147" t="s">
        <v>2254</v>
      </c>
      <c r="C448" s="147" t="s">
        <v>78</v>
      </c>
      <c r="G448" s="147" t="s">
        <v>81</v>
      </c>
      <c r="J448" s="147" t="s">
        <v>81</v>
      </c>
      <c r="K448" s="147" t="s">
        <v>78</v>
      </c>
      <c r="L448" s="147" t="s">
        <v>81</v>
      </c>
      <c r="M448" s="147" t="s">
        <v>78</v>
      </c>
      <c r="N448" s="147" t="s">
        <v>81</v>
      </c>
      <c r="O448" s="147">
        <v>0</v>
      </c>
      <c r="P448" s="147" t="s">
        <v>78</v>
      </c>
      <c r="Q448" s="147">
        <v>0</v>
      </c>
      <c r="R448" s="147" t="s">
        <v>78</v>
      </c>
      <c r="S448" s="147">
        <v>0</v>
      </c>
      <c r="T448" s="147" t="s">
        <v>78</v>
      </c>
      <c r="U448" s="147">
        <v>0</v>
      </c>
      <c r="V448" s="147" t="s">
        <v>81</v>
      </c>
      <c r="W448" s="147" t="s">
        <v>78</v>
      </c>
      <c r="X448" s="147" t="s">
        <v>81</v>
      </c>
      <c r="Y448" s="147" t="s">
        <v>78</v>
      </c>
      <c r="Z448" s="147" t="s">
        <v>397</v>
      </c>
      <c r="AA448" s="147" t="s">
        <v>81</v>
      </c>
      <c r="AB448" s="147" t="s">
        <v>81</v>
      </c>
      <c r="AC448" s="147" t="s">
        <v>110</v>
      </c>
    </row>
    <row r="449" spans="2:29" x14ac:dyDescent="0.25">
      <c r="B449" s="147" t="s">
        <v>2255</v>
      </c>
      <c r="C449" s="147" t="s">
        <v>2064</v>
      </c>
      <c r="G449" s="147" t="s">
        <v>81</v>
      </c>
      <c r="J449" s="147" t="s">
        <v>75</v>
      </c>
      <c r="K449" s="147" t="s">
        <v>2065</v>
      </c>
      <c r="L449" s="147" t="s">
        <v>81</v>
      </c>
      <c r="M449" s="147" t="s">
        <v>78</v>
      </c>
      <c r="N449" s="147" t="s">
        <v>81</v>
      </c>
      <c r="O449" s="147">
        <v>0</v>
      </c>
      <c r="P449" s="147" t="s">
        <v>78</v>
      </c>
      <c r="Q449" s="147">
        <v>0</v>
      </c>
      <c r="R449" s="147" t="s">
        <v>78</v>
      </c>
      <c r="S449" s="147">
        <v>2</v>
      </c>
      <c r="T449" s="147" t="s">
        <v>2066</v>
      </c>
      <c r="U449" s="147">
        <v>2</v>
      </c>
      <c r="V449" s="147" t="s">
        <v>81</v>
      </c>
      <c r="W449" s="147" t="s">
        <v>78</v>
      </c>
      <c r="X449" s="147" t="s">
        <v>75</v>
      </c>
      <c r="Y449" s="147" t="s">
        <v>2067</v>
      </c>
      <c r="Z449" s="147" t="s">
        <v>121</v>
      </c>
      <c r="AA449" s="147" t="s">
        <v>75</v>
      </c>
      <c r="AB449" s="147" t="s">
        <v>75</v>
      </c>
      <c r="AC449" s="147" t="s">
        <v>84</v>
      </c>
    </row>
    <row r="450" spans="2:29" x14ac:dyDescent="0.25">
      <c r="B450" s="147" t="s">
        <v>2256</v>
      </c>
      <c r="C450" s="147" t="s">
        <v>2064</v>
      </c>
      <c r="G450" s="147" t="s">
        <v>81</v>
      </c>
      <c r="J450" s="147" t="s">
        <v>75</v>
      </c>
      <c r="K450" s="147" t="s">
        <v>2065</v>
      </c>
      <c r="L450" s="147" t="s">
        <v>81</v>
      </c>
      <c r="M450" s="147" t="s">
        <v>78</v>
      </c>
      <c r="N450" s="147" t="s">
        <v>81</v>
      </c>
      <c r="O450" s="147">
        <v>0</v>
      </c>
      <c r="P450" s="147" t="s">
        <v>78</v>
      </c>
      <c r="Q450" s="147">
        <v>0</v>
      </c>
      <c r="R450" s="147" t="s">
        <v>78</v>
      </c>
      <c r="S450" s="147">
        <v>2</v>
      </c>
      <c r="T450" s="147" t="s">
        <v>2066</v>
      </c>
      <c r="U450" s="147">
        <v>2</v>
      </c>
      <c r="V450" s="147" t="s">
        <v>81</v>
      </c>
      <c r="W450" s="147" t="s">
        <v>78</v>
      </c>
      <c r="X450" s="147" t="s">
        <v>75</v>
      </c>
      <c r="Y450" s="147" t="s">
        <v>2067</v>
      </c>
      <c r="Z450" s="147" t="s">
        <v>121</v>
      </c>
      <c r="AA450" s="147" t="s">
        <v>75</v>
      </c>
      <c r="AB450" s="147" t="s">
        <v>75</v>
      </c>
      <c r="AC450" s="147" t="s">
        <v>84</v>
      </c>
    </row>
    <row r="451" spans="2:29" x14ac:dyDescent="0.25">
      <c r="B451" s="147" t="s">
        <v>2257</v>
      </c>
      <c r="C451" s="147" t="s">
        <v>78</v>
      </c>
      <c r="G451" s="147" t="s">
        <v>81</v>
      </c>
      <c r="J451" s="147" t="s">
        <v>81</v>
      </c>
      <c r="K451" s="147" t="s">
        <v>78</v>
      </c>
      <c r="L451" s="147" t="s">
        <v>81</v>
      </c>
      <c r="M451" s="147" t="s">
        <v>78</v>
      </c>
      <c r="N451" s="147" t="s">
        <v>81</v>
      </c>
      <c r="O451" s="147">
        <v>0</v>
      </c>
      <c r="P451" s="147" t="s">
        <v>78</v>
      </c>
      <c r="Q451" s="147">
        <v>0</v>
      </c>
      <c r="R451" s="147" t="s">
        <v>78</v>
      </c>
      <c r="S451" s="147">
        <v>0</v>
      </c>
      <c r="T451" s="147" t="s">
        <v>78</v>
      </c>
      <c r="U451" s="147">
        <v>0</v>
      </c>
      <c r="V451" s="147" t="s">
        <v>81</v>
      </c>
      <c r="W451" s="147" t="s">
        <v>78</v>
      </c>
      <c r="X451" s="147" t="s">
        <v>81</v>
      </c>
      <c r="Y451" s="147" t="s">
        <v>78</v>
      </c>
      <c r="Z451" s="147" t="s">
        <v>1648</v>
      </c>
      <c r="AA451" s="147" t="s">
        <v>81</v>
      </c>
      <c r="AB451" s="147" t="s">
        <v>81</v>
      </c>
      <c r="AC451" s="147" t="s">
        <v>84</v>
      </c>
    </row>
    <row r="452" spans="2:29" x14ac:dyDescent="0.25">
      <c r="B452" s="147" t="s">
        <v>2258</v>
      </c>
      <c r="C452" s="147" t="s">
        <v>78</v>
      </c>
      <c r="G452" s="147" t="s">
        <v>75</v>
      </c>
      <c r="J452" s="147" t="s">
        <v>81</v>
      </c>
      <c r="K452" s="147" t="s">
        <v>78</v>
      </c>
      <c r="L452" s="147" t="s">
        <v>81</v>
      </c>
      <c r="M452" s="147" t="s">
        <v>78</v>
      </c>
      <c r="N452" s="147" t="s">
        <v>81</v>
      </c>
      <c r="O452" s="147">
        <v>0</v>
      </c>
      <c r="P452" s="147" t="s">
        <v>78</v>
      </c>
      <c r="Q452" s="147">
        <v>0</v>
      </c>
      <c r="R452" s="147" t="s">
        <v>78</v>
      </c>
      <c r="S452" s="147">
        <v>0</v>
      </c>
      <c r="T452" s="147" t="s">
        <v>78</v>
      </c>
      <c r="U452" s="147">
        <v>0</v>
      </c>
      <c r="V452" s="147" t="s">
        <v>81</v>
      </c>
      <c r="W452" s="147" t="s">
        <v>78</v>
      </c>
      <c r="X452" s="147" t="s">
        <v>81</v>
      </c>
      <c r="Y452" s="147" t="s">
        <v>78</v>
      </c>
      <c r="Z452" s="147" t="s">
        <v>121</v>
      </c>
      <c r="AA452" s="147" t="s">
        <v>75</v>
      </c>
      <c r="AB452" s="147" t="s">
        <v>81</v>
      </c>
      <c r="AC452" s="147" t="s">
        <v>84</v>
      </c>
    </row>
    <row r="453" spans="2:29" x14ac:dyDescent="0.25">
      <c r="B453" s="147" t="s">
        <v>2259</v>
      </c>
      <c r="C453" s="147" t="s">
        <v>78</v>
      </c>
      <c r="G453" s="147" t="s">
        <v>81</v>
      </c>
      <c r="J453" s="147" t="s">
        <v>81</v>
      </c>
      <c r="K453" s="147" t="s">
        <v>78</v>
      </c>
      <c r="L453" s="147" t="s">
        <v>81</v>
      </c>
      <c r="M453" s="147" t="s">
        <v>78</v>
      </c>
      <c r="N453" s="147" t="s">
        <v>81</v>
      </c>
      <c r="O453" s="147">
        <v>0</v>
      </c>
      <c r="P453" s="147" t="s">
        <v>78</v>
      </c>
      <c r="Q453" s="147">
        <v>0</v>
      </c>
      <c r="R453" s="147" t="s">
        <v>78</v>
      </c>
      <c r="S453" s="147">
        <v>0</v>
      </c>
      <c r="T453" s="147" t="s">
        <v>78</v>
      </c>
      <c r="U453" s="147">
        <v>0</v>
      </c>
      <c r="V453" s="147" t="s">
        <v>81</v>
      </c>
      <c r="W453" s="147" t="s">
        <v>78</v>
      </c>
      <c r="X453" s="147" t="s">
        <v>81</v>
      </c>
      <c r="Y453" s="147" t="s">
        <v>78</v>
      </c>
      <c r="Z453" s="147" t="s">
        <v>1648</v>
      </c>
      <c r="AA453" s="147" t="s">
        <v>75</v>
      </c>
      <c r="AB453" s="147" t="s">
        <v>81</v>
      </c>
      <c r="AC453" s="147" t="s">
        <v>84</v>
      </c>
    </row>
    <row r="454" spans="2:29" x14ac:dyDescent="0.25">
      <c r="B454" s="147" t="s">
        <v>2260</v>
      </c>
      <c r="C454" s="147" t="s">
        <v>78</v>
      </c>
      <c r="G454" s="147" t="s">
        <v>81</v>
      </c>
      <c r="J454" s="147" t="s">
        <v>81</v>
      </c>
      <c r="K454" s="147" t="s">
        <v>78</v>
      </c>
      <c r="L454" s="147" t="s">
        <v>75</v>
      </c>
      <c r="M454" s="147" t="s">
        <v>2068</v>
      </c>
      <c r="N454" s="147" t="s">
        <v>81</v>
      </c>
      <c r="O454" s="147">
        <v>0</v>
      </c>
      <c r="P454" s="147" t="s">
        <v>78</v>
      </c>
      <c r="Q454" s="147">
        <v>0</v>
      </c>
      <c r="R454" s="147" t="s">
        <v>78</v>
      </c>
      <c r="S454" s="147">
        <v>0</v>
      </c>
      <c r="T454" s="147" t="s">
        <v>78</v>
      </c>
      <c r="U454" s="147">
        <v>0</v>
      </c>
      <c r="V454" s="147" t="s">
        <v>81</v>
      </c>
      <c r="W454" s="147" t="s">
        <v>78</v>
      </c>
      <c r="X454" s="147" t="s">
        <v>81</v>
      </c>
      <c r="Y454" s="147" t="s">
        <v>78</v>
      </c>
      <c r="Z454" s="147" t="s">
        <v>121</v>
      </c>
      <c r="AA454" s="147" t="s">
        <v>75</v>
      </c>
      <c r="AB454" s="147" t="s">
        <v>81</v>
      </c>
      <c r="AC454" s="147" t="s">
        <v>84</v>
      </c>
    </row>
    <row r="455" spans="2:29" x14ac:dyDescent="0.25">
      <c r="B455" s="147" t="s">
        <v>2261</v>
      </c>
      <c r="C455" s="147" t="s">
        <v>78</v>
      </c>
      <c r="G455" s="147" t="s">
        <v>81</v>
      </c>
      <c r="J455" s="147" t="s">
        <v>81</v>
      </c>
      <c r="K455" s="147" t="s">
        <v>78</v>
      </c>
      <c r="L455" s="147" t="s">
        <v>81</v>
      </c>
      <c r="M455" s="147" t="s">
        <v>78</v>
      </c>
      <c r="N455" s="147" t="s">
        <v>81</v>
      </c>
      <c r="O455" s="147">
        <v>0</v>
      </c>
      <c r="P455" s="147" t="s">
        <v>78</v>
      </c>
      <c r="Q455" s="147">
        <v>0</v>
      </c>
      <c r="R455" s="147" t="s">
        <v>78</v>
      </c>
      <c r="S455" s="147">
        <v>0</v>
      </c>
      <c r="T455" s="147" t="s">
        <v>78</v>
      </c>
      <c r="U455" s="147">
        <v>0</v>
      </c>
      <c r="V455" s="147" t="s">
        <v>81</v>
      </c>
      <c r="W455" s="147" t="s">
        <v>78</v>
      </c>
      <c r="X455" s="147" t="s">
        <v>81</v>
      </c>
      <c r="Y455" s="147" t="s">
        <v>2069</v>
      </c>
      <c r="Z455" s="147" t="s">
        <v>1648</v>
      </c>
      <c r="AA455" s="147" t="s">
        <v>75</v>
      </c>
      <c r="AB455" s="147" t="s">
        <v>81</v>
      </c>
      <c r="AC455" s="147" t="s">
        <v>84</v>
      </c>
    </row>
    <row r="456" spans="2:29" x14ac:dyDescent="0.25">
      <c r="B456" s="147" t="s">
        <v>2262</v>
      </c>
      <c r="C456" s="147" t="s">
        <v>440</v>
      </c>
      <c r="G456" s="147" t="s">
        <v>81</v>
      </c>
      <c r="J456" s="147" t="s">
        <v>81</v>
      </c>
      <c r="K456" s="147" t="s">
        <v>78</v>
      </c>
      <c r="L456" s="147" t="s">
        <v>81</v>
      </c>
      <c r="M456" s="147" t="s">
        <v>78</v>
      </c>
      <c r="N456" s="147" t="s">
        <v>81</v>
      </c>
      <c r="O456" s="147">
        <v>0</v>
      </c>
      <c r="P456" s="147" t="s">
        <v>78</v>
      </c>
      <c r="Q456" s="147">
        <v>0</v>
      </c>
      <c r="R456" s="147" t="s">
        <v>78</v>
      </c>
      <c r="S456" s="147">
        <v>0</v>
      </c>
      <c r="T456" s="147" t="s">
        <v>78</v>
      </c>
      <c r="U456" s="147">
        <v>0</v>
      </c>
      <c r="V456" s="147" t="s">
        <v>81</v>
      </c>
      <c r="W456" s="147" t="s">
        <v>78</v>
      </c>
      <c r="X456" s="147" t="s">
        <v>81</v>
      </c>
      <c r="Y456" s="147" t="s">
        <v>78</v>
      </c>
      <c r="Z456" s="147" t="s">
        <v>397</v>
      </c>
      <c r="AA456" s="147" t="s">
        <v>81</v>
      </c>
      <c r="AB456" s="147" t="s">
        <v>81</v>
      </c>
      <c r="AC456" s="147" t="s">
        <v>84</v>
      </c>
    </row>
    <row r="457" spans="2:29" x14ac:dyDescent="0.25">
      <c r="B457" s="147" t="s">
        <v>2263</v>
      </c>
      <c r="C457" s="147" t="s">
        <v>78</v>
      </c>
      <c r="G457" s="147" t="s">
        <v>81</v>
      </c>
      <c r="J457" s="147" t="s">
        <v>75</v>
      </c>
      <c r="K457" s="147" t="s">
        <v>2070</v>
      </c>
      <c r="L457" s="147" t="s">
        <v>75</v>
      </c>
      <c r="M457" s="147" t="s">
        <v>2071</v>
      </c>
      <c r="N457" s="147" t="s">
        <v>75</v>
      </c>
      <c r="O457" s="147">
        <v>1</v>
      </c>
      <c r="P457" s="147" t="s">
        <v>2072</v>
      </c>
      <c r="Q457" s="147">
        <v>1</v>
      </c>
      <c r="R457" s="147" t="s">
        <v>2073</v>
      </c>
      <c r="S457" s="147">
        <v>1</v>
      </c>
      <c r="T457" s="147" t="s">
        <v>2074</v>
      </c>
      <c r="U457" s="147">
        <v>0</v>
      </c>
      <c r="V457" s="147" t="s">
        <v>81</v>
      </c>
      <c r="W457" s="147" t="s">
        <v>78</v>
      </c>
      <c r="X457" s="147" t="s">
        <v>81</v>
      </c>
      <c r="Y457" s="147" t="s">
        <v>2075</v>
      </c>
      <c r="Z457" s="147" t="s">
        <v>121</v>
      </c>
      <c r="AA457" s="147" t="s">
        <v>75</v>
      </c>
      <c r="AB457" s="147" t="s">
        <v>75</v>
      </c>
      <c r="AC457" s="147" t="s">
        <v>84</v>
      </c>
    </row>
    <row r="458" spans="2:29" x14ac:dyDescent="0.25">
      <c r="B458" s="147" t="s">
        <v>2264</v>
      </c>
      <c r="C458" s="147" t="s">
        <v>78</v>
      </c>
      <c r="G458" s="147" t="s">
        <v>81</v>
      </c>
      <c r="J458" s="147" t="s">
        <v>75</v>
      </c>
      <c r="K458" s="147" t="s">
        <v>2076</v>
      </c>
      <c r="L458" s="147" t="s">
        <v>75</v>
      </c>
      <c r="M458" s="147" t="s">
        <v>2077</v>
      </c>
      <c r="N458" s="147" t="s">
        <v>75</v>
      </c>
      <c r="O458" s="147">
        <v>1</v>
      </c>
      <c r="P458" s="147" t="s">
        <v>2078</v>
      </c>
      <c r="Q458" s="147">
        <v>1</v>
      </c>
      <c r="R458" s="147" t="s">
        <v>2079</v>
      </c>
      <c r="S458" s="147">
        <v>1</v>
      </c>
      <c r="T458" s="147" t="s">
        <v>2080</v>
      </c>
      <c r="U458" s="147">
        <v>3</v>
      </c>
      <c r="V458" s="147" t="s">
        <v>81</v>
      </c>
      <c r="W458" s="147" t="s">
        <v>78</v>
      </c>
      <c r="X458" s="147" t="s">
        <v>75</v>
      </c>
      <c r="Y458" s="147" t="s">
        <v>2081</v>
      </c>
      <c r="Z458" s="147" t="s">
        <v>121</v>
      </c>
      <c r="AA458" s="147" t="s">
        <v>75</v>
      </c>
      <c r="AB458" s="147" t="s">
        <v>75</v>
      </c>
      <c r="AC458" s="147" t="s">
        <v>84</v>
      </c>
    </row>
    <row r="459" spans="2:29" x14ac:dyDescent="0.25">
      <c r="B459" s="147" t="s">
        <v>2265</v>
      </c>
      <c r="C459" s="147" t="s">
        <v>78</v>
      </c>
      <c r="G459" s="147" t="s">
        <v>81</v>
      </c>
      <c r="J459" s="147" t="s">
        <v>75</v>
      </c>
      <c r="K459" s="147" t="s">
        <v>2082</v>
      </c>
      <c r="L459" s="147" t="s">
        <v>75</v>
      </c>
      <c r="M459" s="147" t="s">
        <v>2083</v>
      </c>
      <c r="N459" s="147" t="s">
        <v>75</v>
      </c>
      <c r="O459" s="147">
        <v>1</v>
      </c>
      <c r="P459" s="147" t="s">
        <v>2084</v>
      </c>
      <c r="Q459" s="147">
        <v>1</v>
      </c>
      <c r="R459" s="147" t="s">
        <v>2085</v>
      </c>
      <c r="S459" s="147">
        <v>2</v>
      </c>
      <c r="T459" s="147" t="s">
        <v>2086</v>
      </c>
      <c r="U459" s="147">
        <v>4</v>
      </c>
      <c r="V459" s="147" t="s">
        <v>81</v>
      </c>
      <c r="W459" s="147" t="s">
        <v>78</v>
      </c>
      <c r="X459" s="147" t="s">
        <v>75</v>
      </c>
      <c r="Y459" s="147" t="s">
        <v>2087</v>
      </c>
      <c r="Z459" s="147" t="s">
        <v>121</v>
      </c>
      <c r="AA459" s="147" t="s">
        <v>75</v>
      </c>
      <c r="AB459" s="147" t="s">
        <v>75</v>
      </c>
      <c r="AC459" s="147" t="s">
        <v>84</v>
      </c>
    </row>
    <row r="460" spans="2:29" x14ac:dyDescent="0.25">
      <c r="B460" s="147" t="s">
        <v>2266</v>
      </c>
      <c r="C460" s="147" t="s">
        <v>440</v>
      </c>
      <c r="G460" s="147" t="s">
        <v>81</v>
      </c>
      <c r="J460" s="147" t="s">
        <v>75</v>
      </c>
      <c r="K460" s="147" t="s">
        <v>2024</v>
      </c>
      <c r="L460" s="147" t="s">
        <v>75</v>
      </c>
      <c r="M460" s="147" t="s">
        <v>2088</v>
      </c>
      <c r="N460" s="147" t="s">
        <v>75</v>
      </c>
      <c r="O460" s="147">
        <v>1</v>
      </c>
      <c r="P460" s="147" t="s">
        <v>2089</v>
      </c>
      <c r="Q460" s="147">
        <v>1</v>
      </c>
      <c r="R460" s="147" t="s">
        <v>2090</v>
      </c>
      <c r="S460" s="147">
        <v>1</v>
      </c>
      <c r="T460" s="147" t="s">
        <v>2091</v>
      </c>
      <c r="U460" s="147">
        <v>3</v>
      </c>
      <c r="V460" s="147" t="s">
        <v>75</v>
      </c>
      <c r="W460" s="147" t="s">
        <v>2092</v>
      </c>
      <c r="X460" s="147" t="s">
        <v>75</v>
      </c>
      <c r="Y460" s="147" t="s">
        <v>2093</v>
      </c>
      <c r="Z460" s="147" t="s">
        <v>121</v>
      </c>
      <c r="AA460" s="147" t="s">
        <v>75</v>
      </c>
      <c r="AB460" s="147" t="s">
        <v>75</v>
      </c>
      <c r="AC460" s="147" t="s">
        <v>84</v>
      </c>
    </row>
    <row r="461" spans="2:29" x14ac:dyDescent="0.25">
      <c r="B461" s="147" t="s">
        <v>2267</v>
      </c>
      <c r="C461" s="147" t="s">
        <v>78</v>
      </c>
      <c r="G461" s="147" t="s">
        <v>81</v>
      </c>
      <c r="J461" s="147" t="s">
        <v>75</v>
      </c>
      <c r="K461" s="147" t="s">
        <v>2076</v>
      </c>
      <c r="L461" s="147" t="s">
        <v>75</v>
      </c>
      <c r="M461" s="147" t="s">
        <v>2094</v>
      </c>
      <c r="N461" s="147" t="s">
        <v>75</v>
      </c>
      <c r="O461" s="147">
        <v>1</v>
      </c>
      <c r="P461" s="147" t="s">
        <v>2095</v>
      </c>
      <c r="Q461" s="147">
        <v>2</v>
      </c>
      <c r="R461" s="147" t="s">
        <v>2096</v>
      </c>
      <c r="S461" s="147">
        <v>1</v>
      </c>
      <c r="T461" s="147" t="s">
        <v>2097</v>
      </c>
      <c r="U461" s="147">
        <v>4</v>
      </c>
      <c r="V461" s="147" t="s">
        <v>81</v>
      </c>
      <c r="W461" s="147" t="s">
        <v>78</v>
      </c>
      <c r="X461" s="147" t="s">
        <v>75</v>
      </c>
      <c r="Y461" s="147" t="s">
        <v>2093</v>
      </c>
      <c r="Z461" s="147" t="s">
        <v>121</v>
      </c>
      <c r="AA461" s="147" t="s">
        <v>75</v>
      </c>
      <c r="AB461" s="147" t="s">
        <v>75</v>
      </c>
      <c r="AC461" s="147" t="s">
        <v>84</v>
      </c>
    </row>
    <row r="462" spans="2:29" x14ac:dyDescent="0.25">
      <c r="B462" s="147" t="s">
        <v>2268</v>
      </c>
      <c r="C462" s="147" t="s">
        <v>78</v>
      </c>
      <c r="G462" s="147" t="s">
        <v>81</v>
      </c>
      <c r="J462" s="147" t="s">
        <v>81</v>
      </c>
      <c r="K462" s="147" t="s">
        <v>78</v>
      </c>
      <c r="L462" s="147" t="s">
        <v>81</v>
      </c>
      <c r="M462" s="147" t="s">
        <v>78</v>
      </c>
      <c r="N462" s="147" t="s">
        <v>81</v>
      </c>
      <c r="O462" s="147">
        <v>0</v>
      </c>
      <c r="P462" s="147" t="s">
        <v>78</v>
      </c>
      <c r="Q462" s="147">
        <v>0</v>
      </c>
      <c r="R462" s="147" t="s">
        <v>78</v>
      </c>
      <c r="S462" s="147">
        <v>0</v>
      </c>
      <c r="T462" s="147" t="s">
        <v>78</v>
      </c>
      <c r="U462" s="147">
        <v>0</v>
      </c>
      <c r="V462" s="147" t="s">
        <v>81</v>
      </c>
      <c r="W462" s="147" t="s">
        <v>78</v>
      </c>
      <c r="X462" s="147" t="s">
        <v>81</v>
      </c>
      <c r="Y462" s="147" t="s">
        <v>78</v>
      </c>
      <c r="Z462" s="147" t="s">
        <v>121</v>
      </c>
      <c r="AA462" s="147" t="s">
        <v>75</v>
      </c>
      <c r="AB462" s="147" t="s">
        <v>81</v>
      </c>
      <c r="AC462" s="147" t="s">
        <v>84</v>
      </c>
    </row>
    <row r="463" spans="2:29" x14ac:dyDescent="0.25">
      <c r="B463" s="147" t="s">
        <v>2269</v>
      </c>
      <c r="C463" s="147" t="s">
        <v>78</v>
      </c>
      <c r="G463" s="147" t="s">
        <v>81</v>
      </c>
      <c r="J463" s="147" t="s">
        <v>75</v>
      </c>
      <c r="K463" s="147" t="s">
        <v>2098</v>
      </c>
      <c r="L463" s="147" t="s">
        <v>75</v>
      </c>
      <c r="M463" s="147" t="s">
        <v>2099</v>
      </c>
      <c r="N463" s="147" t="s">
        <v>75</v>
      </c>
      <c r="O463" s="147">
        <v>1</v>
      </c>
      <c r="P463" s="147" t="s">
        <v>2100</v>
      </c>
      <c r="Q463" s="147">
        <v>1</v>
      </c>
      <c r="R463" s="147" t="s">
        <v>2101</v>
      </c>
      <c r="S463" s="147">
        <v>1</v>
      </c>
      <c r="T463" s="147" t="s">
        <v>2102</v>
      </c>
      <c r="U463" s="147">
        <v>3</v>
      </c>
      <c r="V463" s="147" t="s">
        <v>81</v>
      </c>
      <c r="W463" s="147" t="s">
        <v>78</v>
      </c>
      <c r="X463" s="147" t="s">
        <v>75</v>
      </c>
      <c r="Y463" s="147" t="s">
        <v>2103</v>
      </c>
      <c r="Z463" s="147" t="s">
        <v>121</v>
      </c>
      <c r="AA463" s="147" t="s">
        <v>75</v>
      </c>
      <c r="AB463" s="147" t="s">
        <v>75</v>
      </c>
      <c r="AC463" s="147" t="s">
        <v>84</v>
      </c>
    </row>
    <row r="464" spans="2:29" x14ac:dyDescent="0.25">
      <c r="B464" s="147" t="s">
        <v>2270</v>
      </c>
      <c r="C464" s="147" t="s">
        <v>78</v>
      </c>
      <c r="G464" s="147" t="s">
        <v>81</v>
      </c>
      <c r="J464" s="147" t="s">
        <v>75</v>
      </c>
      <c r="K464" s="147" t="s">
        <v>2104</v>
      </c>
      <c r="L464" s="147" t="s">
        <v>75</v>
      </c>
      <c r="M464" s="147" t="s">
        <v>2105</v>
      </c>
      <c r="N464" s="147" t="s">
        <v>75</v>
      </c>
      <c r="O464" s="147">
        <v>1</v>
      </c>
      <c r="P464" s="147" t="s">
        <v>2106</v>
      </c>
      <c r="Q464" s="147">
        <v>1</v>
      </c>
      <c r="R464" s="147" t="s">
        <v>2107</v>
      </c>
      <c r="S464" s="147">
        <v>2</v>
      </c>
      <c r="T464" s="147" t="s">
        <v>2108</v>
      </c>
      <c r="U464" s="147">
        <v>4</v>
      </c>
      <c r="V464" s="147" t="s">
        <v>81</v>
      </c>
      <c r="W464" s="147" t="s">
        <v>78</v>
      </c>
      <c r="X464" s="147" t="s">
        <v>75</v>
      </c>
      <c r="Y464" s="147" t="s">
        <v>2103</v>
      </c>
      <c r="Z464" s="147" t="s">
        <v>121</v>
      </c>
      <c r="AA464" s="147" t="s">
        <v>75</v>
      </c>
      <c r="AB464" s="147" t="s">
        <v>75</v>
      </c>
      <c r="AC464" s="147" t="s">
        <v>84</v>
      </c>
    </row>
    <row r="465" spans="2:29" x14ac:dyDescent="0.25">
      <c r="B465" s="147" t="s">
        <v>2271</v>
      </c>
      <c r="C465" s="147" t="s">
        <v>2109</v>
      </c>
      <c r="G465" s="147" t="s">
        <v>81</v>
      </c>
      <c r="J465" s="147" t="s">
        <v>75</v>
      </c>
      <c r="K465" s="147" t="s">
        <v>2110</v>
      </c>
      <c r="L465" s="147" t="s">
        <v>75</v>
      </c>
      <c r="M465" s="147" t="s">
        <v>2111</v>
      </c>
      <c r="N465" s="147" t="s">
        <v>75</v>
      </c>
      <c r="O465" s="147">
        <v>1</v>
      </c>
      <c r="P465" s="147" t="s">
        <v>2112</v>
      </c>
      <c r="Q465" s="147">
        <v>1</v>
      </c>
      <c r="R465" s="147" t="s">
        <v>2113</v>
      </c>
      <c r="S465" s="147">
        <v>1</v>
      </c>
      <c r="T465" s="147" t="s">
        <v>2114</v>
      </c>
      <c r="U465" s="147">
        <v>3</v>
      </c>
      <c r="V465" s="147" t="s">
        <v>81</v>
      </c>
      <c r="W465" s="147" t="s">
        <v>78</v>
      </c>
      <c r="X465" s="147" t="s">
        <v>75</v>
      </c>
      <c r="Y465" s="147" t="s">
        <v>2103</v>
      </c>
      <c r="Z465" s="147" t="s">
        <v>121</v>
      </c>
      <c r="AA465" s="147" t="s">
        <v>75</v>
      </c>
      <c r="AB465" s="147" t="s">
        <v>75</v>
      </c>
      <c r="AC465" s="147" t="s">
        <v>84</v>
      </c>
    </row>
    <row r="466" spans="2:29" x14ac:dyDescent="0.25">
      <c r="B466" s="147" t="s">
        <v>2272</v>
      </c>
      <c r="C466" s="147" t="s">
        <v>78</v>
      </c>
      <c r="G466" s="147" t="s">
        <v>81</v>
      </c>
      <c r="J466" s="147" t="s">
        <v>75</v>
      </c>
      <c r="K466" s="147" t="s">
        <v>2115</v>
      </c>
      <c r="L466" s="147" t="s">
        <v>75</v>
      </c>
      <c r="M466" s="147" t="s">
        <v>2116</v>
      </c>
      <c r="N466" s="147" t="s">
        <v>75</v>
      </c>
      <c r="O466" s="147">
        <v>1</v>
      </c>
      <c r="P466" s="147" t="s">
        <v>2117</v>
      </c>
      <c r="Q466" s="147">
        <v>1</v>
      </c>
      <c r="R466" s="147" t="s">
        <v>2118</v>
      </c>
      <c r="S466" s="147">
        <v>1</v>
      </c>
      <c r="T466" s="147" t="s">
        <v>2119</v>
      </c>
      <c r="U466" s="147">
        <v>3</v>
      </c>
      <c r="V466" s="147" t="s">
        <v>81</v>
      </c>
      <c r="W466" s="147" t="s">
        <v>78</v>
      </c>
      <c r="X466" s="147" t="s">
        <v>75</v>
      </c>
      <c r="Y466" s="147" t="s">
        <v>2120</v>
      </c>
      <c r="Z466" s="147" t="s">
        <v>121</v>
      </c>
      <c r="AA466" s="147" t="s">
        <v>75</v>
      </c>
      <c r="AB466" s="147" t="s">
        <v>75</v>
      </c>
      <c r="AC466" s="147" t="s">
        <v>84</v>
      </c>
    </row>
    <row r="467" spans="2:29" x14ac:dyDescent="0.25">
      <c r="B467" s="147" t="s">
        <v>2273</v>
      </c>
      <c r="C467" s="147" t="s">
        <v>78</v>
      </c>
      <c r="G467" s="147" t="s">
        <v>81</v>
      </c>
      <c r="J467" s="147" t="s">
        <v>81</v>
      </c>
      <c r="K467" s="147" t="s">
        <v>78</v>
      </c>
      <c r="L467" s="147" t="s">
        <v>81</v>
      </c>
      <c r="M467" s="147" t="s">
        <v>78</v>
      </c>
      <c r="N467" s="147" t="s">
        <v>81</v>
      </c>
      <c r="O467" s="147">
        <v>0</v>
      </c>
      <c r="P467" s="147" t="s">
        <v>78</v>
      </c>
      <c r="Q467" s="147">
        <v>0</v>
      </c>
      <c r="R467" s="147" t="s">
        <v>78</v>
      </c>
      <c r="S467" s="147">
        <v>0</v>
      </c>
      <c r="T467" s="147" t="s">
        <v>78</v>
      </c>
      <c r="U467" s="147">
        <v>0</v>
      </c>
      <c r="V467" s="147" t="s">
        <v>81</v>
      </c>
      <c r="W467" s="147" t="s">
        <v>78</v>
      </c>
      <c r="X467" s="147" t="s">
        <v>81</v>
      </c>
      <c r="Y467" s="147" t="s">
        <v>78</v>
      </c>
      <c r="Z467" s="147" t="s">
        <v>397</v>
      </c>
      <c r="AA467" s="147" t="s">
        <v>81</v>
      </c>
      <c r="AB467" s="147" t="s">
        <v>81</v>
      </c>
      <c r="AC467" s="147" t="s">
        <v>84</v>
      </c>
    </row>
    <row r="468" spans="2:29" x14ac:dyDescent="0.25">
      <c r="B468" s="147" t="s">
        <v>2274</v>
      </c>
      <c r="C468" s="147" t="s">
        <v>78</v>
      </c>
      <c r="G468" s="147" t="s">
        <v>81</v>
      </c>
      <c r="J468" s="147" t="s">
        <v>81</v>
      </c>
      <c r="K468" s="147" t="s">
        <v>78</v>
      </c>
      <c r="L468" s="147" t="s">
        <v>75</v>
      </c>
      <c r="M468" s="147" t="s">
        <v>2121</v>
      </c>
      <c r="N468" s="147" t="s">
        <v>75</v>
      </c>
      <c r="O468" s="147">
        <v>0</v>
      </c>
      <c r="P468" s="147" t="s">
        <v>78</v>
      </c>
      <c r="Q468" s="147">
        <v>1</v>
      </c>
      <c r="R468" s="147" t="s">
        <v>2122</v>
      </c>
      <c r="S468" s="147">
        <v>0</v>
      </c>
      <c r="T468" s="147" t="s">
        <v>78</v>
      </c>
      <c r="U468" s="147">
        <v>1</v>
      </c>
      <c r="V468" s="147" t="s">
        <v>81</v>
      </c>
      <c r="W468" s="147" t="s">
        <v>78</v>
      </c>
      <c r="X468" s="147" t="s">
        <v>75</v>
      </c>
      <c r="Y468" s="147" t="s">
        <v>2123</v>
      </c>
      <c r="Z468" s="147" t="s">
        <v>1648</v>
      </c>
      <c r="AA468" s="147" t="s">
        <v>75</v>
      </c>
      <c r="AB468" s="147" t="s">
        <v>81</v>
      </c>
      <c r="AC468" s="147" t="s">
        <v>84</v>
      </c>
    </row>
    <row r="469" spans="2:29" x14ac:dyDescent="0.25">
      <c r="B469" s="147" t="s">
        <v>2275</v>
      </c>
      <c r="C469" s="147" t="s">
        <v>78</v>
      </c>
      <c r="G469" s="147" t="s">
        <v>81</v>
      </c>
      <c r="J469" s="147" t="s">
        <v>81</v>
      </c>
      <c r="K469" s="147" t="s">
        <v>78</v>
      </c>
      <c r="L469" s="147" t="s">
        <v>81</v>
      </c>
      <c r="M469" s="147" t="s">
        <v>78</v>
      </c>
      <c r="N469" s="147" t="s">
        <v>81</v>
      </c>
      <c r="O469" s="147">
        <v>0</v>
      </c>
      <c r="P469" s="147" t="s">
        <v>78</v>
      </c>
      <c r="Q469" s="147">
        <v>0</v>
      </c>
      <c r="R469" s="147" t="s">
        <v>78</v>
      </c>
      <c r="S469" s="147">
        <v>0</v>
      </c>
      <c r="T469" s="147" t="s">
        <v>78</v>
      </c>
      <c r="U469" s="147">
        <v>0</v>
      </c>
      <c r="V469" s="147" t="s">
        <v>81</v>
      </c>
      <c r="W469" s="147" t="s">
        <v>78</v>
      </c>
      <c r="X469" s="147" t="s">
        <v>81</v>
      </c>
      <c r="Y469" s="147" t="s">
        <v>78</v>
      </c>
      <c r="Z469" s="147" t="s">
        <v>1648</v>
      </c>
      <c r="AA469" s="147" t="s">
        <v>75</v>
      </c>
      <c r="AB469" s="147" t="s">
        <v>81</v>
      </c>
      <c r="AC469" s="147" t="s">
        <v>84</v>
      </c>
    </row>
    <row r="470" spans="2:29" x14ac:dyDescent="0.25">
      <c r="B470" s="147" t="s">
        <v>2276</v>
      </c>
      <c r="C470" s="147" t="s">
        <v>1987</v>
      </c>
      <c r="G470" s="147" t="s">
        <v>81</v>
      </c>
      <c r="J470" s="147" t="s">
        <v>81</v>
      </c>
      <c r="K470" s="147" t="s">
        <v>78</v>
      </c>
      <c r="L470" s="147" t="s">
        <v>81</v>
      </c>
      <c r="M470" s="147" t="s">
        <v>78</v>
      </c>
      <c r="N470" s="147" t="s">
        <v>81</v>
      </c>
      <c r="O470" s="147">
        <v>0</v>
      </c>
      <c r="P470" s="147" t="s">
        <v>78</v>
      </c>
      <c r="Q470" s="147">
        <v>0</v>
      </c>
      <c r="R470" s="147" t="s">
        <v>78</v>
      </c>
      <c r="S470" s="147">
        <v>0</v>
      </c>
      <c r="T470" s="147" t="s">
        <v>78</v>
      </c>
      <c r="U470" s="147">
        <v>0</v>
      </c>
      <c r="V470" s="147" t="s">
        <v>81</v>
      </c>
      <c r="W470" s="147" t="s">
        <v>78</v>
      </c>
      <c r="X470" s="147" t="s">
        <v>81</v>
      </c>
      <c r="Y470" s="147" t="s">
        <v>78</v>
      </c>
      <c r="Z470" s="147" t="s">
        <v>217</v>
      </c>
      <c r="AA470" s="147" t="s">
        <v>75</v>
      </c>
      <c r="AB470" s="147" t="s">
        <v>81</v>
      </c>
      <c r="AC470" s="147" t="s">
        <v>84</v>
      </c>
    </row>
    <row r="471" spans="2:29" x14ac:dyDescent="0.25">
      <c r="B471" s="147" t="s">
        <v>2277</v>
      </c>
      <c r="C471" s="147" t="s">
        <v>78</v>
      </c>
      <c r="G471" s="147" t="s">
        <v>81</v>
      </c>
      <c r="J471" s="147" t="s">
        <v>81</v>
      </c>
      <c r="K471" s="147" t="s">
        <v>78</v>
      </c>
      <c r="L471" s="147" t="s">
        <v>81</v>
      </c>
      <c r="M471" s="147" t="s">
        <v>78</v>
      </c>
      <c r="N471" s="147" t="s">
        <v>81</v>
      </c>
      <c r="O471" s="147">
        <v>0</v>
      </c>
      <c r="P471" s="147" t="s">
        <v>78</v>
      </c>
      <c r="Q471" s="147">
        <v>0</v>
      </c>
      <c r="R471" s="147" t="s">
        <v>78</v>
      </c>
      <c r="S471" s="147">
        <v>0</v>
      </c>
      <c r="T471" s="147" t="s">
        <v>78</v>
      </c>
      <c r="U471" s="147">
        <v>0</v>
      </c>
      <c r="V471" s="147" t="s">
        <v>81</v>
      </c>
      <c r="W471" s="147" t="s">
        <v>78</v>
      </c>
      <c r="X471" s="147" t="s">
        <v>81</v>
      </c>
      <c r="Y471" s="147" t="s">
        <v>78</v>
      </c>
      <c r="Z471" s="147" t="s">
        <v>1648</v>
      </c>
      <c r="AA471" s="147" t="s">
        <v>75</v>
      </c>
      <c r="AB471" s="147" t="s">
        <v>81</v>
      </c>
      <c r="AC471" s="147" t="s">
        <v>84</v>
      </c>
    </row>
    <row r="472" spans="2:29" x14ac:dyDescent="0.25">
      <c r="B472" s="147" t="s">
        <v>2278</v>
      </c>
      <c r="C472" s="147" t="s">
        <v>78</v>
      </c>
      <c r="G472" s="147" t="s">
        <v>81</v>
      </c>
      <c r="J472" s="147" t="s">
        <v>81</v>
      </c>
      <c r="K472" s="147" t="s">
        <v>78</v>
      </c>
      <c r="L472" s="147" t="s">
        <v>81</v>
      </c>
      <c r="M472" s="147" t="s">
        <v>78</v>
      </c>
      <c r="N472" s="147" t="s">
        <v>81</v>
      </c>
      <c r="O472" s="147">
        <v>0</v>
      </c>
      <c r="P472" s="147" t="s">
        <v>78</v>
      </c>
      <c r="Q472" s="147">
        <v>0</v>
      </c>
      <c r="R472" s="147" t="s">
        <v>78</v>
      </c>
      <c r="S472" s="147">
        <v>0</v>
      </c>
      <c r="T472" s="147" t="s">
        <v>78</v>
      </c>
      <c r="U472" s="147">
        <v>0</v>
      </c>
      <c r="V472" s="147" t="s">
        <v>81</v>
      </c>
      <c r="W472" s="147" t="s">
        <v>78</v>
      </c>
      <c r="X472" s="147" t="s">
        <v>81</v>
      </c>
      <c r="Y472" s="147" t="s">
        <v>78</v>
      </c>
      <c r="Z472" s="147" t="s">
        <v>121</v>
      </c>
      <c r="AA472" s="147" t="s">
        <v>75</v>
      </c>
      <c r="AB472" s="147" t="s">
        <v>75</v>
      </c>
      <c r="AC472" s="147" t="s">
        <v>84</v>
      </c>
    </row>
    <row r="473" spans="2:29" x14ac:dyDescent="0.25">
      <c r="B473" s="147" t="s">
        <v>2279</v>
      </c>
      <c r="C473" s="147" t="s">
        <v>2124</v>
      </c>
      <c r="G473" s="147" t="s">
        <v>81</v>
      </c>
      <c r="J473" s="147" t="s">
        <v>81</v>
      </c>
      <c r="K473" s="147" t="s">
        <v>78</v>
      </c>
      <c r="L473" s="147" t="s">
        <v>81</v>
      </c>
      <c r="M473" s="147" t="s">
        <v>78</v>
      </c>
      <c r="N473" s="147" t="s">
        <v>81</v>
      </c>
      <c r="O473" s="147">
        <v>0</v>
      </c>
      <c r="P473" s="147" t="s">
        <v>78</v>
      </c>
      <c r="Q473" s="147">
        <v>0</v>
      </c>
      <c r="R473" s="147" t="s">
        <v>78</v>
      </c>
      <c r="S473" s="147">
        <v>0</v>
      </c>
      <c r="T473" s="147" t="s">
        <v>78</v>
      </c>
      <c r="U473" s="147">
        <v>0</v>
      </c>
      <c r="V473" s="147" t="s">
        <v>81</v>
      </c>
      <c r="W473" s="147" t="s">
        <v>78</v>
      </c>
      <c r="X473" s="147" t="s">
        <v>81</v>
      </c>
      <c r="Y473" s="147" t="s">
        <v>78</v>
      </c>
      <c r="Z473" s="147" t="s">
        <v>217</v>
      </c>
      <c r="AA473" s="147" t="s">
        <v>75</v>
      </c>
      <c r="AB473" s="147" t="s">
        <v>81</v>
      </c>
      <c r="AC473" s="147" t="s">
        <v>110</v>
      </c>
    </row>
    <row r="474" spans="2:29" x14ac:dyDescent="0.25">
      <c r="B474" s="147" t="s">
        <v>2280</v>
      </c>
      <c r="C474" s="147" t="s">
        <v>2124</v>
      </c>
      <c r="G474" s="147" t="s">
        <v>81</v>
      </c>
      <c r="J474" s="147" t="s">
        <v>81</v>
      </c>
      <c r="K474" s="147" t="s">
        <v>78</v>
      </c>
      <c r="L474" s="147" t="s">
        <v>81</v>
      </c>
      <c r="M474" s="147" t="s">
        <v>78</v>
      </c>
      <c r="N474" s="147" t="s">
        <v>81</v>
      </c>
      <c r="O474" s="147">
        <v>0</v>
      </c>
      <c r="P474" s="147" t="s">
        <v>78</v>
      </c>
      <c r="Q474" s="147">
        <v>0</v>
      </c>
      <c r="R474" s="147" t="s">
        <v>78</v>
      </c>
      <c r="S474" s="147">
        <v>0</v>
      </c>
      <c r="T474" s="147" t="s">
        <v>78</v>
      </c>
      <c r="U474" s="147">
        <v>0</v>
      </c>
      <c r="V474" s="147" t="s">
        <v>81</v>
      </c>
      <c r="W474" s="147" t="s">
        <v>78</v>
      </c>
      <c r="X474" s="147" t="s">
        <v>81</v>
      </c>
      <c r="Y474" s="147" t="s">
        <v>78</v>
      </c>
      <c r="Z474" s="147" t="s">
        <v>217</v>
      </c>
      <c r="AA474" s="147" t="s">
        <v>75</v>
      </c>
      <c r="AB474" s="147" t="s">
        <v>81</v>
      </c>
      <c r="AC474" s="147" t="s">
        <v>110</v>
      </c>
    </row>
    <row r="475" spans="2:29" x14ac:dyDescent="0.25">
      <c r="B475" s="147" t="s">
        <v>2281</v>
      </c>
      <c r="C475" s="147" t="s">
        <v>78</v>
      </c>
      <c r="G475" s="147" t="s">
        <v>81</v>
      </c>
      <c r="J475" s="147" t="s">
        <v>81</v>
      </c>
      <c r="K475" s="147" t="s">
        <v>78</v>
      </c>
      <c r="L475" s="147" t="s">
        <v>81</v>
      </c>
      <c r="M475" s="147" t="s">
        <v>78</v>
      </c>
      <c r="N475" s="147" t="s">
        <v>81</v>
      </c>
      <c r="O475" s="147">
        <v>0</v>
      </c>
      <c r="P475" s="147" t="s">
        <v>78</v>
      </c>
      <c r="Q475" s="147">
        <v>0</v>
      </c>
      <c r="R475" s="147" t="s">
        <v>78</v>
      </c>
      <c r="S475" s="147">
        <v>1</v>
      </c>
      <c r="T475" s="147" t="s">
        <v>2125</v>
      </c>
      <c r="U475" s="147">
        <v>1</v>
      </c>
      <c r="V475" s="147" t="s">
        <v>81</v>
      </c>
      <c r="W475" s="147" t="s">
        <v>78</v>
      </c>
      <c r="X475" s="147" t="s">
        <v>81</v>
      </c>
      <c r="Y475" s="147" t="s">
        <v>78</v>
      </c>
      <c r="Z475" s="147" t="s">
        <v>121</v>
      </c>
      <c r="AA475" s="147" t="s">
        <v>75</v>
      </c>
      <c r="AB475" s="147" t="s">
        <v>81</v>
      </c>
      <c r="AC475" s="147" t="s">
        <v>84</v>
      </c>
    </row>
    <row r="476" spans="2:29" x14ac:dyDescent="0.25">
      <c r="B476" s="147" t="s">
        <v>2282</v>
      </c>
      <c r="C476" s="147" t="s">
        <v>2126</v>
      </c>
      <c r="G476" s="147" t="s">
        <v>81</v>
      </c>
      <c r="J476" s="147" t="s">
        <v>81</v>
      </c>
      <c r="K476" s="147" t="s">
        <v>78</v>
      </c>
      <c r="L476" s="147" t="s">
        <v>81</v>
      </c>
      <c r="M476" s="147" t="s">
        <v>78</v>
      </c>
      <c r="N476" s="147" t="s">
        <v>81</v>
      </c>
      <c r="O476" s="147">
        <v>0</v>
      </c>
      <c r="P476" s="147" t="s">
        <v>78</v>
      </c>
      <c r="Q476" s="147">
        <v>0</v>
      </c>
      <c r="R476" s="147" t="s">
        <v>78</v>
      </c>
      <c r="S476" s="147">
        <v>0</v>
      </c>
      <c r="T476" s="147" t="s">
        <v>78</v>
      </c>
      <c r="U476" s="147">
        <v>0</v>
      </c>
      <c r="V476" s="147" t="s">
        <v>81</v>
      </c>
      <c r="W476" s="147" t="s">
        <v>78</v>
      </c>
      <c r="X476" s="147" t="s">
        <v>81</v>
      </c>
      <c r="Y476" s="147" t="s">
        <v>78</v>
      </c>
      <c r="Z476" s="147" t="s">
        <v>217</v>
      </c>
      <c r="AA476" s="147" t="s">
        <v>75</v>
      </c>
      <c r="AB476" s="147" t="s">
        <v>81</v>
      </c>
      <c r="AC476" s="147" t="s">
        <v>84</v>
      </c>
    </row>
    <row r="477" spans="2:29" x14ac:dyDescent="0.25">
      <c r="B477" s="147" t="s">
        <v>2283</v>
      </c>
      <c r="C477" s="147" t="s">
        <v>2127</v>
      </c>
      <c r="G477" s="147" t="s">
        <v>81</v>
      </c>
      <c r="J477" s="147" t="s">
        <v>75</v>
      </c>
      <c r="K477" s="147" t="s">
        <v>2128</v>
      </c>
      <c r="L477" s="147" t="s">
        <v>81</v>
      </c>
      <c r="M477" s="147" t="s">
        <v>78</v>
      </c>
      <c r="N477" s="147" t="s">
        <v>75</v>
      </c>
      <c r="O477" s="147">
        <v>0</v>
      </c>
      <c r="P477" s="147" t="s">
        <v>78</v>
      </c>
      <c r="Q477" s="147">
        <v>0</v>
      </c>
      <c r="R477" s="147" t="s">
        <v>78</v>
      </c>
      <c r="S477" s="147">
        <v>2</v>
      </c>
      <c r="T477" s="147" t="s">
        <v>2129</v>
      </c>
      <c r="U477" s="147">
        <v>2</v>
      </c>
      <c r="V477" s="147" t="s">
        <v>81</v>
      </c>
      <c r="W477" s="147" t="s">
        <v>78</v>
      </c>
      <c r="X477" s="147" t="s">
        <v>75</v>
      </c>
      <c r="Y477" s="147" t="s">
        <v>2130</v>
      </c>
      <c r="Z477" s="147" t="s">
        <v>217</v>
      </c>
      <c r="AA477" s="147" t="s">
        <v>75</v>
      </c>
      <c r="AB477" s="147" t="s">
        <v>75</v>
      </c>
      <c r="AC477" s="147" t="s">
        <v>84</v>
      </c>
    </row>
    <row r="478" spans="2:29" x14ac:dyDescent="0.25">
      <c r="B478" s="147" t="s">
        <v>2284</v>
      </c>
      <c r="C478" s="147" t="s">
        <v>2127</v>
      </c>
      <c r="G478" s="147" t="s">
        <v>81</v>
      </c>
      <c r="J478" s="147" t="s">
        <v>75</v>
      </c>
      <c r="K478" s="147" t="s">
        <v>2128</v>
      </c>
      <c r="L478" s="147" t="s">
        <v>81</v>
      </c>
      <c r="M478" s="147" t="s">
        <v>78</v>
      </c>
      <c r="N478" s="147" t="s">
        <v>75</v>
      </c>
      <c r="O478" s="147">
        <v>0</v>
      </c>
      <c r="P478" s="147" t="s">
        <v>78</v>
      </c>
      <c r="Q478" s="147">
        <v>0</v>
      </c>
      <c r="R478" s="147" t="s">
        <v>78</v>
      </c>
      <c r="S478" s="147">
        <v>2</v>
      </c>
      <c r="T478" s="147" t="s">
        <v>2129</v>
      </c>
      <c r="U478" s="147">
        <v>2</v>
      </c>
      <c r="V478" s="147" t="s">
        <v>81</v>
      </c>
      <c r="W478" s="147" t="s">
        <v>78</v>
      </c>
      <c r="X478" s="147" t="s">
        <v>75</v>
      </c>
      <c r="Y478" s="147" t="s">
        <v>2130</v>
      </c>
      <c r="Z478" s="147" t="s">
        <v>217</v>
      </c>
      <c r="AA478" s="147" t="s">
        <v>75</v>
      </c>
      <c r="AB478" s="147" t="s">
        <v>75</v>
      </c>
      <c r="AC478" s="147" t="s">
        <v>84</v>
      </c>
    </row>
    <row r="479" spans="2:29" x14ac:dyDescent="0.25">
      <c r="B479" s="147" t="s">
        <v>2285</v>
      </c>
      <c r="C479" s="147" t="s">
        <v>2131</v>
      </c>
      <c r="G479" s="147" t="s">
        <v>81</v>
      </c>
      <c r="J479" s="147" t="s">
        <v>81</v>
      </c>
      <c r="K479" s="147" t="s">
        <v>78</v>
      </c>
      <c r="L479" s="147" t="s">
        <v>81</v>
      </c>
      <c r="M479" s="147" t="s">
        <v>78</v>
      </c>
      <c r="N479" s="147" t="s">
        <v>81</v>
      </c>
      <c r="O479" s="147">
        <v>0</v>
      </c>
      <c r="P479" s="147" t="s">
        <v>78</v>
      </c>
      <c r="Q479" s="147">
        <v>0</v>
      </c>
      <c r="R479" s="147" t="s">
        <v>78</v>
      </c>
      <c r="S479" s="147">
        <v>0</v>
      </c>
      <c r="T479" s="147" t="s">
        <v>78</v>
      </c>
      <c r="U479" s="147">
        <v>0</v>
      </c>
      <c r="V479" s="147" t="s">
        <v>81</v>
      </c>
      <c r="W479" s="147" t="s">
        <v>78</v>
      </c>
      <c r="X479" s="147" t="s">
        <v>81</v>
      </c>
      <c r="Y479" s="147" t="s">
        <v>78</v>
      </c>
      <c r="Z479" s="147" t="s">
        <v>1648</v>
      </c>
      <c r="AA479" s="147" t="s">
        <v>75</v>
      </c>
      <c r="AB479" s="147" t="s">
        <v>81</v>
      </c>
      <c r="AC479" s="147" t="s">
        <v>84</v>
      </c>
    </row>
    <row r="480" spans="2:29" x14ac:dyDescent="0.25">
      <c r="B480" s="147" t="s">
        <v>2286</v>
      </c>
      <c r="C480" s="147" t="s">
        <v>78</v>
      </c>
      <c r="G480" s="147" t="s">
        <v>81</v>
      </c>
      <c r="J480" s="147" t="s">
        <v>81</v>
      </c>
      <c r="K480" s="147" t="s">
        <v>78</v>
      </c>
      <c r="L480" s="147" t="s">
        <v>81</v>
      </c>
      <c r="M480" s="147" t="s">
        <v>78</v>
      </c>
      <c r="N480" s="147" t="s">
        <v>81</v>
      </c>
      <c r="O480" s="147">
        <v>0</v>
      </c>
      <c r="P480" s="147" t="s">
        <v>78</v>
      </c>
      <c r="Q480" s="147">
        <v>0</v>
      </c>
      <c r="R480" s="147" t="s">
        <v>78</v>
      </c>
      <c r="S480" s="147">
        <v>0</v>
      </c>
      <c r="T480" s="147" t="s">
        <v>78</v>
      </c>
      <c r="U480" s="147">
        <v>0</v>
      </c>
      <c r="V480" s="147" t="s">
        <v>81</v>
      </c>
      <c r="W480" s="147" t="s">
        <v>78</v>
      </c>
      <c r="X480" s="147" t="s">
        <v>81</v>
      </c>
      <c r="Y480" s="147" t="s">
        <v>78</v>
      </c>
      <c r="Z480" s="147" t="s">
        <v>397</v>
      </c>
      <c r="AA480" s="147" t="s">
        <v>75</v>
      </c>
      <c r="AB480" s="147" t="s">
        <v>81</v>
      </c>
      <c r="AC480" s="147" t="s">
        <v>84</v>
      </c>
    </row>
    <row r="481" spans="2:29" x14ac:dyDescent="0.25">
      <c r="B481" s="147" t="s">
        <v>2287</v>
      </c>
      <c r="C481" s="147" t="s">
        <v>2132</v>
      </c>
      <c r="G481" s="147" t="s">
        <v>81</v>
      </c>
      <c r="J481" s="147" t="s">
        <v>81</v>
      </c>
      <c r="K481" s="147" t="s">
        <v>78</v>
      </c>
      <c r="L481" s="147" t="s">
        <v>81</v>
      </c>
      <c r="M481" s="147" t="s">
        <v>78</v>
      </c>
      <c r="N481" s="147" t="s">
        <v>81</v>
      </c>
      <c r="O481" s="147">
        <v>0</v>
      </c>
      <c r="P481" s="147" t="s">
        <v>78</v>
      </c>
      <c r="Q481" s="147">
        <v>0</v>
      </c>
      <c r="R481" s="147" t="s">
        <v>78</v>
      </c>
      <c r="S481" s="147">
        <v>0</v>
      </c>
      <c r="T481" s="147" t="s">
        <v>78</v>
      </c>
      <c r="U481" s="147">
        <v>0</v>
      </c>
      <c r="V481" s="147" t="s">
        <v>81</v>
      </c>
      <c r="W481" s="147" t="s">
        <v>78</v>
      </c>
      <c r="X481" s="147" t="s">
        <v>81</v>
      </c>
      <c r="Y481" s="147" t="s">
        <v>78</v>
      </c>
      <c r="Z481" s="147" t="s">
        <v>1648</v>
      </c>
      <c r="AA481" s="147" t="s">
        <v>75</v>
      </c>
      <c r="AB481" s="147" t="s">
        <v>81</v>
      </c>
      <c r="AC481" s="147" t="s">
        <v>84</v>
      </c>
    </row>
    <row r="482" spans="2:29" x14ac:dyDescent="0.25">
      <c r="B482" s="147" t="s">
        <v>437</v>
      </c>
      <c r="C482" s="147" t="s">
        <v>78</v>
      </c>
      <c r="G482" s="147" t="s">
        <v>81</v>
      </c>
      <c r="J482" s="147" t="s">
        <v>81</v>
      </c>
      <c r="K482" s="147" t="s">
        <v>78</v>
      </c>
      <c r="L482" s="147" t="s">
        <v>81</v>
      </c>
      <c r="M482" s="147" t="s">
        <v>78</v>
      </c>
      <c r="N482" s="147" t="s">
        <v>81</v>
      </c>
      <c r="O482" s="147">
        <v>0</v>
      </c>
      <c r="P482" s="147" t="s">
        <v>78</v>
      </c>
      <c r="Q482" s="147">
        <v>0</v>
      </c>
      <c r="R482" s="147" t="s">
        <v>78</v>
      </c>
      <c r="S482" s="147">
        <v>0</v>
      </c>
      <c r="T482" s="147" t="s">
        <v>78</v>
      </c>
      <c r="U482" s="147">
        <v>0</v>
      </c>
      <c r="V482" s="147" t="s">
        <v>81</v>
      </c>
      <c r="W482" s="147" t="s">
        <v>78</v>
      </c>
      <c r="X482" s="147" t="s">
        <v>81</v>
      </c>
      <c r="Y482" s="147" t="s">
        <v>78</v>
      </c>
      <c r="Z482" s="147" t="s">
        <v>121</v>
      </c>
      <c r="AA482" s="147" t="s">
        <v>75</v>
      </c>
      <c r="AB482" s="147" t="s">
        <v>81</v>
      </c>
      <c r="AC482" s="147" t="s">
        <v>84</v>
      </c>
    </row>
    <row r="483" spans="2:29" x14ac:dyDescent="0.25">
      <c r="B483" s="147" t="s">
        <v>2288</v>
      </c>
      <c r="C483" s="147" t="s">
        <v>78</v>
      </c>
      <c r="G483" s="147" t="s">
        <v>81</v>
      </c>
      <c r="J483" s="147" t="s">
        <v>81</v>
      </c>
      <c r="K483" s="147" t="s">
        <v>78</v>
      </c>
      <c r="L483" s="147" t="s">
        <v>81</v>
      </c>
      <c r="M483" s="147" t="s">
        <v>78</v>
      </c>
      <c r="N483" s="147" t="s">
        <v>81</v>
      </c>
      <c r="O483" s="147">
        <v>0</v>
      </c>
      <c r="P483" s="147" t="s">
        <v>78</v>
      </c>
      <c r="Q483" s="147">
        <v>0</v>
      </c>
      <c r="R483" s="147" t="s">
        <v>78</v>
      </c>
      <c r="S483" s="147">
        <v>0</v>
      </c>
      <c r="T483" s="147" t="s">
        <v>78</v>
      </c>
      <c r="U483" s="147">
        <v>0</v>
      </c>
      <c r="V483" s="147" t="s">
        <v>81</v>
      </c>
      <c r="W483" s="147" t="s">
        <v>78</v>
      </c>
      <c r="X483" s="147" t="s">
        <v>81</v>
      </c>
      <c r="Y483" s="147" t="s">
        <v>78</v>
      </c>
      <c r="Z483" s="147" t="s">
        <v>121</v>
      </c>
      <c r="AA483" s="147" t="s">
        <v>75</v>
      </c>
      <c r="AB483" s="147" t="s">
        <v>75</v>
      </c>
      <c r="AC483" s="147" t="s">
        <v>84</v>
      </c>
    </row>
    <row r="484" spans="2:29" x14ac:dyDescent="0.25">
      <c r="B484" s="147" t="s">
        <v>439</v>
      </c>
      <c r="C484" s="147" t="s">
        <v>440</v>
      </c>
      <c r="G484" s="147" t="s">
        <v>81</v>
      </c>
      <c r="J484" s="147" t="s">
        <v>81</v>
      </c>
      <c r="K484" s="147" t="s">
        <v>78</v>
      </c>
      <c r="L484" s="147" t="s">
        <v>81</v>
      </c>
      <c r="M484" s="147" t="s">
        <v>78</v>
      </c>
      <c r="N484" s="147" t="s">
        <v>81</v>
      </c>
      <c r="O484" s="147">
        <v>0</v>
      </c>
      <c r="P484" s="147" t="s">
        <v>78</v>
      </c>
      <c r="Q484" s="147">
        <v>0</v>
      </c>
      <c r="R484" s="147" t="s">
        <v>78</v>
      </c>
      <c r="S484" s="147">
        <v>0</v>
      </c>
      <c r="T484" s="147" t="s">
        <v>78</v>
      </c>
      <c r="U484" s="147">
        <v>0</v>
      </c>
      <c r="V484" s="147" t="s">
        <v>81</v>
      </c>
      <c r="W484" s="147" t="s">
        <v>78</v>
      </c>
      <c r="X484" s="147" t="s">
        <v>81</v>
      </c>
      <c r="Y484" s="147" t="s">
        <v>78</v>
      </c>
      <c r="Z484" s="147" t="s">
        <v>121</v>
      </c>
      <c r="AA484" s="147" t="s">
        <v>75</v>
      </c>
      <c r="AB484" s="147" t="s">
        <v>81</v>
      </c>
      <c r="AC484" s="147" t="s">
        <v>84</v>
      </c>
    </row>
    <row r="485" spans="2:29" x14ac:dyDescent="0.25">
      <c r="B485" s="147" t="s">
        <v>2289</v>
      </c>
      <c r="C485" s="147" t="s">
        <v>78</v>
      </c>
      <c r="G485" s="147" t="s">
        <v>81</v>
      </c>
      <c r="J485" s="147" t="s">
        <v>81</v>
      </c>
      <c r="K485" s="147" t="s">
        <v>78</v>
      </c>
      <c r="L485" s="147" t="s">
        <v>75</v>
      </c>
      <c r="M485" s="147" t="s">
        <v>2133</v>
      </c>
      <c r="N485" s="147" t="s">
        <v>75</v>
      </c>
      <c r="O485" s="147">
        <v>0</v>
      </c>
      <c r="P485" s="147" t="s">
        <v>78</v>
      </c>
      <c r="Q485" s="147">
        <v>1</v>
      </c>
      <c r="R485" s="147" t="s">
        <v>2134</v>
      </c>
      <c r="S485" s="147">
        <v>0</v>
      </c>
      <c r="T485" s="147" t="s">
        <v>78</v>
      </c>
      <c r="U485" s="147">
        <v>1</v>
      </c>
      <c r="V485" s="147" t="s">
        <v>81</v>
      </c>
      <c r="W485" s="147" t="s">
        <v>78</v>
      </c>
      <c r="X485" s="147" t="s">
        <v>81</v>
      </c>
      <c r="Y485" s="147" t="s">
        <v>78</v>
      </c>
      <c r="Z485" s="147" t="s">
        <v>121</v>
      </c>
      <c r="AA485" s="147" t="s">
        <v>75</v>
      </c>
      <c r="AB485" s="147" t="s">
        <v>81</v>
      </c>
      <c r="AC485" s="147" t="s">
        <v>84</v>
      </c>
    </row>
    <row r="486" spans="2:29" x14ac:dyDescent="0.25">
      <c r="B486" s="147" t="s">
        <v>1916</v>
      </c>
      <c r="C486" s="147" t="s">
        <v>78</v>
      </c>
      <c r="G486" s="147" t="s">
        <v>81</v>
      </c>
      <c r="J486" s="147" t="s">
        <v>81</v>
      </c>
      <c r="K486" s="147" t="s">
        <v>78</v>
      </c>
      <c r="L486" s="147" t="s">
        <v>81</v>
      </c>
      <c r="M486" s="147" t="s">
        <v>78</v>
      </c>
      <c r="N486" s="147" t="s">
        <v>81</v>
      </c>
      <c r="O486" s="147">
        <v>0</v>
      </c>
      <c r="P486" s="147" t="s">
        <v>78</v>
      </c>
      <c r="Q486" s="147">
        <v>0</v>
      </c>
      <c r="R486" s="147" t="s">
        <v>78</v>
      </c>
      <c r="S486" s="147">
        <v>0</v>
      </c>
      <c r="T486" s="147" t="s">
        <v>78</v>
      </c>
      <c r="U486" s="147">
        <v>0</v>
      </c>
      <c r="V486" s="147" t="s">
        <v>81</v>
      </c>
      <c r="W486" s="147" t="s">
        <v>78</v>
      </c>
      <c r="X486" s="147" t="s">
        <v>81</v>
      </c>
      <c r="Y486" s="147" t="s">
        <v>78</v>
      </c>
      <c r="Z486" s="147" t="s">
        <v>397</v>
      </c>
      <c r="AA486" s="147" t="s">
        <v>75</v>
      </c>
      <c r="AB486" s="147" t="s">
        <v>81</v>
      </c>
      <c r="AC486" s="147" t="s">
        <v>84</v>
      </c>
    </row>
    <row r="487" spans="2:29" x14ac:dyDescent="0.25">
      <c r="B487" s="147" t="s">
        <v>2290</v>
      </c>
      <c r="C487" s="147" t="s">
        <v>78</v>
      </c>
      <c r="G487" s="147" t="s">
        <v>81</v>
      </c>
      <c r="J487" s="147" t="s">
        <v>81</v>
      </c>
      <c r="K487" s="147" t="s">
        <v>78</v>
      </c>
      <c r="L487" s="147" t="s">
        <v>81</v>
      </c>
      <c r="M487" s="147" t="s">
        <v>78</v>
      </c>
      <c r="N487" s="147" t="s">
        <v>81</v>
      </c>
      <c r="O487" s="147">
        <v>0</v>
      </c>
      <c r="P487" s="147" t="s">
        <v>78</v>
      </c>
      <c r="Q487" s="147">
        <v>0</v>
      </c>
      <c r="R487" s="147" t="s">
        <v>78</v>
      </c>
      <c r="S487" s="147">
        <v>0</v>
      </c>
      <c r="T487" s="147" t="s">
        <v>78</v>
      </c>
      <c r="U487" s="147">
        <v>0</v>
      </c>
      <c r="V487" s="147" t="s">
        <v>81</v>
      </c>
      <c r="W487" s="147" t="s">
        <v>78</v>
      </c>
      <c r="X487" s="147" t="s">
        <v>81</v>
      </c>
      <c r="Y487" s="147" t="s">
        <v>78</v>
      </c>
      <c r="Z487" s="147" t="s">
        <v>397</v>
      </c>
      <c r="AA487" s="147" t="s">
        <v>75</v>
      </c>
      <c r="AB487" s="147" t="s">
        <v>75</v>
      </c>
      <c r="AC487" s="147" t="s">
        <v>84</v>
      </c>
    </row>
    <row r="488" spans="2:29" x14ac:dyDescent="0.25">
      <c r="B488" s="147" t="s">
        <v>1916</v>
      </c>
      <c r="G488" s="147" t="s">
        <v>81</v>
      </c>
      <c r="J488" s="147" t="s">
        <v>81</v>
      </c>
      <c r="K488" s="147" t="s">
        <v>78</v>
      </c>
      <c r="L488" s="147" t="s">
        <v>81</v>
      </c>
      <c r="M488" s="147" t="s">
        <v>78</v>
      </c>
      <c r="N488" s="147" t="s">
        <v>81</v>
      </c>
      <c r="O488" s="147">
        <v>0</v>
      </c>
      <c r="P488" s="147" t="s">
        <v>78</v>
      </c>
      <c r="Q488" s="147">
        <v>0</v>
      </c>
      <c r="R488" s="147" t="s">
        <v>78</v>
      </c>
      <c r="S488" s="147">
        <v>0</v>
      </c>
      <c r="T488" s="147" t="s">
        <v>78</v>
      </c>
      <c r="U488" s="147">
        <v>0</v>
      </c>
      <c r="V488" s="147" t="s">
        <v>81</v>
      </c>
      <c r="W488" s="147" t="s">
        <v>78</v>
      </c>
      <c r="X488" s="147" t="s">
        <v>81</v>
      </c>
      <c r="Y488" s="147" t="s">
        <v>78</v>
      </c>
      <c r="Z488" s="147" t="s">
        <v>397</v>
      </c>
      <c r="AA488" s="147" t="s">
        <v>75</v>
      </c>
      <c r="AB488" s="147" t="s">
        <v>81</v>
      </c>
      <c r="AC488" s="147" t="s">
        <v>84</v>
      </c>
    </row>
    <row r="489" spans="2:29" x14ac:dyDescent="0.25">
      <c r="B489" s="147" t="s">
        <v>2291</v>
      </c>
      <c r="C489" s="147" t="s">
        <v>78</v>
      </c>
      <c r="G489" s="147" t="s">
        <v>81</v>
      </c>
      <c r="J489" s="147" t="s">
        <v>81</v>
      </c>
      <c r="K489" s="147" t="s">
        <v>78</v>
      </c>
      <c r="L489" s="147" t="s">
        <v>81</v>
      </c>
      <c r="M489" s="147" t="s">
        <v>78</v>
      </c>
      <c r="N489" s="147" t="s">
        <v>81</v>
      </c>
      <c r="O489" s="147">
        <v>0</v>
      </c>
      <c r="P489" s="147" t="s">
        <v>78</v>
      </c>
      <c r="Q489" s="147">
        <v>0</v>
      </c>
      <c r="R489" s="147" t="s">
        <v>78</v>
      </c>
      <c r="S489" s="147">
        <v>0</v>
      </c>
      <c r="T489" s="147" t="s">
        <v>78</v>
      </c>
      <c r="U489" s="147">
        <v>0</v>
      </c>
      <c r="V489" s="147" t="s">
        <v>81</v>
      </c>
      <c r="W489" s="147" t="s">
        <v>78</v>
      </c>
      <c r="X489" s="147" t="s">
        <v>81</v>
      </c>
      <c r="Y489" s="147" t="s">
        <v>78</v>
      </c>
      <c r="Z489" s="147" t="s">
        <v>121</v>
      </c>
      <c r="AA489" s="147" t="s">
        <v>75</v>
      </c>
      <c r="AB489" s="147" t="s">
        <v>81</v>
      </c>
      <c r="AC489" s="147" t="s">
        <v>84</v>
      </c>
    </row>
    <row r="490" spans="2:29" x14ac:dyDescent="0.25">
      <c r="B490" s="147" t="s">
        <v>2292</v>
      </c>
      <c r="C490" s="147" t="s">
        <v>78</v>
      </c>
      <c r="G490" s="147" t="s">
        <v>81</v>
      </c>
      <c r="J490" s="147" t="s">
        <v>81</v>
      </c>
      <c r="K490" s="147" t="s">
        <v>78</v>
      </c>
      <c r="L490" s="147" t="s">
        <v>81</v>
      </c>
      <c r="M490" s="147" t="s">
        <v>78</v>
      </c>
      <c r="N490" s="147" t="s">
        <v>75</v>
      </c>
      <c r="O490" s="147">
        <v>0</v>
      </c>
      <c r="P490" s="147" t="s">
        <v>78</v>
      </c>
      <c r="Q490" s="147">
        <v>0</v>
      </c>
      <c r="R490" s="147" t="s">
        <v>78</v>
      </c>
      <c r="S490" s="147">
        <v>1</v>
      </c>
      <c r="T490" s="147" t="s">
        <v>2135</v>
      </c>
      <c r="U490" s="147">
        <v>1</v>
      </c>
      <c r="V490" s="147" t="s">
        <v>81</v>
      </c>
      <c r="W490" s="147" t="s">
        <v>78</v>
      </c>
      <c r="X490" s="147" t="s">
        <v>81</v>
      </c>
      <c r="Y490" s="147" t="s">
        <v>78</v>
      </c>
      <c r="Z490" s="147" t="s">
        <v>121</v>
      </c>
      <c r="AA490" s="147" t="s">
        <v>75</v>
      </c>
      <c r="AB490" s="147" t="s">
        <v>81</v>
      </c>
      <c r="AC490" s="147" t="s">
        <v>84</v>
      </c>
    </row>
    <row r="491" spans="2:29" x14ac:dyDescent="0.25">
      <c r="B491" s="147" t="s">
        <v>2293</v>
      </c>
      <c r="C491" s="147" t="s">
        <v>78</v>
      </c>
      <c r="G491" s="147" t="s">
        <v>81</v>
      </c>
      <c r="J491" s="147" t="s">
        <v>81</v>
      </c>
      <c r="K491" s="147" t="s">
        <v>78</v>
      </c>
      <c r="L491" s="147" t="s">
        <v>81</v>
      </c>
      <c r="M491" s="147" t="s">
        <v>78</v>
      </c>
      <c r="N491" s="147" t="s">
        <v>81</v>
      </c>
      <c r="O491" s="147">
        <v>0</v>
      </c>
      <c r="P491" s="147" t="s">
        <v>78</v>
      </c>
      <c r="Q491" s="147">
        <v>0</v>
      </c>
      <c r="R491" s="147" t="s">
        <v>78</v>
      </c>
      <c r="S491" s="147">
        <v>0</v>
      </c>
      <c r="T491" s="147" t="s">
        <v>78</v>
      </c>
      <c r="U491" s="147">
        <v>0</v>
      </c>
      <c r="V491" s="147" t="s">
        <v>81</v>
      </c>
      <c r="W491" s="147" t="s">
        <v>78</v>
      </c>
      <c r="X491" s="147" t="s">
        <v>81</v>
      </c>
      <c r="Y491" s="147" t="s">
        <v>78</v>
      </c>
      <c r="Z491" s="147" t="s">
        <v>121</v>
      </c>
      <c r="AA491" s="147" t="s">
        <v>75</v>
      </c>
      <c r="AB491" s="147" t="s">
        <v>81</v>
      </c>
      <c r="AC491" s="147" t="s">
        <v>84</v>
      </c>
    </row>
    <row r="492" spans="2:29" x14ac:dyDescent="0.25">
      <c r="B492" s="147" t="s">
        <v>2294</v>
      </c>
      <c r="C492" s="147" t="s">
        <v>78</v>
      </c>
      <c r="G492" s="147" t="s">
        <v>81</v>
      </c>
      <c r="J492" s="147" t="s">
        <v>81</v>
      </c>
      <c r="K492" s="147" t="s">
        <v>78</v>
      </c>
      <c r="L492" s="147" t="s">
        <v>81</v>
      </c>
      <c r="M492" s="147" t="s">
        <v>78</v>
      </c>
      <c r="N492" s="147" t="s">
        <v>81</v>
      </c>
      <c r="O492" s="147">
        <v>0</v>
      </c>
      <c r="P492" s="147" t="s">
        <v>78</v>
      </c>
      <c r="Q492" s="147">
        <v>0</v>
      </c>
      <c r="R492" s="147" t="s">
        <v>78</v>
      </c>
      <c r="S492" s="147">
        <v>0</v>
      </c>
      <c r="T492" s="147" t="s">
        <v>78</v>
      </c>
      <c r="U492" s="147">
        <v>0</v>
      </c>
      <c r="V492" s="147" t="s">
        <v>81</v>
      </c>
      <c r="W492" s="147" t="s">
        <v>78</v>
      </c>
      <c r="X492" s="147" t="s">
        <v>81</v>
      </c>
      <c r="Y492" s="147" t="s">
        <v>78</v>
      </c>
      <c r="Z492" s="147" t="s">
        <v>1648</v>
      </c>
      <c r="AA492" s="147" t="s">
        <v>75</v>
      </c>
      <c r="AB492" s="147" t="s">
        <v>81</v>
      </c>
      <c r="AC492" s="147" t="s">
        <v>84</v>
      </c>
    </row>
    <row r="493" spans="2:29" x14ac:dyDescent="0.25">
      <c r="B493" s="147" t="s">
        <v>2295</v>
      </c>
      <c r="C493" s="147" t="s">
        <v>78</v>
      </c>
      <c r="G493" s="147" t="s">
        <v>81</v>
      </c>
      <c r="J493" s="147" t="s">
        <v>81</v>
      </c>
      <c r="K493" s="147" t="s">
        <v>78</v>
      </c>
      <c r="L493" s="147" t="s">
        <v>81</v>
      </c>
      <c r="M493" s="147" t="s">
        <v>78</v>
      </c>
      <c r="N493" s="147" t="s">
        <v>81</v>
      </c>
      <c r="O493" s="147">
        <v>0</v>
      </c>
      <c r="P493" s="147" t="s">
        <v>78</v>
      </c>
      <c r="Q493" s="147">
        <v>0</v>
      </c>
      <c r="R493" s="147" t="s">
        <v>78</v>
      </c>
      <c r="S493" s="147">
        <v>0</v>
      </c>
      <c r="T493" s="147" t="s">
        <v>78</v>
      </c>
      <c r="U493" s="147">
        <v>0</v>
      </c>
      <c r="V493" s="147" t="s">
        <v>81</v>
      </c>
      <c r="W493" s="147" t="s">
        <v>78</v>
      </c>
      <c r="X493" s="147" t="s">
        <v>81</v>
      </c>
      <c r="Y493" s="147" t="s">
        <v>78</v>
      </c>
      <c r="Z493" s="147" t="s">
        <v>1648</v>
      </c>
      <c r="AA493" s="147" t="s">
        <v>75</v>
      </c>
      <c r="AB493" s="147" t="s">
        <v>81</v>
      </c>
      <c r="AC493" s="147" t="s">
        <v>84</v>
      </c>
    </row>
    <row r="494" spans="2:29" x14ac:dyDescent="0.25">
      <c r="B494" s="147" t="s">
        <v>2296</v>
      </c>
      <c r="C494" s="147" t="s">
        <v>78</v>
      </c>
      <c r="G494" s="147" t="s">
        <v>81</v>
      </c>
      <c r="J494" s="147" t="s">
        <v>81</v>
      </c>
      <c r="K494" s="147" t="s">
        <v>78</v>
      </c>
      <c r="L494" s="147" t="s">
        <v>81</v>
      </c>
      <c r="M494" s="147" t="s">
        <v>78</v>
      </c>
      <c r="N494" s="147" t="s">
        <v>81</v>
      </c>
      <c r="O494" s="147">
        <v>0</v>
      </c>
      <c r="P494" s="147" t="s">
        <v>78</v>
      </c>
      <c r="Q494" s="147">
        <v>0</v>
      </c>
      <c r="R494" s="147" t="s">
        <v>78</v>
      </c>
      <c r="S494" s="147">
        <v>0</v>
      </c>
      <c r="T494" s="147" t="s">
        <v>78</v>
      </c>
      <c r="U494" s="147">
        <v>0</v>
      </c>
      <c r="V494" s="147" t="s">
        <v>81</v>
      </c>
      <c r="W494" s="147" t="s">
        <v>78</v>
      </c>
      <c r="X494" s="147" t="s">
        <v>81</v>
      </c>
      <c r="Y494" s="147" t="s">
        <v>78</v>
      </c>
      <c r="Z494" s="147" t="s">
        <v>1648</v>
      </c>
      <c r="AA494" s="147" t="s">
        <v>81</v>
      </c>
      <c r="AB494" s="147" t="s">
        <v>81</v>
      </c>
      <c r="AC494" s="147" t="s">
        <v>84</v>
      </c>
    </row>
    <row r="495" spans="2:29" x14ac:dyDescent="0.25">
      <c r="B495" s="147" t="s">
        <v>2297</v>
      </c>
      <c r="C495" s="147" t="s">
        <v>2136</v>
      </c>
      <c r="G495" s="147" t="s">
        <v>81</v>
      </c>
      <c r="J495" s="147" t="s">
        <v>81</v>
      </c>
      <c r="K495" s="147" t="s">
        <v>78</v>
      </c>
      <c r="L495" s="147" t="s">
        <v>81</v>
      </c>
      <c r="M495" s="147" t="s">
        <v>78</v>
      </c>
      <c r="N495" s="147" t="s">
        <v>81</v>
      </c>
      <c r="O495" s="147">
        <v>0</v>
      </c>
      <c r="P495" s="147" t="s">
        <v>78</v>
      </c>
      <c r="Q495" s="147">
        <v>0</v>
      </c>
      <c r="R495" s="147" t="s">
        <v>78</v>
      </c>
      <c r="S495" s="147">
        <v>0</v>
      </c>
      <c r="T495" s="147" t="s">
        <v>78</v>
      </c>
      <c r="U495" s="147">
        <v>0</v>
      </c>
      <c r="V495" s="147" t="s">
        <v>81</v>
      </c>
      <c r="W495" s="147" t="s">
        <v>78</v>
      </c>
      <c r="X495" s="147" t="s">
        <v>81</v>
      </c>
      <c r="Y495" s="147" t="s">
        <v>78</v>
      </c>
      <c r="Z495" s="147" t="s">
        <v>217</v>
      </c>
      <c r="AA495" s="147" t="s">
        <v>75</v>
      </c>
      <c r="AB495" s="147" t="s">
        <v>81</v>
      </c>
      <c r="AC495" s="147" t="s">
        <v>84</v>
      </c>
    </row>
    <row r="496" spans="2:29" x14ac:dyDescent="0.25">
      <c r="B496" s="147" t="s">
        <v>2298</v>
      </c>
      <c r="C496" s="147" t="s">
        <v>2137</v>
      </c>
      <c r="G496" s="147" t="s">
        <v>81</v>
      </c>
      <c r="J496" s="147" t="s">
        <v>81</v>
      </c>
      <c r="K496" s="147" t="s">
        <v>78</v>
      </c>
      <c r="L496" s="147" t="s">
        <v>81</v>
      </c>
      <c r="M496" s="147" t="s">
        <v>78</v>
      </c>
      <c r="N496" s="147" t="s">
        <v>81</v>
      </c>
      <c r="O496" s="147">
        <v>0</v>
      </c>
      <c r="P496" s="147" t="s">
        <v>78</v>
      </c>
      <c r="Q496" s="147">
        <v>0</v>
      </c>
      <c r="R496" s="147" t="s">
        <v>78</v>
      </c>
      <c r="S496" s="147">
        <v>0</v>
      </c>
      <c r="T496" s="147" t="s">
        <v>78</v>
      </c>
      <c r="U496" s="147">
        <v>0</v>
      </c>
      <c r="V496" s="147" t="s">
        <v>81</v>
      </c>
      <c r="W496" s="147" t="s">
        <v>78</v>
      </c>
      <c r="X496" s="147" t="s">
        <v>81</v>
      </c>
      <c r="Y496" s="147" t="s">
        <v>78</v>
      </c>
      <c r="Z496" s="147" t="s">
        <v>217</v>
      </c>
      <c r="AA496" s="147" t="s">
        <v>75</v>
      </c>
      <c r="AB496" s="147" t="s">
        <v>81</v>
      </c>
      <c r="AC496" s="147" t="s">
        <v>84</v>
      </c>
    </row>
    <row r="497" spans="2:29" x14ac:dyDescent="0.25">
      <c r="B497" s="147" t="s">
        <v>2299</v>
      </c>
      <c r="C497" s="147" t="s">
        <v>78</v>
      </c>
      <c r="G497" s="147" t="s">
        <v>81</v>
      </c>
      <c r="J497" s="147" t="s">
        <v>81</v>
      </c>
      <c r="K497" s="147" t="s">
        <v>78</v>
      </c>
      <c r="L497" s="147" t="s">
        <v>81</v>
      </c>
      <c r="M497" s="147" t="s">
        <v>78</v>
      </c>
      <c r="N497" s="147" t="s">
        <v>81</v>
      </c>
      <c r="O497" s="147">
        <v>0</v>
      </c>
      <c r="P497" s="147" t="s">
        <v>78</v>
      </c>
      <c r="Q497" s="147">
        <v>0</v>
      </c>
      <c r="R497" s="147" t="s">
        <v>78</v>
      </c>
      <c r="S497" s="147">
        <v>0</v>
      </c>
      <c r="T497" s="147" t="s">
        <v>78</v>
      </c>
      <c r="U497" s="147">
        <v>0</v>
      </c>
      <c r="V497" s="147" t="s">
        <v>81</v>
      </c>
      <c r="W497" s="147" t="s">
        <v>78</v>
      </c>
      <c r="X497" s="147" t="s">
        <v>81</v>
      </c>
      <c r="Y497" s="147" t="s">
        <v>78</v>
      </c>
      <c r="Z497" s="147" t="s">
        <v>1648</v>
      </c>
      <c r="AA497" s="147" t="s">
        <v>75</v>
      </c>
      <c r="AB497" s="147" t="s">
        <v>81</v>
      </c>
      <c r="AC497" s="147" t="s">
        <v>84</v>
      </c>
    </row>
    <row r="498" spans="2:29" x14ac:dyDescent="0.25">
      <c r="B498" s="147" t="s">
        <v>2300</v>
      </c>
      <c r="C498" s="147" t="s">
        <v>78</v>
      </c>
      <c r="G498" s="147" t="s">
        <v>81</v>
      </c>
      <c r="J498" s="147" t="s">
        <v>81</v>
      </c>
      <c r="K498" s="147" t="s">
        <v>78</v>
      </c>
      <c r="L498" s="147" t="s">
        <v>81</v>
      </c>
      <c r="M498" s="147" t="s">
        <v>78</v>
      </c>
      <c r="N498" s="147" t="s">
        <v>81</v>
      </c>
      <c r="O498" s="147">
        <v>0</v>
      </c>
      <c r="P498" s="147" t="s">
        <v>78</v>
      </c>
      <c r="Q498" s="147">
        <v>0</v>
      </c>
      <c r="R498" s="147" t="s">
        <v>78</v>
      </c>
      <c r="S498" s="147">
        <v>0</v>
      </c>
      <c r="T498" s="147" t="s">
        <v>78</v>
      </c>
      <c r="U498" s="147">
        <v>0</v>
      </c>
      <c r="V498" s="147" t="s">
        <v>81</v>
      </c>
      <c r="W498" s="147" t="s">
        <v>78</v>
      </c>
      <c r="X498" s="147" t="s">
        <v>81</v>
      </c>
      <c r="Y498" s="147" t="s">
        <v>78</v>
      </c>
      <c r="Z498" s="147" t="s">
        <v>121</v>
      </c>
      <c r="AA498" s="147" t="s">
        <v>75</v>
      </c>
      <c r="AB498" s="147" t="s">
        <v>81</v>
      </c>
      <c r="AC498" s="147" t="s">
        <v>84</v>
      </c>
    </row>
    <row r="499" spans="2:29" x14ac:dyDescent="0.25">
      <c r="B499" s="147" t="s">
        <v>2301</v>
      </c>
      <c r="C499" s="147" t="s">
        <v>2138</v>
      </c>
      <c r="G499" s="147" t="s">
        <v>81</v>
      </c>
      <c r="J499" s="147" t="s">
        <v>81</v>
      </c>
      <c r="K499" s="147" t="s">
        <v>78</v>
      </c>
      <c r="L499" s="147" t="s">
        <v>81</v>
      </c>
      <c r="M499" s="147" t="s">
        <v>78</v>
      </c>
      <c r="N499" s="147" t="s">
        <v>75</v>
      </c>
      <c r="O499" s="147">
        <v>0</v>
      </c>
      <c r="P499" s="147" t="s">
        <v>78</v>
      </c>
      <c r="Q499" s="147">
        <v>0</v>
      </c>
      <c r="R499" s="147" t="s">
        <v>78</v>
      </c>
      <c r="S499" s="147">
        <v>2</v>
      </c>
      <c r="T499" s="147" t="s">
        <v>2139</v>
      </c>
      <c r="U499" s="147">
        <v>2</v>
      </c>
      <c r="V499" s="147" t="s">
        <v>81</v>
      </c>
      <c r="W499" s="147" t="s">
        <v>78</v>
      </c>
      <c r="X499" s="147" t="s">
        <v>81</v>
      </c>
      <c r="Y499" s="147" t="s">
        <v>78</v>
      </c>
      <c r="Z499" s="147" t="s">
        <v>217</v>
      </c>
      <c r="AA499" s="147" t="s">
        <v>75</v>
      </c>
      <c r="AB499" s="147" t="s">
        <v>81</v>
      </c>
      <c r="AC499" s="147" t="s">
        <v>84</v>
      </c>
    </row>
    <row r="500" spans="2:29" x14ac:dyDescent="0.25">
      <c r="B500" s="147" t="s">
        <v>2302</v>
      </c>
      <c r="C500" s="147" t="s">
        <v>2138</v>
      </c>
      <c r="G500" s="147" t="s">
        <v>81</v>
      </c>
      <c r="J500" s="147" t="s">
        <v>81</v>
      </c>
      <c r="K500" s="147" t="s">
        <v>78</v>
      </c>
      <c r="L500" s="147" t="s">
        <v>81</v>
      </c>
      <c r="M500" s="147" t="s">
        <v>78</v>
      </c>
      <c r="N500" s="147" t="s">
        <v>75</v>
      </c>
      <c r="O500" s="147">
        <v>0</v>
      </c>
      <c r="P500" s="147" t="s">
        <v>78</v>
      </c>
      <c r="Q500" s="147">
        <v>0</v>
      </c>
      <c r="R500" s="147" t="s">
        <v>78</v>
      </c>
      <c r="S500" s="147">
        <v>2</v>
      </c>
      <c r="T500" s="147" t="s">
        <v>2139</v>
      </c>
      <c r="U500" s="147">
        <v>2</v>
      </c>
      <c r="V500" s="147" t="s">
        <v>81</v>
      </c>
      <c r="W500" s="147" t="s">
        <v>78</v>
      </c>
      <c r="X500" s="147" t="s">
        <v>81</v>
      </c>
      <c r="Y500" s="147" t="s">
        <v>78</v>
      </c>
      <c r="Z500" s="147" t="s">
        <v>217</v>
      </c>
      <c r="AA500" s="147" t="s">
        <v>75</v>
      </c>
      <c r="AB500" s="147" t="s">
        <v>81</v>
      </c>
      <c r="AC500" s="147" t="s">
        <v>84</v>
      </c>
    </row>
    <row r="501" spans="2:29" x14ac:dyDescent="0.25">
      <c r="B501" s="147" t="s">
        <v>2303</v>
      </c>
      <c r="C501" s="147" t="s">
        <v>2140</v>
      </c>
      <c r="G501" s="147" t="s">
        <v>81</v>
      </c>
      <c r="J501" s="147" t="s">
        <v>75</v>
      </c>
      <c r="K501" s="147" t="s">
        <v>2141</v>
      </c>
      <c r="L501" s="147" t="s">
        <v>81</v>
      </c>
      <c r="M501" s="147" t="s">
        <v>78</v>
      </c>
      <c r="N501" s="147" t="s">
        <v>75</v>
      </c>
      <c r="O501" s="147">
        <v>0</v>
      </c>
      <c r="P501" s="147" t="s">
        <v>78</v>
      </c>
      <c r="Q501" s="147">
        <v>0</v>
      </c>
      <c r="R501" s="147" t="s">
        <v>78</v>
      </c>
      <c r="S501" s="147">
        <v>1</v>
      </c>
      <c r="T501" s="147" t="s">
        <v>2142</v>
      </c>
      <c r="U501" s="147">
        <v>1</v>
      </c>
      <c r="V501" s="147" t="s">
        <v>81</v>
      </c>
      <c r="W501" s="147" t="s">
        <v>78</v>
      </c>
      <c r="X501" s="147" t="s">
        <v>81</v>
      </c>
      <c r="Y501" s="147" t="s">
        <v>78</v>
      </c>
      <c r="Z501" s="147" t="s">
        <v>121</v>
      </c>
      <c r="AA501" s="147" t="s">
        <v>75</v>
      </c>
      <c r="AB501" s="147" t="s">
        <v>81</v>
      </c>
      <c r="AC501" s="147" t="s">
        <v>84</v>
      </c>
    </row>
    <row r="502" spans="2:29" x14ac:dyDescent="0.25">
      <c r="B502" s="147" t="s">
        <v>2304</v>
      </c>
      <c r="C502" s="147" t="s">
        <v>2140</v>
      </c>
      <c r="G502" s="147" t="s">
        <v>81</v>
      </c>
      <c r="J502" s="147" t="s">
        <v>75</v>
      </c>
      <c r="K502" s="147" t="s">
        <v>2141</v>
      </c>
      <c r="L502" s="147" t="s">
        <v>81</v>
      </c>
      <c r="M502" s="147" t="s">
        <v>78</v>
      </c>
      <c r="N502" s="147" t="s">
        <v>75</v>
      </c>
      <c r="O502" s="147">
        <v>0</v>
      </c>
      <c r="P502" s="147" t="s">
        <v>78</v>
      </c>
      <c r="Q502" s="147">
        <v>0</v>
      </c>
      <c r="R502" s="147" t="s">
        <v>78</v>
      </c>
      <c r="S502" s="147">
        <v>1</v>
      </c>
      <c r="T502" s="147" t="s">
        <v>2142</v>
      </c>
      <c r="U502" s="147">
        <v>1</v>
      </c>
      <c r="V502" s="147" t="s">
        <v>81</v>
      </c>
      <c r="W502" s="147" t="s">
        <v>78</v>
      </c>
      <c r="X502" s="147" t="s">
        <v>81</v>
      </c>
      <c r="Y502" s="147" t="s">
        <v>78</v>
      </c>
      <c r="Z502" s="147" t="s">
        <v>121</v>
      </c>
      <c r="AA502" s="147" t="s">
        <v>75</v>
      </c>
      <c r="AB502" s="147" t="s">
        <v>81</v>
      </c>
      <c r="AC502" s="147" t="s">
        <v>84</v>
      </c>
    </row>
    <row r="503" spans="2:29" x14ac:dyDescent="0.25">
      <c r="B503" s="147" t="s">
        <v>2305</v>
      </c>
      <c r="C503" s="147" t="s">
        <v>78</v>
      </c>
      <c r="G503" s="147" t="s">
        <v>81</v>
      </c>
      <c r="J503" s="147" t="s">
        <v>81</v>
      </c>
      <c r="K503" s="147" t="s">
        <v>78</v>
      </c>
      <c r="L503" s="147" t="s">
        <v>81</v>
      </c>
      <c r="M503" s="147" t="s">
        <v>78</v>
      </c>
      <c r="N503" s="147" t="s">
        <v>81</v>
      </c>
      <c r="O503" s="147">
        <v>0</v>
      </c>
      <c r="P503" s="147" t="s">
        <v>78</v>
      </c>
      <c r="Q503" s="147">
        <v>0</v>
      </c>
      <c r="R503" s="147" t="s">
        <v>78</v>
      </c>
      <c r="S503" s="147">
        <v>0</v>
      </c>
      <c r="T503" s="147" t="s">
        <v>78</v>
      </c>
      <c r="U503" s="147">
        <v>0</v>
      </c>
      <c r="V503" s="147" t="s">
        <v>81</v>
      </c>
      <c r="W503" s="147" t="s">
        <v>78</v>
      </c>
      <c r="X503" s="147" t="s">
        <v>81</v>
      </c>
      <c r="Y503" s="147" t="s">
        <v>78</v>
      </c>
      <c r="Z503" s="147" t="s">
        <v>397</v>
      </c>
      <c r="AA503" s="147" t="s">
        <v>75</v>
      </c>
      <c r="AB503" s="147" t="s">
        <v>81</v>
      </c>
      <c r="AC503" s="147" t="s">
        <v>84</v>
      </c>
    </row>
    <row r="504" spans="2:29" x14ac:dyDescent="0.25">
      <c r="B504" s="147" t="s">
        <v>2306</v>
      </c>
      <c r="C504" s="147" t="s">
        <v>78</v>
      </c>
      <c r="G504" s="147" t="s">
        <v>81</v>
      </c>
      <c r="J504" s="147" t="s">
        <v>81</v>
      </c>
      <c r="K504" s="147" t="s">
        <v>78</v>
      </c>
      <c r="L504" s="147" t="s">
        <v>81</v>
      </c>
      <c r="M504" s="147" t="s">
        <v>78</v>
      </c>
      <c r="N504" s="147" t="s">
        <v>81</v>
      </c>
      <c r="O504" s="147">
        <v>0</v>
      </c>
      <c r="P504" s="147" t="s">
        <v>78</v>
      </c>
      <c r="Q504" s="147">
        <v>0</v>
      </c>
      <c r="R504" s="147" t="s">
        <v>78</v>
      </c>
      <c r="S504" s="147">
        <v>0</v>
      </c>
      <c r="T504" s="147" t="s">
        <v>78</v>
      </c>
      <c r="U504" s="147">
        <v>0</v>
      </c>
      <c r="V504" s="147" t="s">
        <v>81</v>
      </c>
      <c r="W504" s="147" t="s">
        <v>78</v>
      </c>
      <c r="X504" s="147" t="s">
        <v>81</v>
      </c>
      <c r="Y504" s="147" t="s">
        <v>78</v>
      </c>
      <c r="Z504" s="147" t="s">
        <v>397</v>
      </c>
      <c r="AA504" s="147" t="s">
        <v>75</v>
      </c>
      <c r="AB504" s="147" t="s">
        <v>81</v>
      </c>
      <c r="AC504" s="147" t="s">
        <v>84</v>
      </c>
    </row>
    <row r="505" spans="2:29" x14ac:dyDescent="0.25">
      <c r="B505" s="147" t="s">
        <v>2307</v>
      </c>
      <c r="C505" s="147" t="s">
        <v>78</v>
      </c>
      <c r="G505" s="147" t="s">
        <v>81</v>
      </c>
      <c r="J505" s="147" t="s">
        <v>81</v>
      </c>
      <c r="K505" s="147" t="s">
        <v>78</v>
      </c>
      <c r="L505" s="147" t="s">
        <v>75</v>
      </c>
      <c r="M505" s="147" t="s">
        <v>2143</v>
      </c>
      <c r="N505" s="147" t="s">
        <v>75</v>
      </c>
      <c r="O505" s="147">
        <v>0</v>
      </c>
      <c r="P505" s="147" t="s">
        <v>78</v>
      </c>
      <c r="Q505" s="147">
        <v>1</v>
      </c>
      <c r="R505" s="147" t="s">
        <v>2144</v>
      </c>
      <c r="S505" s="147">
        <v>0</v>
      </c>
      <c r="T505" s="147" t="s">
        <v>78</v>
      </c>
      <c r="U505" s="147">
        <v>1</v>
      </c>
      <c r="V505" s="147" t="s">
        <v>81</v>
      </c>
      <c r="W505" s="147" t="s">
        <v>78</v>
      </c>
      <c r="X505" s="147" t="s">
        <v>81</v>
      </c>
      <c r="Y505" s="147" t="s">
        <v>78</v>
      </c>
      <c r="Z505" s="147" t="s">
        <v>121</v>
      </c>
      <c r="AA505" s="147" t="s">
        <v>75</v>
      </c>
      <c r="AB505" s="147" t="s">
        <v>81</v>
      </c>
      <c r="AC505" s="147" t="s">
        <v>84</v>
      </c>
    </row>
    <row r="506" spans="2:29" x14ac:dyDescent="0.25">
      <c r="B506" s="147" t="s">
        <v>2308</v>
      </c>
      <c r="C506" s="147" t="s">
        <v>2131</v>
      </c>
      <c r="G506" s="147" t="s">
        <v>81</v>
      </c>
      <c r="J506" s="147" t="s">
        <v>81</v>
      </c>
      <c r="K506" s="147" t="s">
        <v>78</v>
      </c>
      <c r="L506" s="147" t="s">
        <v>81</v>
      </c>
      <c r="M506" s="147" t="s">
        <v>78</v>
      </c>
      <c r="N506" s="147" t="s">
        <v>75</v>
      </c>
      <c r="O506" s="147">
        <v>1</v>
      </c>
      <c r="P506" s="147" t="s">
        <v>2145</v>
      </c>
      <c r="Q506" s="147">
        <v>0</v>
      </c>
      <c r="R506" s="147" t="s">
        <v>78</v>
      </c>
      <c r="S506" s="147">
        <v>0</v>
      </c>
      <c r="T506" s="147" t="s">
        <v>78</v>
      </c>
      <c r="U506" s="147">
        <v>1</v>
      </c>
      <c r="V506" s="147" t="s">
        <v>81</v>
      </c>
      <c r="W506" s="147" t="s">
        <v>78</v>
      </c>
      <c r="X506" s="147" t="s">
        <v>81</v>
      </c>
      <c r="Y506" s="147" t="s">
        <v>78</v>
      </c>
      <c r="Z506" s="147" t="s">
        <v>121</v>
      </c>
      <c r="AA506" s="147" t="s">
        <v>75</v>
      </c>
      <c r="AB506" s="147" t="s">
        <v>81</v>
      </c>
      <c r="AC506" s="147" t="s">
        <v>84</v>
      </c>
    </row>
    <row r="507" spans="2:29" x14ac:dyDescent="0.25">
      <c r="B507" s="147" t="s">
        <v>2309</v>
      </c>
      <c r="C507" s="147" t="s">
        <v>2146</v>
      </c>
      <c r="G507" s="147" t="s">
        <v>81</v>
      </c>
      <c r="J507" s="147" t="s">
        <v>81</v>
      </c>
      <c r="K507" s="147" t="s">
        <v>78</v>
      </c>
      <c r="L507" s="147" t="s">
        <v>81</v>
      </c>
      <c r="M507" s="147" t="s">
        <v>78</v>
      </c>
      <c r="N507" s="147" t="s">
        <v>81</v>
      </c>
      <c r="O507" s="147">
        <v>0</v>
      </c>
      <c r="P507" s="147" t="s">
        <v>78</v>
      </c>
      <c r="Q507" s="147">
        <v>0</v>
      </c>
      <c r="R507" s="147" t="s">
        <v>78</v>
      </c>
      <c r="S507" s="147">
        <v>0</v>
      </c>
      <c r="T507" s="147" t="s">
        <v>78</v>
      </c>
      <c r="U507" s="147">
        <v>0</v>
      </c>
      <c r="V507" s="147" t="s">
        <v>81</v>
      </c>
      <c r="W507" s="147" t="s">
        <v>78</v>
      </c>
      <c r="X507" s="147" t="s">
        <v>81</v>
      </c>
      <c r="Y507" s="147" t="s">
        <v>78</v>
      </c>
      <c r="Z507" s="147" t="s">
        <v>217</v>
      </c>
      <c r="AA507" s="147" t="s">
        <v>75</v>
      </c>
      <c r="AB507" s="147" t="s">
        <v>81</v>
      </c>
      <c r="AC507" s="147" t="s">
        <v>84</v>
      </c>
    </row>
    <row r="508" spans="2:29" x14ac:dyDescent="0.25">
      <c r="B508" s="147" t="s">
        <v>2310</v>
      </c>
      <c r="C508" s="147" t="s">
        <v>2147</v>
      </c>
      <c r="G508" s="147" t="s">
        <v>81</v>
      </c>
      <c r="J508" s="147" t="s">
        <v>81</v>
      </c>
      <c r="K508" s="147" t="s">
        <v>78</v>
      </c>
      <c r="L508" s="147" t="s">
        <v>81</v>
      </c>
      <c r="M508" s="147" t="s">
        <v>78</v>
      </c>
      <c r="N508" s="147" t="s">
        <v>81</v>
      </c>
      <c r="O508" s="147">
        <v>0</v>
      </c>
      <c r="P508" s="147" t="s">
        <v>78</v>
      </c>
      <c r="Q508" s="147">
        <v>0</v>
      </c>
      <c r="R508" s="147" t="s">
        <v>78</v>
      </c>
      <c r="S508" s="147">
        <v>0</v>
      </c>
      <c r="T508" s="147" t="s">
        <v>78</v>
      </c>
      <c r="U508" s="147">
        <v>0</v>
      </c>
      <c r="V508" s="147" t="s">
        <v>81</v>
      </c>
      <c r="W508" s="147" t="s">
        <v>78</v>
      </c>
      <c r="X508" s="147" t="s">
        <v>81</v>
      </c>
      <c r="Y508" s="147" t="s">
        <v>78</v>
      </c>
      <c r="Z508" s="147" t="s">
        <v>121</v>
      </c>
      <c r="AA508" s="147" t="s">
        <v>75</v>
      </c>
      <c r="AB508" s="147" t="s">
        <v>81</v>
      </c>
      <c r="AC508" s="147" t="s">
        <v>84</v>
      </c>
    </row>
    <row r="509" spans="2:29" x14ac:dyDescent="0.25">
      <c r="B509" s="147" t="s">
        <v>2311</v>
      </c>
      <c r="C509" s="147" t="s">
        <v>2147</v>
      </c>
      <c r="G509" s="147" t="s">
        <v>81</v>
      </c>
      <c r="J509" s="147" t="s">
        <v>81</v>
      </c>
      <c r="K509" s="147" t="s">
        <v>78</v>
      </c>
      <c r="L509" s="147" t="s">
        <v>81</v>
      </c>
      <c r="M509" s="147" t="s">
        <v>78</v>
      </c>
      <c r="N509" s="147" t="s">
        <v>81</v>
      </c>
      <c r="O509" s="147">
        <v>0</v>
      </c>
      <c r="P509" s="147" t="s">
        <v>78</v>
      </c>
      <c r="Q509" s="147">
        <v>0</v>
      </c>
      <c r="R509" s="147" t="s">
        <v>78</v>
      </c>
      <c r="S509" s="147">
        <v>0</v>
      </c>
      <c r="T509" s="147" t="s">
        <v>78</v>
      </c>
      <c r="U509" s="147">
        <v>0</v>
      </c>
      <c r="V509" s="147" t="s">
        <v>81</v>
      </c>
      <c r="W509" s="147" t="s">
        <v>78</v>
      </c>
      <c r="X509" s="147" t="s">
        <v>81</v>
      </c>
      <c r="Y509" s="147" t="s">
        <v>78</v>
      </c>
      <c r="Z509" s="147" t="s">
        <v>121</v>
      </c>
      <c r="AA509" s="147" t="s">
        <v>75</v>
      </c>
      <c r="AB509" s="147" t="s">
        <v>81</v>
      </c>
      <c r="AC509" s="147" t="s">
        <v>84</v>
      </c>
    </row>
    <row r="510" spans="2:29" x14ac:dyDescent="0.25">
      <c r="B510" s="147" t="s">
        <v>2312</v>
      </c>
      <c r="C510" s="147" t="s">
        <v>78</v>
      </c>
      <c r="G510" s="147" t="s">
        <v>81</v>
      </c>
      <c r="J510" s="147" t="s">
        <v>81</v>
      </c>
      <c r="K510" s="147" t="s">
        <v>78</v>
      </c>
      <c r="L510" s="147" t="s">
        <v>81</v>
      </c>
      <c r="M510" s="147" t="s">
        <v>78</v>
      </c>
      <c r="N510" s="147" t="s">
        <v>81</v>
      </c>
      <c r="O510" s="147">
        <v>0</v>
      </c>
      <c r="P510" s="147" t="s">
        <v>78</v>
      </c>
      <c r="Q510" s="147">
        <v>0</v>
      </c>
      <c r="R510" s="147" t="s">
        <v>78</v>
      </c>
      <c r="S510" s="147">
        <v>0</v>
      </c>
      <c r="T510" s="147" t="s">
        <v>78</v>
      </c>
      <c r="U510" s="147">
        <v>0</v>
      </c>
      <c r="V510" s="147" t="s">
        <v>81</v>
      </c>
      <c r="W510" s="147" t="s">
        <v>78</v>
      </c>
      <c r="X510" s="147" t="s">
        <v>81</v>
      </c>
      <c r="Y510" s="147" t="s">
        <v>78</v>
      </c>
      <c r="Z510" s="147" t="s">
        <v>121</v>
      </c>
      <c r="AA510" s="147" t="s">
        <v>75</v>
      </c>
      <c r="AB510" s="147" t="s">
        <v>81</v>
      </c>
      <c r="AC510" s="147" t="s">
        <v>84</v>
      </c>
    </row>
    <row r="511" spans="2:29" x14ac:dyDescent="0.25">
      <c r="B511" s="147" t="s">
        <v>2313</v>
      </c>
      <c r="C511" s="147" t="s">
        <v>78</v>
      </c>
      <c r="G511" s="147" t="s">
        <v>81</v>
      </c>
      <c r="J511" s="147" t="s">
        <v>75</v>
      </c>
      <c r="K511" s="147" t="s">
        <v>2148</v>
      </c>
      <c r="L511" s="147" t="s">
        <v>81</v>
      </c>
      <c r="M511" s="147" t="s">
        <v>78</v>
      </c>
      <c r="N511" s="147" t="s">
        <v>75</v>
      </c>
      <c r="O511" s="147">
        <v>1</v>
      </c>
      <c r="P511" s="147" t="s">
        <v>2149</v>
      </c>
      <c r="Q511" s="147">
        <v>0</v>
      </c>
      <c r="R511" s="147" t="s">
        <v>78</v>
      </c>
      <c r="S511" s="147">
        <v>0</v>
      </c>
      <c r="T511" s="147" t="s">
        <v>78</v>
      </c>
      <c r="U511" s="147">
        <v>0</v>
      </c>
      <c r="V511" s="147" t="s">
        <v>81</v>
      </c>
      <c r="W511" s="147" t="s">
        <v>78</v>
      </c>
      <c r="X511" s="147" t="s">
        <v>81</v>
      </c>
      <c r="Y511" s="147" t="s">
        <v>78</v>
      </c>
      <c r="Z511" s="147" t="s">
        <v>121</v>
      </c>
      <c r="AA511" s="147" t="s">
        <v>75</v>
      </c>
      <c r="AB511" s="147" t="s">
        <v>81</v>
      </c>
      <c r="AC511" s="147" t="s">
        <v>84</v>
      </c>
    </row>
    <row r="512" spans="2:29" x14ac:dyDescent="0.25">
      <c r="B512" s="147" t="s">
        <v>2314</v>
      </c>
      <c r="C512" s="147" t="s">
        <v>78</v>
      </c>
      <c r="G512" s="147" t="s">
        <v>81</v>
      </c>
      <c r="J512" s="147" t="s">
        <v>81</v>
      </c>
      <c r="K512" s="147" t="s">
        <v>78</v>
      </c>
      <c r="L512" s="147" t="s">
        <v>81</v>
      </c>
      <c r="M512" s="147" t="s">
        <v>78</v>
      </c>
      <c r="N512" s="147" t="s">
        <v>81</v>
      </c>
      <c r="O512" s="147">
        <v>0</v>
      </c>
      <c r="P512" s="147" t="s">
        <v>78</v>
      </c>
      <c r="Q512" s="147">
        <v>0</v>
      </c>
      <c r="R512" s="147" t="s">
        <v>78</v>
      </c>
      <c r="S512" s="147">
        <v>0</v>
      </c>
      <c r="T512" s="147" t="s">
        <v>78</v>
      </c>
      <c r="U512" s="147">
        <v>0</v>
      </c>
      <c r="V512" s="147" t="s">
        <v>81</v>
      </c>
      <c r="W512" s="147" t="s">
        <v>78</v>
      </c>
      <c r="X512" s="147" t="s">
        <v>81</v>
      </c>
      <c r="Y512" s="147" t="s">
        <v>78</v>
      </c>
      <c r="Z512" s="147" t="s">
        <v>121</v>
      </c>
      <c r="AA512" s="147" t="s">
        <v>75</v>
      </c>
      <c r="AB512" s="147" t="s">
        <v>81</v>
      </c>
      <c r="AC512" s="147" t="s">
        <v>84</v>
      </c>
    </row>
    <row r="513" spans="2:29" x14ac:dyDescent="0.25">
      <c r="B513" s="147" t="s">
        <v>2315</v>
      </c>
      <c r="C513" s="147" t="s">
        <v>78</v>
      </c>
      <c r="G513" s="147" t="s">
        <v>81</v>
      </c>
      <c r="J513" s="147" t="s">
        <v>81</v>
      </c>
      <c r="K513" s="147" t="s">
        <v>78</v>
      </c>
      <c r="L513" s="147" t="s">
        <v>81</v>
      </c>
      <c r="M513" s="147" t="s">
        <v>78</v>
      </c>
      <c r="N513" s="147" t="s">
        <v>81</v>
      </c>
      <c r="O513" s="147">
        <v>0</v>
      </c>
      <c r="P513" s="147" t="s">
        <v>78</v>
      </c>
      <c r="Q513" s="147">
        <v>0</v>
      </c>
      <c r="R513" s="147" t="s">
        <v>78</v>
      </c>
      <c r="S513" s="147">
        <v>0</v>
      </c>
      <c r="T513" s="147" t="s">
        <v>78</v>
      </c>
      <c r="U513" s="147">
        <v>0</v>
      </c>
      <c r="V513" s="147" t="s">
        <v>81</v>
      </c>
      <c r="W513" s="147" t="s">
        <v>78</v>
      </c>
      <c r="X513" s="147" t="s">
        <v>81</v>
      </c>
      <c r="Y513" s="147" t="s">
        <v>78</v>
      </c>
      <c r="Z513" s="147" t="s">
        <v>397</v>
      </c>
      <c r="AA513" s="147" t="s">
        <v>81</v>
      </c>
      <c r="AB513" s="147" t="s">
        <v>81</v>
      </c>
      <c r="AC513" s="147" t="s">
        <v>84</v>
      </c>
    </row>
    <row r="514" spans="2:29" x14ac:dyDescent="0.25">
      <c r="B514" s="147" t="s">
        <v>2316</v>
      </c>
      <c r="C514" s="147" t="s">
        <v>78</v>
      </c>
      <c r="G514" s="147" t="s">
        <v>81</v>
      </c>
      <c r="J514" s="147" t="s">
        <v>81</v>
      </c>
      <c r="K514" s="147" t="s">
        <v>78</v>
      </c>
      <c r="L514" s="147" t="s">
        <v>75</v>
      </c>
      <c r="M514" s="147" t="s">
        <v>2150</v>
      </c>
      <c r="N514" s="147" t="s">
        <v>75</v>
      </c>
      <c r="O514" s="147">
        <v>1</v>
      </c>
      <c r="P514" s="147" t="s">
        <v>2095</v>
      </c>
      <c r="Q514" s="147">
        <v>1</v>
      </c>
      <c r="R514" s="147" t="s">
        <v>2151</v>
      </c>
      <c r="S514" s="147">
        <v>0</v>
      </c>
      <c r="T514" s="147" t="s">
        <v>78</v>
      </c>
      <c r="U514" s="147">
        <v>2</v>
      </c>
      <c r="V514" s="147" t="s">
        <v>81</v>
      </c>
      <c r="W514" s="147" t="s">
        <v>78</v>
      </c>
      <c r="X514" s="147" t="s">
        <v>81</v>
      </c>
      <c r="Y514" s="147" t="s">
        <v>78</v>
      </c>
      <c r="Z514" s="147" t="s">
        <v>121</v>
      </c>
      <c r="AA514" s="147" t="s">
        <v>75</v>
      </c>
      <c r="AB514" s="147" t="s">
        <v>81</v>
      </c>
      <c r="AC514" s="147" t="s">
        <v>84</v>
      </c>
    </row>
    <row r="515" spans="2:29" x14ac:dyDescent="0.25">
      <c r="B515" s="147" t="s">
        <v>2317</v>
      </c>
      <c r="C515" s="147" t="s">
        <v>78</v>
      </c>
      <c r="G515" s="147" t="s">
        <v>81</v>
      </c>
      <c r="J515" s="147" t="s">
        <v>75</v>
      </c>
      <c r="K515" s="147" t="s">
        <v>2152</v>
      </c>
      <c r="L515" s="147" t="s">
        <v>75</v>
      </c>
      <c r="M515" s="147" t="s">
        <v>2153</v>
      </c>
      <c r="N515" s="147" t="s">
        <v>75</v>
      </c>
      <c r="O515" s="147">
        <v>1</v>
      </c>
      <c r="P515" s="147" t="s">
        <v>2154</v>
      </c>
      <c r="Q515" s="147">
        <v>2</v>
      </c>
      <c r="R515" s="147" t="s">
        <v>2155</v>
      </c>
      <c r="S515" s="147">
        <v>3</v>
      </c>
      <c r="T515" s="147" t="s">
        <v>2156</v>
      </c>
      <c r="U515" s="147">
        <v>6</v>
      </c>
      <c r="V515" s="147" t="s">
        <v>81</v>
      </c>
      <c r="W515" s="147" t="s">
        <v>78</v>
      </c>
      <c r="X515" s="147" t="s">
        <v>75</v>
      </c>
      <c r="Y515" s="147" t="s">
        <v>2157</v>
      </c>
      <c r="Z515" s="147" t="s">
        <v>121</v>
      </c>
      <c r="AA515" s="147" t="s">
        <v>75</v>
      </c>
      <c r="AB515" s="147" t="s">
        <v>75</v>
      </c>
      <c r="AC515" s="147" t="s">
        <v>84</v>
      </c>
    </row>
    <row r="516" spans="2:29" x14ac:dyDescent="0.25">
      <c r="B516" s="147" t="s">
        <v>2318</v>
      </c>
      <c r="C516" s="147" t="s">
        <v>78</v>
      </c>
      <c r="G516" s="147" t="s">
        <v>81</v>
      </c>
      <c r="J516" s="147" t="s">
        <v>81</v>
      </c>
      <c r="K516" s="147" t="s">
        <v>78</v>
      </c>
      <c r="L516" s="147" t="s">
        <v>81</v>
      </c>
      <c r="M516" s="147" t="s">
        <v>78</v>
      </c>
      <c r="N516" s="147" t="s">
        <v>81</v>
      </c>
      <c r="O516" s="147">
        <v>0</v>
      </c>
      <c r="P516" s="147" t="s">
        <v>78</v>
      </c>
      <c r="Q516" s="147">
        <v>0</v>
      </c>
      <c r="R516" s="147" t="s">
        <v>78</v>
      </c>
      <c r="S516" s="147">
        <v>0</v>
      </c>
      <c r="T516" s="147" t="s">
        <v>78</v>
      </c>
      <c r="U516" s="147">
        <v>0</v>
      </c>
      <c r="V516" s="147" t="s">
        <v>81</v>
      </c>
      <c r="W516" s="147" t="s">
        <v>78</v>
      </c>
      <c r="X516" s="147" t="s">
        <v>81</v>
      </c>
      <c r="Y516" s="147" t="s">
        <v>78</v>
      </c>
      <c r="Z516" s="147" t="s">
        <v>397</v>
      </c>
      <c r="AA516" s="147" t="s">
        <v>81</v>
      </c>
      <c r="AB516" s="147" t="s">
        <v>81</v>
      </c>
      <c r="AC516" s="147" t="s">
        <v>84</v>
      </c>
    </row>
    <row r="517" spans="2:29" x14ac:dyDescent="0.25">
      <c r="B517" s="147" t="s">
        <v>2319</v>
      </c>
      <c r="C517" s="147" t="s">
        <v>78</v>
      </c>
      <c r="G517" s="147" t="s">
        <v>81</v>
      </c>
      <c r="J517" s="147" t="s">
        <v>81</v>
      </c>
      <c r="K517" s="147" t="s">
        <v>78</v>
      </c>
      <c r="L517" s="147" t="s">
        <v>81</v>
      </c>
      <c r="M517" s="147" t="s">
        <v>78</v>
      </c>
      <c r="N517" s="147" t="s">
        <v>81</v>
      </c>
      <c r="O517" s="147">
        <v>0</v>
      </c>
      <c r="P517" s="147" t="s">
        <v>78</v>
      </c>
      <c r="Q517" s="147">
        <v>0</v>
      </c>
      <c r="R517" s="147" t="s">
        <v>78</v>
      </c>
      <c r="S517" s="147">
        <v>0</v>
      </c>
      <c r="T517" s="147" t="s">
        <v>78</v>
      </c>
      <c r="U517" s="147">
        <v>0</v>
      </c>
      <c r="V517" s="147" t="s">
        <v>81</v>
      </c>
      <c r="W517" s="147" t="s">
        <v>78</v>
      </c>
      <c r="X517" s="147" t="s">
        <v>81</v>
      </c>
      <c r="Y517" s="147" t="s">
        <v>78</v>
      </c>
      <c r="Z517" s="147" t="s">
        <v>397</v>
      </c>
      <c r="AA517" s="147" t="s">
        <v>81</v>
      </c>
      <c r="AB517" s="147" t="s">
        <v>81</v>
      </c>
      <c r="AC517" s="147" t="s">
        <v>84</v>
      </c>
    </row>
    <row r="518" spans="2:29" x14ac:dyDescent="0.25">
      <c r="B518" s="147" t="s">
        <v>2320</v>
      </c>
      <c r="C518" s="147" t="s">
        <v>78</v>
      </c>
      <c r="G518" s="147" t="s">
        <v>81</v>
      </c>
      <c r="J518" s="147" t="s">
        <v>81</v>
      </c>
      <c r="K518" s="147" t="s">
        <v>78</v>
      </c>
      <c r="L518" s="147" t="s">
        <v>81</v>
      </c>
      <c r="M518" s="147" t="s">
        <v>78</v>
      </c>
      <c r="N518" s="147" t="s">
        <v>81</v>
      </c>
      <c r="O518" s="147">
        <v>0</v>
      </c>
      <c r="P518" s="147" t="s">
        <v>78</v>
      </c>
      <c r="Q518" s="147">
        <v>0</v>
      </c>
      <c r="R518" s="147" t="s">
        <v>78</v>
      </c>
      <c r="S518" s="147">
        <v>0</v>
      </c>
      <c r="T518" s="147" t="s">
        <v>78</v>
      </c>
      <c r="U518" s="147">
        <v>0</v>
      </c>
      <c r="V518" s="147" t="s">
        <v>81</v>
      </c>
      <c r="W518" s="147" t="s">
        <v>78</v>
      </c>
      <c r="X518" s="147" t="s">
        <v>81</v>
      </c>
      <c r="Y518" s="147" t="s">
        <v>78</v>
      </c>
      <c r="Z518" s="147" t="s">
        <v>121</v>
      </c>
      <c r="AA518" s="147" t="s">
        <v>75</v>
      </c>
      <c r="AB518" s="147" t="s">
        <v>81</v>
      </c>
      <c r="AC518" s="147" t="s">
        <v>84</v>
      </c>
    </row>
    <row r="519" spans="2:29" x14ac:dyDescent="0.25">
      <c r="B519" s="147" t="s">
        <v>2321</v>
      </c>
      <c r="C519" s="147" t="s">
        <v>78</v>
      </c>
      <c r="G519" s="147" t="s">
        <v>81</v>
      </c>
      <c r="J519" s="147" t="s">
        <v>75</v>
      </c>
      <c r="K519" s="147" t="s">
        <v>2158</v>
      </c>
      <c r="L519" s="147" t="s">
        <v>75</v>
      </c>
      <c r="M519" s="147" t="s">
        <v>2159</v>
      </c>
      <c r="N519" s="147" t="s">
        <v>75</v>
      </c>
      <c r="O519" s="147">
        <v>1</v>
      </c>
      <c r="P519" s="147" t="s">
        <v>2160</v>
      </c>
      <c r="Q519" s="147">
        <v>0</v>
      </c>
      <c r="R519" s="147" t="s">
        <v>78</v>
      </c>
      <c r="S519" s="147">
        <v>0</v>
      </c>
      <c r="T519" s="147" t="s">
        <v>78</v>
      </c>
      <c r="U519" s="147">
        <v>1</v>
      </c>
      <c r="V519" s="147" t="s">
        <v>81</v>
      </c>
      <c r="W519" s="147" t="s">
        <v>78</v>
      </c>
      <c r="X519" s="147" t="s">
        <v>81</v>
      </c>
      <c r="Y519" s="147" t="s">
        <v>78</v>
      </c>
      <c r="Z519" s="147" t="s">
        <v>121</v>
      </c>
      <c r="AA519" s="147" t="s">
        <v>75</v>
      </c>
      <c r="AB519" s="147" t="s">
        <v>81</v>
      </c>
      <c r="AC519" s="147" t="s">
        <v>84</v>
      </c>
    </row>
    <row r="520" spans="2:29" x14ac:dyDescent="0.25">
      <c r="B520" s="147" t="s">
        <v>2322</v>
      </c>
      <c r="C520" s="147" t="s">
        <v>2161</v>
      </c>
      <c r="G520" s="147" t="s">
        <v>81</v>
      </c>
      <c r="J520" s="147" t="s">
        <v>75</v>
      </c>
      <c r="K520" s="147" t="s">
        <v>2162</v>
      </c>
      <c r="L520" s="147" t="s">
        <v>75</v>
      </c>
      <c r="M520" s="147" t="s">
        <v>2163</v>
      </c>
      <c r="N520" s="147" t="s">
        <v>75</v>
      </c>
      <c r="O520" s="147">
        <v>2</v>
      </c>
      <c r="P520" s="147" t="s">
        <v>2164</v>
      </c>
      <c r="Q520" s="147">
        <v>2</v>
      </c>
      <c r="R520" s="147" t="s">
        <v>2165</v>
      </c>
      <c r="S520" s="147">
        <v>4</v>
      </c>
      <c r="T520" s="147" t="s">
        <v>2166</v>
      </c>
      <c r="U520" s="147">
        <v>8</v>
      </c>
      <c r="V520" s="147" t="s">
        <v>81</v>
      </c>
      <c r="W520" s="147" t="s">
        <v>78</v>
      </c>
      <c r="X520" s="147" t="s">
        <v>75</v>
      </c>
      <c r="Y520" s="147" t="s">
        <v>2167</v>
      </c>
      <c r="Z520" s="147" t="s">
        <v>217</v>
      </c>
      <c r="AA520" s="147" t="s">
        <v>75</v>
      </c>
      <c r="AB520" s="147" t="s">
        <v>75</v>
      </c>
      <c r="AC520" s="147" t="s">
        <v>84</v>
      </c>
    </row>
    <row r="521" spans="2:29" x14ac:dyDescent="0.25">
      <c r="B521" s="147" t="s">
        <v>2323</v>
      </c>
      <c r="C521" s="147" t="s">
        <v>78</v>
      </c>
      <c r="G521" s="147" t="s">
        <v>81</v>
      </c>
      <c r="J521" s="147" t="s">
        <v>81</v>
      </c>
      <c r="K521" s="147" t="s">
        <v>78</v>
      </c>
      <c r="L521" s="147" t="s">
        <v>81</v>
      </c>
      <c r="M521" s="147" t="s">
        <v>78</v>
      </c>
      <c r="N521" s="147" t="s">
        <v>81</v>
      </c>
      <c r="O521" s="147">
        <v>0</v>
      </c>
      <c r="P521" s="147" t="s">
        <v>78</v>
      </c>
      <c r="Q521" s="147">
        <v>0</v>
      </c>
      <c r="R521" s="147" t="s">
        <v>78</v>
      </c>
      <c r="S521" s="147">
        <v>0</v>
      </c>
      <c r="T521" s="147" t="s">
        <v>78</v>
      </c>
      <c r="U521" s="147">
        <v>0</v>
      </c>
      <c r="V521" s="147" t="s">
        <v>81</v>
      </c>
      <c r="W521" s="147" t="s">
        <v>78</v>
      </c>
      <c r="X521" s="147" t="s">
        <v>81</v>
      </c>
      <c r="Y521" s="147" t="s">
        <v>78</v>
      </c>
      <c r="Z521" s="147" t="s">
        <v>1648</v>
      </c>
      <c r="AA521" s="147" t="s">
        <v>75</v>
      </c>
      <c r="AB521" s="147" t="s">
        <v>81</v>
      </c>
      <c r="AC521" s="147" t="s">
        <v>84</v>
      </c>
    </row>
    <row r="522" spans="2:29" x14ac:dyDescent="0.25">
      <c r="B522" s="147" t="s">
        <v>2324</v>
      </c>
      <c r="C522" s="147" t="s">
        <v>78</v>
      </c>
      <c r="G522" s="147" t="s">
        <v>81</v>
      </c>
      <c r="J522" s="147" t="s">
        <v>81</v>
      </c>
      <c r="K522" s="147" t="s">
        <v>78</v>
      </c>
      <c r="L522" s="147" t="s">
        <v>81</v>
      </c>
      <c r="M522" s="147" t="s">
        <v>78</v>
      </c>
      <c r="N522" s="147" t="s">
        <v>81</v>
      </c>
      <c r="O522" s="147">
        <v>0</v>
      </c>
      <c r="P522" s="147" t="s">
        <v>78</v>
      </c>
      <c r="Q522" s="147">
        <v>0</v>
      </c>
      <c r="R522" s="147" t="s">
        <v>78</v>
      </c>
      <c r="S522" s="147">
        <v>0</v>
      </c>
      <c r="T522" s="147" t="s">
        <v>78</v>
      </c>
      <c r="U522" s="147">
        <v>0</v>
      </c>
      <c r="V522" s="147" t="s">
        <v>81</v>
      </c>
      <c r="W522" s="147" t="s">
        <v>78</v>
      </c>
      <c r="X522" s="147" t="s">
        <v>81</v>
      </c>
      <c r="Y522" s="147" t="s">
        <v>78</v>
      </c>
      <c r="Z522" s="147" t="s">
        <v>1648</v>
      </c>
      <c r="AA522" s="147" t="s">
        <v>75</v>
      </c>
      <c r="AB522" s="147" t="s">
        <v>81</v>
      </c>
      <c r="AC522" s="147" t="s">
        <v>84</v>
      </c>
    </row>
    <row r="523" spans="2:29" x14ac:dyDescent="0.25">
      <c r="B523" s="147" t="s">
        <v>2325</v>
      </c>
      <c r="C523" s="147" t="s">
        <v>78</v>
      </c>
      <c r="G523" s="147" t="s">
        <v>81</v>
      </c>
      <c r="J523" s="147" t="s">
        <v>81</v>
      </c>
      <c r="K523" s="147" t="s">
        <v>78</v>
      </c>
      <c r="L523" s="147" t="s">
        <v>81</v>
      </c>
      <c r="M523" s="147" t="s">
        <v>78</v>
      </c>
      <c r="N523" s="147" t="s">
        <v>81</v>
      </c>
      <c r="O523" s="147">
        <v>0</v>
      </c>
      <c r="P523" s="147" t="s">
        <v>78</v>
      </c>
      <c r="Q523" s="147">
        <v>0</v>
      </c>
      <c r="R523" s="147" t="s">
        <v>78</v>
      </c>
      <c r="S523" s="147">
        <v>0</v>
      </c>
      <c r="T523" s="147" t="s">
        <v>78</v>
      </c>
      <c r="U523" s="147">
        <v>0</v>
      </c>
      <c r="V523" s="147" t="s">
        <v>81</v>
      </c>
      <c r="W523" s="147" t="s">
        <v>78</v>
      </c>
      <c r="X523" s="147" t="s">
        <v>81</v>
      </c>
      <c r="Y523" s="147" t="s">
        <v>78</v>
      </c>
      <c r="Z523" s="147" t="s">
        <v>1648</v>
      </c>
      <c r="AA523" s="147" t="s">
        <v>75</v>
      </c>
      <c r="AB523" s="147" t="s">
        <v>81</v>
      </c>
      <c r="AC523" s="147" t="s">
        <v>84</v>
      </c>
    </row>
    <row r="524" spans="2:29" x14ac:dyDescent="0.25">
      <c r="B524" s="147" t="s">
        <v>2326</v>
      </c>
      <c r="C524" s="147" t="s">
        <v>78</v>
      </c>
      <c r="G524" s="147" t="s">
        <v>81</v>
      </c>
      <c r="J524" s="147" t="s">
        <v>81</v>
      </c>
      <c r="K524" s="147" t="s">
        <v>78</v>
      </c>
      <c r="L524" s="147" t="s">
        <v>81</v>
      </c>
      <c r="M524" s="147" t="s">
        <v>78</v>
      </c>
      <c r="N524" s="147" t="s">
        <v>81</v>
      </c>
      <c r="O524" s="147">
        <v>0</v>
      </c>
      <c r="P524" s="147" t="s">
        <v>78</v>
      </c>
      <c r="Q524" s="147">
        <v>0</v>
      </c>
      <c r="R524" s="147" t="s">
        <v>78</v>
      </c>
      <c r="S524" s="147">
        <v>0</v>
      </c>
      <c r="T524" s="147" t="s">
        <v>78</v>
      </c>
      <c r="U524" s="147">
        <v>0</v>
      </c>
      <c r="V524" s="147" t="s">
        <v>81</v>
      </c>
      <c r="W524" s="147" t="s">
        <v>78</v>
      </c>
      <c r="X524" s="147" t="s">
        <v>81</v>
      </c>
      <c r="Y524" s="147" t="s">
        <v>78</v>
      </c>
      <c r="Z524" s="147" t="s">
        <v>1648</v>
      </c>
      <c r="AA524" s="147" t="s">
        <v>81</v>
      </c>
      <c r="AB524" s="147" t="s">
        <v>81</v>
      </c>
      <c r="AC524" s="147" t="s">
        <v>84</v>
      </c>
    </row>
    <row r="525" spans="2:29" x14ac:dyDescent="0.25">
      <c r="B525" s="147" t="s">
        <v>2327</v>
      </c>
      <c r="C525" s="147" t="s">
        <v>2168</v>
      </c>
      <c r="G525" s="147" t="s">
        <v>81</v>
      </c>
      <c r="J525" s="147" t="s">
        <v>75</v>
      </c>
      <c r="K525" s="147" t="s">
        <v>2169</v>
      </c>
      <c r="L525" s="147" t="s">
        <v>81</v>
      </c>
      <c r="M525" s="147" t="s">
        <v>78</v>
      </c>
      <c r="N525" s="147" t="s">
        <v>75</v>
      </c>
      <c r="O525" s="147">
        <v>0</v>
      </c>
      <c r="P525" s="147" t="s">
        <v>78</v>
      </c>
      <c r="Q525" s="147">
        <v>0</v>
      </c>
      <c r="R525" s="147" t="s">
        <v>78</v>
      </c>
      <c r="S525" s="147">
        <v>2</v>
      </c>
      <c r="T525" s="147" t="s">
        <v>2170</v>
      </c>
      <c r="U525" s="147">
        <v>2</v>
      </c>
      <c r="V525" s="147" t="s">
        <v>81</v>
      </c>
      <c r="W525" s="147" t="s">
        <v>78</v>
      </c>
      <c r="X525" s="147" t="s">
        <v>81</v>
      </c>
      <c r="Y525" s="147" t="s">
        <v>78</v>
      </c>
      <c r="Z525" s="147" t="s">
        <v>121</v>
      </c>
      <c r="AA525" s="147" t="s">
        <v>75</v>
      </c>
      <c r="AB525" s="147" t="s">
        <v>81</v>
      </c>
      <c r="AC525" s="147" t="s">
        <v>84</v>
      </c>
    </row>
    <row r="526" spans="2:29" x14ac:dyDescent="0.25">
      <c r="B526" s="147" t="s">
        <v>2328</v>
      </c>
      <c r="C526" s="147" t="s">
        <v>78</v>
      </c>
      <c r="G526" s="147" t="s">
        <v>81</v>
      </c>
      <c r="J526" s="147" t="s">
        <v>81</v>
      </c>
      <c r="K526" s="147" t="s">
        <v>78</v>
      </c>
      <c r="L526" s="147" t="s">
        <v>81</v>
      </c>
      <c r="M526" s="147" t="s">
        <v>78</v>
      </c>
      <c r="N526" s="147" t="s">
        <v>81</v>
      </c>
      <c r="O526" s="147">
        <v>0</v>
      </c>
      <c r="P526" s="147" t="s">
        <v>78</v>
      </c>
      <c r="Q526" s="147">
        <v>0</v>
      </c>
      <c r="R526" s="147" t="s">
        <v>78</v>
      </c>
      <c r="S526" s="147">
        <v>0</v>
      </c>
      <c r="T526" s="147" t="s">
        <v>78</v>
      </c>
      <c r="U526" s="147">
        <v>0</v>
      </c>
      <c r="V526" s="147" t="s">
        <v>81</v>
      </c>
      <c r="W526" s="147" t="s">
        <v>78</v>
      </c>
      <c r="X526" s="147" t="s">
        <v>81</v>
      </c>
      <c r="Y526" s="147" t="s">
        <v>78</v>
      </c>
      <c r="Z526" s="147" t="s">
        <v>397</v>
      </c>
      <c r="AA526" s="147" t="s">
        <v>81</v>
      </c>
      <c r="AB526" s="147" t="s">
        <v>81</v>
      </c>
      <c r="AC526" s="147" t="s">
        <v>84</v>
      </c>
    </row>
    <row r="527" spans="2:29" x14ac:dyDescent="0.25">
      <c r="B527" s="147" t="s">
        <v>2329</v>
      </c>
      <c r="C527" s="147" t="s">
        <v>78</v>
      </c>
      <c r="G527" s="147" t="s">
        <v>81</v>
      </c>
      <c r="J527" s="147" t="s">
        <v>81</v>
      </c>
      <c r="K527" s="147" t="s">
        <v>78</v>
      </c>
      <c r="L527" s="147" t="s">
        <v>81</v>
      </c>
      <c r="M527" s="147" t="s">
        <v>78</v>
      </c>
      <c r="N527" s="147" t="s">
        <v>75</v>
      </c>
      <c r="O527" s="147">
        <v>1</v>
      </c>
      <c r="P527" s="147" t="s">
        <v>2171</v>
      </c>
      <c r="Q527" s="147">
        <v>0</v>
      </c>
      <c r="R527" s="147" t="s">
        <v>78</v>
      </c>
      <c r="S527" s="147">
        <v>0</v>
      </c>
      <c r="T527" s="147" t="s">
        <v>78</v>
      </c>
      <c r="U527" s="147">
        <v>1</v>
      </c>
      <c r="V527" s="147" t="s">
        <v>81</v>
      </c>
      <c r="W527" s="147" t="s">
        <v>78</v>
      </c>
      <c r="X527" s="147" t="s">
        <v>81</v>
      </c>
      <c r="Y527" s="147" t="s">
        <v>78</v>
      </c>
      <c r="Z527" s="147" t="s">
        <v>121</v>
      </c>
      <c r="AA527" s="147" t="s">
        <v>75</v>
      </c>
      <c r="AB527" s="147" t="s">
        <v>81</v>
      </c>
      <c r="AC527" s="147" t="s">
        <v>84</v>
      </c>
    </row>
    <row r="528" spans="2:29" x14ac:dyDescent="0.25">
      <c r="B528" s="147" t="s">
        <v>2330</v>
      </c>
      <c r="C528" s="147" t="s">
        <v>78</v>
      </c>
      <c r="G528" s="147" t="s">
        <v>81</v>
      </c>
      <c r="J528" s="147" t="s">
        <v>81</v>
      </c>
      <c r="K528" s="147" t="s">
        <v>78</v>
      </c>
      <c r="L528" s="147" t="s">
        <v>81</v>
      </c>
      <c r="M528" s="147" t="s">
        <v>78</v>
      </c>
      <c r="N528" s="147" t="s">
        <v>81</v>
      </c>
      <c r="O528" s="147">
        <v>0</v>
      </c>
      <c r="P528" s="147" t="s">
        <v>78</v>
      </c>
      <c r="Q528" s="147">
        <v>0</v>
      </c>
      <c r="R528" s="147" t="s">
        <v>78</v>
      </c>
      <c r="S528" s="147">
        <v>0</v>
      </c>
      <c r="T528" s="147" t="s">
        <v>78</v>
      </c>
      <c r="U528" s="147">
        <v>0</v>
      </c>
      <c r="V528" s="147" t="s">
        <v>81</v>
      </c>
      <c r="W528" s="147" t="s">
        <v>78</v>
      </c>
      <c r="X528" s="147" t="s">
        <v>81</v>
      </c>
      <c r="Y528" s="147" t="s">
        <v>78</v>
      </c>
      <c r="Z528" s="147" t="s">
        <v>397</v>
      </c>
      <c r="AA528" s="147" t="s">
        <v>75</v>
      </c>
      <c r="AB528" s="147" t="s">
        <v>81</v>
      </c>
      <c r="AC528" s="147" t="s">
        <v>84</v>
      </c>
    </row>
    <row r="529" spans="2:29" x14ac:dyDescent="0.25">
      <c r="B529" s="147" t="s">
        <v>2331</v>
      </c>
      <c r="C529" s="147" t="s">
        <v>78</v>
      </c>
      <c r="G529" s="147" t="s">
        <v>81</v>
      </c>
      <c r="J529" s="147" t="s">
        <v>75</v>
      </c>
      <c r="K529" s="147" t="s">
        <v>2172</v>
      </c>
      <c r="L529" s="147" t="s">
        <v>75</v>
      </c>
      <c r="M529" s="147" t="s">
        <v>2173</v>
      </c>
      <c r="N529" s="147" t="s">
        <v>75</v>
      </c>
      <c r="O529" s="147">
        <v>0</v>
      </c>
      <c r="P529" s="147" t="s">
        <v>78</v>
      </c>
      <c r="Q529" s="147">
        <v>2</v>
      </c>
      <c r="R529" s="147" t="s">
        <v>2174</v>
      </c>
      <c r="S529" s="147">
        <v>2</v>
      </c>
      <c r="T529" s="147" t="s">
        <v>2175</v>
      </c>
      <c r="U529" s="147">
        <v>4</v>
      </c>
      <c r="V529" s="147" t="s">
        <v>81</v>
      </c>
      <c r="W529" s="147" t="s">
        <v>78</v>
      </c>
      <c r="X529" s="147" t="s">
        <v>75</v>
      </c>
      <c r="Y529" s="147" t="s">
        <v>2176</v>
      </c>
      <c r="Z529" s="147" t="s">
        <v>121</v>
      </c>
      <c r="AA529" s="147" t="s">
        <v>75</v>
      </c>
      <c r="AB529" s="147" t="s">
        <v>75</v>
      </c>
      <c r="AC529" s="147" t="s">
        <v>84</v>
      </c>
    </row>
    <row r="530" spans="2:29" x14ac:dyDescent="0.25">
      <c r="B530" s="147" t="s">
        <v>2332</v>
      </c>
      <c r="C530" s="147" t="s">
        <v>78</v>
      </c>
      <c r="G530" s="147" t="s">
        <v>81</v>
      </c>
      <c r="J530" s="147" t="s">
        <v>81</v>
      </c>
      <c r="K530" s="147" t="s">
        <v>78</v>
      </c>
      <c r="L530" s="147" t="s">
        <v>81</v>
      </c>
      <c r="M530" s="147" t="s">
        <v>78</v>
      </c>
      <c r="N530" s="147" t="s">
        <v>81</v>
      </c>
      <c r="O530" s="147">
        <v>0</v>
      </c>
      <c r="P530" s="147" t="s">
        <v>78</v>
      </c>
      <c r="Q530" s="147">
        <v>0</v>
      </c>
      <c r="R530" s="147" t="s">
        <v>78</v>
      </c>
      <c r="S530" s="147">
        <v>0</v>
      </c>
      <c r="T530" s="147" t="s">
        <v>78</v>
      </c>
      <c r="U530" s="147">
        <v>0</v>
      </c>
      <c r="V530" s="147" t="s">
        <v>81</v>
      </c>
      <c r="W530" s="147" t="s">
        <v>78</v>
      </c>
      <c r="X530" s="147" t="s">
        <v>81</v>
      </c>
      <c r="Y530" s="147" t="s">
        <v>78</v>
      </c>
      <c r="Z530" s="147" t="s">
        <v>121</v>
      </c>
      <c r="AA530" s="147" t="s">
        <v>75</v>
      </c>
      <c r="AB530" s="147" t="s">
        <v>81</v>
      </c>
      <c r="AC530" s="147" t="s">
        <v>84</v>
      </c>
    </row>
    <row r="531" spans="2:29" x14ac:dyDescent="0.25">
      <c r="B531" s="147" t="s">
        <v>2333</v>
      </c>
      <c r="C531" s="147" t="s">
        <v>78</v>
      </c>
      <c r="G531" s="147" t="s">
        <v>81</v>
      </c>
      <c r="J531" s="147" t="s">
        <v>81</v>
      </c>
      <c r="K531" s="147" t="s">
        <v>78</v>
      </c>
      <c r="L531" s="147" t="s">
        <v>81</v>
      </c>
      <c r="M531" s="147" t="s">
        <v>78</v>
      </c>
      <c r="N531" s="147" t="s">
        <v>81</v>
      </c>
      <c r="O531" s="147">
        <v>0</v>
      </c>
      <c r="P531" s="147" t="s">
        <v>78</v>
      </c>
      <c r="Q531" s="147">
        <v>0</v>
      </c>
      <c r="R531" s="147" t="s">
        <v>78</v>
      </c>
      <c r="S531" s="147">
        <v>0</v>
      </c>
      <c r="T531" s="147" t="s">
        <v>78</v>
      </c>
      <c r="U531" s="147">
        <v>0</v>
      </c>
      <c r="V531" s="147" t="s">
        <v>81</v>
      </c>
      <c r="W531" s="147" t="s">
        <v>78</v>
      </c>
      <c r="X531" s="147" t="s">
        <v>81</v>
      </c>
      <c r="Y531" s="147" t="s">
        <v>78</v>
      </c>
      <c r="Z531" s="147" t="s">
        <v>397</v>
      </c>
      <c r="AA531" s="147" t="s">
        <v>81</v>
      </c>
      <c r="AB531" s="147" t="s">
        <v>81</v>
      </c>
      <c r="AC531" s="147" t="s">
        <v>84</v>
      </c>
    </row>
    <row r="532" spans="2:29" x14ac:dyDescent="0.25">
      <c r="B532" s="147" t="s">
        <v>2334</v>
      </c>
      <c r="C532" s="147" t="s">
        <v>78</v>
      </c>
      <c r="G532" s="147" t="s">
        <v>81</v>
      </c>
      <c r="J532" s="147" t="s">
        <v>75</v>
      </c>
      <c r="K532" s="147" t="s">
        <v>2177</v>
      </c>
      <c r="L532" s="147" t="s">
        <v>75</v>
      </c>
      <c r="M532" s="147" t="s">
        <v>2178</v>
      </c>
      <c r="N532" s="147" t="s">
        <v>75</v>
      </c>
      <c r="O532" s="147">
        <v>1</v>
      </c>
      <c r="P532" s="147" t="s">
        <v>2179</v>
      </c>
      <c r="Q532" s="147">
        <v>3</v>
      </c>
      <c r="R532" s="147" t="s">
        <v>2180</v>
      </c>
      <c r="S532" s="147">
        <v>3</v>
      </c>
      <c r="T532" s="147" t="s">
        <v>2181</v>
      </c>
      <c r="U532" s="147">
        <v>7</v>
      </c>
      <c r="V532" s="147" t="s">
        <v>81</v>
      </c>
      <c r="W532" s="147" t="s">
        <v>78</v>
      </c>
      <c r="X532" s="147" t="s">
        <v>75</v>
      </c>
      <c r="Y532" s="147" t="s">
        <v>2182</v>
      </c>
      <c r="Z532" s="147" t="s">
        <v>121</v>
      </c>
      <c r="AA532" s="147" t="s">
        <v>75</v>
      </c>
      <c r="AB532" s="147" t="s">
        <v>75</v>
      </c>
      <c r="AC532" s="147" t="s">
        <v>84</v>
      </c>
    </row>
    <row r="533" spans="2:29" x14ac:dyDescent="0.25">
      <c r="B533" s="147" t="s">
        <v>2335</v>
      </c>
      <c r="C533" s="147" t="s">
        <v>78</v>
      </c>
      <c r="G533" s="147" t="s">
        <v>81</v>
      </c>
      <c r="J533" s="147" t="s">
        <v>81</v>
      </c>
      <c r="K533" s="147" t="s">
        <v>78</v>
      </c>
      <c r="L533" s="147" t="s">
        <v>81</v>
      </c>
      <c r="M533" s="147" t="s">
        <v>78</v>
      </c>
      <c r="N533" s="147" t="s">
        <v>81</v>
      </c>
      <c r="O533" s="147">
        <v>0</v>
      </c>
      <c r="P533" s="147" t="s">
        <v>78</v>
      </c>
      <c r="Q533" s="147">
        <v>0</v>
      </c>
      <c r="R533" s="147" t="s">
        <v>78</v>
      </c>
      <c r="S533" s="147">
        <v>0</v>
      </c>
      <c r="T533" s="147" t="s">
        <v>78</v>
      </c>
      <c r="U533" s="147">
        <v>0</v>
      </c>
      <c r="V533" s="147" t="s">
        <v>81</v>
      </c>
      <c r="W533" s="147" t="s">
        <v>78</v>
      </c>
      <c r="X533" s="147" t="s">
        <v>81</v>
      </c>
      <c r="Y533" s="147" t="s">
        <v>78</v>
      </c>
      <c r="Z533" s="147" t="s">
        <v>121</v>
      </c>
      <c r="AA533" s="147" t="s">
        <v>75</v>
      </c>
      <c r="AB533" s="147" t="s">
        <v>81</v>
      </c>
      <c r="AC533" s="147" t="s">
        <v>84</v>
      </c>
    </row>
    <row r="534" spans="2:29" x14ac:dyDescent="0.25">
      <c r="B534" s="147" t="s">
        <v>2336</v>
      </c>
      <c r="C534" s="147" t="s">
        <v>78</v>
      </c>
      <c r="G534" s="147" t="s">
        <v>81</v>
      </c>
      <c r="J534" s="147" t="s">
        <v>81</v>
      </c>
      <c r="K534" s="147" t="s">
        <v>78</v>
      </c>
      <c r="L534" s="147" t="s">
        <v>81</v>
      </c>
      <c r="M534" s="147" t="s">
        <v>78</v>
      </c>
      <c r="N534" s="147" t="s">
        <v>81</v>
      </c>
      <c r="O534" s="147">
        <v>0</v>
      </c>
      <c r="P534" s="147" t="s">
        <v>78</v>
      </c>
      <c r="Q534" s="147">
        <v>0</v>
      </c>
      <c r="R534" s="147" t="s">
        <v>78</v>
      </c>
      <c r="S534" s="147">
        <v>0</v>
      </c>
      <c r="T534" s="147" t="s">
        <v>78</v>
      </c>
      <c r="U534" s="147">
        <v>0</v>
      </c>
      <c r="V534" s="147" t="s">
        <v>81</v>
      </c>
      <c r="W534" s="147" t="s">
        <v>78</v>
      </c>
      <c r="X534" s="147" t="s">
        <v>81</v>
      </c>
      <c r="Y534" s="147" t="s">
        <v>78</v>
      </c>
      <c r="Z534" s="147" t="s">
        <v>1648</v>
      </c>
      <c r="AA534" s="147" t="s">
        <v>75</v>
      </c>
      <c r="AB534" s="147" t="s">
        <v>81</v>
      </c>
      <c r="AC534" s="147" t="s">
        <v>84</v>
      </c>
    </row>
    <row r="535" spans="2:29" x14ac:dyDescent="0.25">
      <c r="B535" s="147" t="s">
        <v>2337</v>
      </c>
      <c r="C535" s="147" t="s">
        <v>78</v>
      </c>
      <c r="G535" s="147" t="s">
        <v>81</v>
      </c>
      <c r="J535" s="147" t="s">
        <v>81</v>
      </c>
      <c r="K535" s="147" t="s">
        <v>78</v>
      </c>
      <c r="L535" s="147" t="s">
        <v>81</v>
      </c>
      <c r="M535" s="147" t="s">
        <v>78</v>
      </c>
      <c r="N535" s="147" t="s">
        <v>81</v>
      </c>
      <c r="O535" s="147">
        <v>0</v>
      </c>
      <c r="P535" s="147" t="s">
        <v>78</v>
      </c>
      <c r="Q535" s="147">
        <v>0</v>
      </c>
      <c r="R535" s="147" t="s">
        <v>78</v>
      </c>
      <c r="S535" s="147">
        <v>0</v>
      </c>
      <c r="T535" s="147" t="s">
        <v>78</v>
      </c>
      <c r="U535" s="147">
        <v>0</v>
      </c>
      <c r="V535" s="147" t="s">
        <v>81</v>
      </c>
      <c r="W535" s="147" t="s">
        <v>78</v>
      </c>
      <c r="X535" s="147" t="s">
        <v>81</v>
      </c>
      <c r="Y535" s="147" t="s">
        <v>78</v>
      </c>
      <c r="Z535" s="147" t="s">
        <v>1648</v>
      </c>
      <c r="AA535" s="147" t="s">
        <v>81</v>
      </c>
      <c r="AB535" s="147" t="s">
        <v>81</v>
      </c>
      <c r="AC535" s="147" t="s">
        <v>84</v>
      </c>
    </row>
    <row r="536" spans="2:29" x14ac:dyDescent="0.25">
      <c r="B536" s="147" t="s">
        <v>2338</v>
      </c>
      <c r="C536" s="147" t="s">
        <v>78</v>
      </c>
      <c r="G536" s="147" t="s">
        <v>81</v>
      </c>
      <c r="J536" s="147" t="s">
        <v>75</v>
      </c>
      <c r="K536" s="147" t="s">
        <v>2183</v>
      </c>
      <c r="L536" s="147" t="s">
        <v>75</v>
      </c>
      <c r="M536" s="147" t="s">
        <v>2184</v>
      </c>
      <c r="N536" s="147" t="s">
        <v>75</v>
      </c>
      <c r="O536" s="147">
        <v>0</v>
      </c>
      <c r="P536" s="147" t="s">
        <v>78</v>
      </c>
      <c r="Q536" s="147">
        <v>1</v>
      </c>
      <c r="R536" s="147" t="s">
        <v>2185</v>
      </c>
      <c r="S536" s="147">
        <v>2</v>
      </c>
      <c r="T536" s="147" t="s">
        <v>2186</v>
      </c>
      <c r="U536" s="147">
        <v>3</v>
      </c>
      <c r="V536" s="147" t="s">
        <v>81</v>
      </c>
      <c r="W536" s="147" t="s">
        <v>78</v>
      </c>
      <c r="X536" s="147" t="s">
        <v>75</v>
      </c>
      <c r="Y536" s="147" t="s">
        <v>2187</v>
      </c>
      <c r="Z536" s="147" t="s">
        <v>1648</v>
      </c>
      <c r="AA536" s="147" t="s">
        <v>75</v>
      </c>
      <c r="AB536" s="147" t="s">
        <v>81</v>
      </c>
      <c r="AC536" s="147" t="s">
        <v>84</v>
      </c>
    </row>
    <row r="537" spans="2:29" x14ac:dyDescent="0.25">
      <c r="B537" s="147" t="s">
        <v>2339</v>
      </c>
      <c r="C537" s="147" t="s">
        <v>78</v>
      </c>
      <c r="G537" s="147" t="s">
        <v>81</v>
      </c>
      <c r="J537" s="147" t="s">
        <v>81</v>
      </c>
      <c r="K537" s="147" t="s">
        <v>78</v>
      </c>
      <c r="L537" s="147" t="s">
        <v>81</v>
      </c>
      <c r="M537" s="147" t="s">
        <v>78</v>
      </c>
      <c r="N537" s="147" t="s">
        <v>81</v>
      </c>
      <c r="O537" s="147">
        <v>0</v>
      </c>
      <c r="P537" s="147" t="s">
        <v>78</v>
      </c>
      <c r="Q537" s="147">
        <v>0</v>
      </c>
      <c r="R537" s="147" t="s">
        <v>78</v>
      </c>
      <c r="S537" s="147">
        <v>0</v>
      </c>
      <c r="T537" s="147" t="s">
        <v>78</v>
      </c>
      <c r="U537" s="147">
        <v>0</v>
      </c>
      <c r="V537" s="147" t="s">
        <v>81</v>
      </c>
      <c r="W537" s="147" t="s">
        <v>78</v>
      </c>
      <c r="X537" s="147" t="s">
        <v>81</v>
      </c>
      <c r="Y537" s="147" t="s">
        <v>78</v>
      </c>
      <c r="Z537" s="147" t="s">
        <v>121</v>
      </c>
      <c r="AA537" s="147" t="s">
        <v>75</v>
      </c>
      <c r="AB537" s="147" t="s">
        <v>81</v>
      </c>
      <c r="AC537" s="147" t="s">
        <v>84</v>
      </c>
    </row>
    <row r="538" spans="2:29" x14ac:dyDescent="0.25">
      <c r="B538" s="147" t="s">
        <v>2340</v>
      </c>
      <c r="C538" s="147" t="s">
        <v>78</v>
      </c>
      <c r="G538" s="147" t="s">
        <v>81</v>
      </c>
      <c r="J538" s="147" t="s">
        <v>81</v>
      </c>
      <c r="K538" s="147" t="s">
        <v>78</v>
      </c>
      <c r="L538" s="147" t="s">
        <v>81</v>
      </c>
      <c r="M538" s="147" t="s">
        <v>78</v>
      </c>
      <c r="N538" s="147" t="s">
        <v>81</v>
      </c>
      <c r="O538" s="147">
        <v>0</v>
      </c>
      <c r="P538" s="147" t="s">
        <v>78</v>
      </c>
      <c r="Q538" s="147">
        <v>0</v>
      </c>
      <c r="R538" s="147" t="s">
        <v>78</v>
      </c>
      <c r="S538" s="147">
        <v>0</v>
      </c>
      <c r="T538" s="147" t="s">
        <v>78</v>
      </c>
      <c r="U538" s="147">
        <v>0</v>
      </c>
      <c r="V538" s="147" t="s">
        <v>81</v>
      </c>
      <c r="W538" s="147" t="s">
        <v>78</v>
      </c>
      <c r="X538" s="147" t="s">
        <v>81</v>
      </c>
      <c r="Y538" s="147" t="s">
        <v>78</v>
      </c>
      <c r="Z538" s="147" t="s">
        <v>121</v>
      </c>
      <c r="AA538" s="147" t="s">
        <v>75</v>
      </c>
      <c r="AB538" s="147" t="s">
        <v>81</v>
      </c>
      <c r="AC538" s="147" t="s">
        <v>84</v>
      </c>
    </row>
    <row r="539" spans="2:29" x14ac:dyDescent="0.25">
      <c r="B539" s="147" t="s">
        <v>2341</v>
      </c>
      <c r="C539" s="147" t="s">
        <v>78</v>
      </c>
      <c r="G539" s="147" t="s">
        <v>81</v>
      </c>
      <c r="J539" s="147" t="s">
        <v>81</v>
      </c>
      <c r="K539" s="147" t="s">
        <v>78</v>
      </c>
      <c r="L539" s="147" t="s">
        <v>81</v>
      </c>
      <c r="M539" s="147" t="s">
        <v>78</v>
      </c>
      <c r="N539" s="147" t="s">
        <v>81</v>
      </c>
      <c r="O539" s="147">
        <v>0</v>
      </c>
      <c r="P539" s="147" t="s">
        <v>78</v>
      </c>
      <c r="Q539" s="147">
        <v>0</v>
      </c>
      <c r="R539" s="147" t="s">
        <v>78</v>
      </c>
      <c r="S539" s="147">
        <v>0</v>
      </c>
      <c r="T539" s="147" t="s">
        <v>78</v>
      </c>
      <c r="U539" s="147">
        <v>0</v>
      </c>
      <c r="V539" s="147" t="s">
        <v>81</v>
      </c>
      <c r="W539" s="147" t="s">
        <v>78</v>
      </c>
      <c r="X539" s="147" t="s">
        <v>81</v>
      </c>
      <c r="Y539" s="147" t="s">
        <v>78</v>
      </c>
      <c r="Z539" s="147" t="s">
        <v>397</v>
      </c>
      <c r="AA539" s="147" t="s">
        <v>81</v>
      </c>
      <c r="AB539" s="147" t="s">
        <v>81</v>
      </c>
      <c r="AC539" s="147" t="s">
        <v>84</v>
      </c>
    </row>
    <row r="540" spans="2:29" x14ac:dyDescent="0.25">
      <c r="B540" s="147" t="s">
        <v>2342</v>
      </c>
      <c r="C540" s="147" t="s">
        <v>78</v>
      </c>
      <c r="G540" s="147" t="s">
        <v>81</v>
      </c>
      <c r="J540" s="147" t="s">
        <v>81</v>
      </c>
      <c r="K540" s="147" t="s">
        <v>78</v>
      </c>
      <c r="L540" s="147" t="s">
        <v>81</v>
      </c>
      <c r="M540" s="147" t="s">
        <v>78</v>
      </c>
      <c r="N540" s="147" t="s">
        <v>81</v>
      </c>
      <c r="O540" s="147">
        <v>0</v>
      </c>
      <c r="P540" s="147" t="s">
        <v>78</v>
      </c>
      <c r="Q540" s="147">
        <v>0</v>
      </c>
      <c r="R540" s="147" t="s">
        <v>78</v>
      </c>
      <c r="S540" s="147">
        <v>0</v>
      </c>
      <c r="T540" s="147" t="s">
        <v>78</v>
      </c>
      <c r="U540" s="147">
        <v>0</v>
      </c>
      <c r="V540" s="147" t="s">
        <v>81</v>
      </c>
      <c r="W540" s="147" t="s">
        <v>78</v>
      </c>
      <c r="X540" s="147" t="s">
        <v>81</v>
      </c>
      <c r="Y540" s="147" t="s">
        <v>78</v>
      </c>
      <c r="Z540" s="147" t="s">
        <v>121</v>
      </c>
      <c r="AA540" s="147" t="s">
        <v>75</v>
      </c>
      <c r="AB540" s="147" t="s">
        <v>81</v>
      </c>
      <c r="AC540" s="147" t="s">
        <v>84</v>
      </c>
    </row>
    <row r="541" spans="2:29" x14ac:dyDescent="0.25">
      <c r="B541" s="147" t="s">
        <v>2343</v>
      </c>
      <c r="C541" s="147" t="s">
        <v>78</v>
      </c>
      <c r="G541" s="147" t="s">
        <v>81</v>
      </c>
      <c r="J541" s="147" t="s">
        <v>81</v>
      </c>
      <c r="K541" s="147" t="s">
        <v>78</v>
      </c>
      <c r="L541" s="147" t="s">
        <v>81</v>
      </c>
      <c r="M541" s="147" t="s">
        <v>78</v>
      </c>
      <c r="N541" s="147" t="s">
        <v>81</v>
      </c>
      <c r="O541" s="147">
        <v>0</v>
      </c>
      <c r="P541" s="147" t="s">
        <v>78</v>
      </c>
      <c r="Q541" s="147">
        <v>0</v>
      </c>
      <c r="R541" s="147" t="s">
        <v>78</v>
      </c>
      <c r="S541" s="147">
        <v>0</v>
      </c>
      <c r="T541" s="147" t="s">
        <v>78</v>
      </c>
      <c r="U541" s="147">
        <v>0</v>
      </c>
      <c r="V541" s="147" t="s">
        <v>81</v>
      </c>
      <c r="W541" s="147" t="s">
        <v>78</v>
      </c>
      <c r="X541" s="147" t="s">
        <v>81</v>
      </c>
      <c r="Y541" s="147" t="s">
        <v>78</v>
      </c>
      <c r="Z541" s="147" t="s">
        <v>1648</v>
      </c>
      <c r="AA541" s="147" t="s">
        <v>81</v>
      </c>
      <c r="AB541" s="147" t="s">
        <v>81</v>
      </c>
      <c r="AC541" s="147" t="s">
        <v>110</v>
      </c>
    </row>
    <row r="542" spans="2:29" x14ac:dyDescent="0.25">
      <c r="B542" s="147" t="s">
        <v>2344</v>
      </c>
      <c r="C542" s="147" t="s">
        <v>78</v>
      </c>
      <c r="G542" s="147" t="s">
        <v>81</v>
      </c>
      <c r="J542" s="147" t="s">
        <v>81</v>
      </c>
      <c r="K542" s="147" t="s">
        <v>78</v>
      </c>
      <c r="L542" s="147" t="s">
        <v>81</v>
      </c>
      <c r="M542" s="147" t="s">
        <v>78</v>
      </c>
      <c r="N542" s="147" t="s">
        <v>81</v>
      </c>
      <c r="O542" s="147">
        <v>0</v>
      </c>
      <c r="P542" s="147" t="s">
        <v>78</v>
      </c>
      <c r="Q542" s="147">
        <v>0</v>
      </c>
      <c r="R542" s="147" t="s">
        <v>78</v>
      </c>
      <c r="S542" s="147">
        <v>0</v>
      </c>
      <c r="T542" s="147" t="s">
        <v>78</v>
      </c>
      <c r="U542" s="147">
        <v>0</v>
      </c>
      <c r="V542" s="147" t="s">
        <v>81</v>
      </c>
      <c r="W542" s="147" t="s">
        <v>78</v>
      </c>
      <c r="X542" s="147" t="s">
        <v>81</v>
      </c>
      <c r="Y542" s="147" t="s">
        <v>78</v>
      </c>
      <c r="Z542" s="147" t="s">
        <v>397</v>
      </c>
      <c r="AA542" s="147" t="s">
        <v>81</v>
      </c>
      <c r="AB542" s="147" t="s">
        <v>81</v>
      </c>
      <c r="AC542" s="147" t="s">
        <v>84</v>
      </c>
    </row>
    <row r="543" spans="2:29" x14ac:dyDescent="0.25">
      <c r="B543" s="147" t="s">
        <v>2345</v>
      </c>
      <c r="C543" s="147" t="s">
        <v>78</v>
      </c>
      <c r="G543" s="147" t="s">
        <v>81</v>
      </c>
      <c r="J543" s="147" t="s">
        <v>81</v>
      </c>
      <c r="K543" s="147" t="s">
        <v>78</v>
      </c>
      <c r="L543" s="147" t="s">
        <v>81</v>
      </c>
      <c r="M543" s="147" t="s">
        <v>78</v>
      </c>
      <c r="N543" s="147" t="s">
        <v>81</v>
      </c>
      <c r="O543" s="147">
        <v>0</v>
      </c>
      <c r="P543" s="147" t="s">
        <v>78</v>
      </c>
      <c r="Q543" s="147">
        <v>0</v>
      </c>
      <c r="R543" s="147" t="s">
        <v>78</v>
      </c>
      <c r="S543" s="147">
        <v>0</v>
      </c>
      <c r="T543" s="147" t="s">
        <v>78</v>
      </c>
      <c r="U543" s="147">
        <v>0</v>
      </c>
      <c r="V543" s="147" t="s">
        <v>81</v>
      </c>
      <c r="W543" s="147" t="s">
        <v>78</v>
      </c>
      <c r="X543" s="147" t="s">
        <v>81</v>
      </c>
      <c r="Y543" s="147" t="s">
        <v>78</v>
      </c>
      <c r="Z543" s="147" t="s">
        <v>397</v>
      </c>
      <c r="AA543" s="147" t="s">
        <v>81</v>
      </c>
      <c r="AB543" s="147" t="s">
        <v>81</v>
      </c>
      <c r="AC543" s="147" t="s">
        <v>110</v>
      </c>
    </row>
    <row r="544" spans="2:29" x14ac:dyDescent="0.25">
      <c r="B544" s="147" t="s">
        <v>2346</v>
      </c>
      <c r="C544" s="147" t="s">
        <v>78</v>
      </c>
      <c r="G544" s="147" t="s">
        <v>81</v>
      </c>
      <c r="J544" s="147" t="s">
        <v>81</v>
      </c>
      <c r="K544" s="147" t="s">
        <v>78</v>
      </c>
      <c r="L544" s="147" t="s">
        <v>81</v>
      </c>
      <c r="M544" s="147" t="s">
        <v>78</v>
      </c>
      <c r="N544" s="147" t="s">
        <v>81</v>
      </c>
      <c r="O544" s="147">
        <v>0</v>
      </c>
      <c r="P544" s="147" t="s">
        <v>78</v>
      </c>
      <c r="Q544" s="147">
        <v>0</v>
      </c>
      <c r="R544" s="147" t="s">
        <v>78</v>
      </c>
      <c r="S544" s="147">
        <v>0</v>
      </c>
      <c r="T544" s="147" t="s">
        <v>78</v>
      </c>
      <c r="U544" s="147">
        <v>0</v>
      </c>
      <c r="V544" s="147" t="s">
        <v>81</v>
      </c>
      <c r="W544" s="147" t="s">
        <v>78</v>
      </c>
      <c r="X544" s="147" t="s">
        <v>81</v>
      </c>
      <c r="Y544" s="147" t="s">
        <v>78</v>
      </c>
      <c r="Z544" s="147" t="s">
        <v>397</v>
      </c>
      <c r="AA544" s="147" t="s">
        <v>75</v>
      </c>
      <c r="AB544" s="147" t="s">
        <v>81</v>
      </c>
      <c r="AC544" s="147" t="s">
        <v>110</v>
      </c>
    </row>
    <row r="545" spans="2:29" x14ac:dyDescent="0.25">
      <c r="B545" s="147" t="s">
        <v>2347</v>
      </c>
      <c r="C545" s="147" t="s">
        <v>78</v>
      </c>
      <c r="G545" s="147" t="s">
        <v>81</v>
      </c>
      <c r="J545" s="147" t="s">
        <v>81</v>
      </c>
      <c r="K545" s="147" t="s">
        <v>78</v>
      </c>
      <c r="L545" s="147" t="s">
        <v>81</v>
      </c>
      <c r="M545" s="147" t="s">
        <v>78</v>
      </c>
      <c r="N545" s="147" t="s">
        <v>81</v>
      </c>
      <c r="O545" s="147">
        <v>0</v>
      </c>
      <c r="P545" s="147" t="s">
        <v>78</v>
      </c>
      <c r="Q545" s="147">
        <v>0</v>
      </c>
      <c r="R545" s="147" t="s">
        <v>78</v>
      </c>
      <c r="S545" s="147">
        <v>0</v>
      </c>
      <c r="T545" s="147" t="s">
        <v>78</v>
      </c>
      <c r="U545" s="147">
        <v>0</v>
      </c>
      <c r="V545" s="147" t="s">
        <v>81</v>
      </c>
      <c r="W545" s="147" t="s">
        <v>78</v>
      </c>
      <c r="X545" s="147" t="s">
        <v>81</v>
      </c>
      <c r="Y545" s="147" t="s">
        <v>78</v>
      </c>
      <c r="Z545" s="147" t="s">
        <v>1648</v>
      </c>
      <c r="AA545" s="147" t="s">
        <v>75</v>
      </c>
      <c r="AB545" s="147" t="s">
        <v>81</v>
      </c>
      <c r="AC545" s="147" t="s">
        <v>84</v>
      </c>
    </row>
    <row r="546" spans="2:29" x14ac:dyDescent="0.25">
      <c r="B546" s="147" t="s">
        <v>2348</v>
      </c>
      <c r="C546" s="147" t="s">
        <v>78</v>
      </c>
      <c r="G546" s="147" t="s">
        <v>81</v>
      </c>
      <c r="J546" s="147" t="s">
        <v>81</v>
      </c>
      <c r="K546" s="147" t="s">
        <v>78</v>
      </c>
      <c r="L546" s="147" t="s">
        <v>81</v>
      </c>
      <c r="M546" s="147" t="s">
        <v>78</v>
      </c>
      <c r="N546" s="147" t="s">
        <v>81</v>
      </c>
      <c r="O546" s="147">
        <v>0</v>
      </c>
      <c r="P546" s="147" t="s">
        <v>78</v>
      </c>
      <c r="Q546" s="147">
        <v>0</v>
      </c>
      <c r="R546" s="147" t="s">
        <v>78</v>
      </c>
      <c r="S546" s="147">
        <v>0</v>
      </c>
      <c r="T546" s="147" t="s">
        <v>78</v>
      </c>
      <c r="U546" s="147">
        <v>0</v>
      </c>
      <c r="V546" s="147" t="s">
        <v>81</v>
      </c>
      <c r="W546" s="147" t="s">
        <v>78</v>
      </c>
      <c r="X546" s="147" t="s">
        <v>81</v>
      </c>
      <c r="Y546" s="147" t="s">
        <v>78</v>
      </c>
      <c r="Z546" s="147" t="s">
        <v>121</v>
      </c>
      <c r="AA546" s="147" t="s">
        <v>75</v>
      </c>
      <c r="AB546" s="147" t="s">
        <v>75</v>
      </c>
      <c r="AC546" s="147" t="s">
        <v>84</v>
      </c>
    </row>
    <row r="547" spans="2:29" x14ac:dyDescent="0.25">
      <c r="B547" s="147" t="s">
        <v>2349</v>
      </c>
      <c r="C547" s="147" t="s">
        <v>78</v>
      </c>
      <c r="G547" s="147" t="s">
        <v>81</v>
      </c>
      <c r="J547" s="147" t="s">
        <v>81</v>
      </c>
      <c r="K547" s="147" t="s">
        <v>78</v>
      </c>
      <c r="L547" s="147" t="s">
        <v>81</v>
      </c>
      <c r="M547" s="147" t="s">
        <v>78</v>
      </c>
      <c r="N547" s="147" t="s">
        <v>81</v>
      </c>
      <c r="O547" s="147">
        <v>0</v>
      </c>
      <c r="P547" s="147" t="s">
        <v>78</v>
      </c>
      <c r="Q547" s="147">
        <v>0</v>
      </c>
      <c r="R547" s="147" t="s">
        <v>78</v>
      </c>
      <c r="S547" s="147">
        <v>0</v>
      </c>
      <c r="T547" s="147" t="s">
        <v>78</v>
      </c>
      <c r="U547" s="147">
        <v>0</v>
      </c>
      <c r="V547" s="147" t="s">
        <v>81</v>
      </c>
      <c r="W547" s="147" t="s">
        <v>78</v>
      </c>
      <c r="X547" s="147" t="s">
        <v>81</v>
      </c>
      <c r="Y547" s="147" t="s">
        <v>78</v>
      </c>
      <c r="Z547" s="147" t="s">
        <v>1648</v>
      </c>
      <c r="AA547" s="147" t="s">
        <v>81</v>
      </c>
      <c r="AB547" s="147" t="s">
        <v>81</v>
      </c>
      <c r="AC547" s="147" t="s">
        <v>84</v>
      </c>
    </row>
    <row r="548" spans="2:29" x14ac:dyDescent="0.25">
      <c r="B548" s="147" t="s">
        <v>2350</v>
      </c>
      <c r="C548" s="147" t="s">
        <v>78</v>
      </c>
      <c r="G548" s="147" t="s">
        <v>81</v>
      </c>
      <c r="J548" s="147" t="s">
        <v>81</v>
      </c>
      <c r="K548" s="147" t="s">
        <v>78</v>
      </c>
      <c r="L548" s="147" t="s">
        <v>81</v>
      </c>
      <c r="M548" s="147" t="s">
        <v>78</v>
      </c>
      <c r="N548" s="147" t="s">
        <v>81</v>
      </c>
      <c r="O548" s="147">
        <v>0</v>
      </c>
      <c r="P548" s="147" t="s">
        <v>78</v>
      </c>
      <c r="Q548" s="147">
        <v>0</v>
      </c>
      <c r="R548" s="147" t="s">
        <v>78</v>
      </c>
      <c r="S548" s="147">
        <v>0</v>
      </c>
      <c r="T548" s="147" t="s">
        <v>78</v>
      </c>
      <c r="U548" s="147">
        <v>0</v>
      </c>
      <c r="V548" s="147" t="s">
        <v>81</v>
      </c>
      <c r="W548" s="147" t="s">
        <v>78</v>
      </c>
      <c r="X548" s="147" t="s">
        <v>81</v>
      </c>
      <c r="Y548" s="147" t="s">
        <v>78</v>
      </c>
      <c r="Z548" s="147" t="s">
        <v>121</v>
      </c>
      <c r="AA548" s="147" t="s">
        <v>75</v>
      </c>
      <c r="AB548" s="147" t="s">
        <v>81</v>
      </c>
      <c r="AC548" s="147" t="s">
        <v>84</v>
      </c>
    </row>
    <row r="549" spans="2:29" x14ac:dyDescent="0.25">
      <c r="B549" s="147" t="s">
        <v>2351</v>
      </c>
      <c r="C549" s="147" t="s">
        <v>78</v>
      </c>
      <c r="G549" s="147" t="s">
        <v>81</v>
      </c>
      <c r="J549" s="147" t="s">
        <v>81</v>
      </c>
      <c r="K549" s="147" t="s">
        <v>78</v>
      </c>
      <c r="L549" s="147" t="s">
        <v>81</v>
      </c>
      <c r="M549" s="147" t="s">
        <v>78</v>
      </c>
      <c r="N549" s="147" t="s">
        <v>81</v>
      </c>
      <c r="O549" s="147">
        <v>0</v>
      </c>
      <c r="P549" s="147" t="s">
        <v>78</v>
      </c>
      <c r="Q549" s="147">
        <v>0</v>
      </c>
      <c r="R549" s="147" t="s">
        <v>78</v>
      </c>
      <c r="S549" s="147">
        <v>0</v>
      </c>
      <c r="T549" s="147" t="s">
        <v>78</v>
      </c>
      <c r="U549" s="147">
        <v>0</v>
      </c>
      <c r="V549" s="147" t="s">
        <v>81</v>
      </c>
      <c r="W549" s="147" t="s">
        <v>78</v>
      </c>
      <c r="X549" s="147" t="s">
        <v>81</v>
      </c>
      <c r="Y549" s="147" t="s">
        <v>78</v>
      </c>
      <c r="Z549" s="147" t="s">
        <v>1648</v>
      </c>
      <c r="AA549" s="147" t="s">
        <v>75</v>
      </c>
      <c r="AB549" s="147" t="s">
        <v>81</v>
      </c>
      <c r="AC549" s="147" t="s">
        <v>84</v>
      </c>
    </row>
    <row r="550" spans="2:29" x14ac:dyDescent="0.25">
      <c r="B550" s="147" t="s">
        <v>2352</v>
      </c>
      <c r="C550" s="147" t="s">
        <v>78</v>
      </c>
      <c r="G550" s="147" t="s">
        <v>81</v>
      </c>
      <c r="J550" s="147" t="s">
        <v>75</v>
      </c>
      <c r="K550" s="147" t="s">
        <v>2188</v>
      </c>
      <c r="L550" s="147" t="s">
        <v>75</v>
      </c>
      <c r="M550" s="147" t="s">
        <v>2189</v>
      </c>
      <c r="N550" s="147" t="s">
        <v>75</v>
      </c>
      <c r="O550" s="147">
        <v>0</v>
      </c>
      <c r="P550" s="147" t="s">
        <v>78</v>
      </c>
      <c r="Q550" s="147">
        <v>1</v>
      </c>
      <c r="R550" s="147" t="s">
        <v>2190</v>
      </c>
      <c r="S550" s="147">
        <v>1</v>
      </c>
      <c r="T550" s="147" t="s">
        <v>2191</v>
      </c>
      <c r="U550" s="147">
        <v>2</v>
      </c>
      <c r="V550" s="147" t="s">
        <v>81</v>
      </c>
      <c r="W550" s="147" t="s">
        <v>78</v>
      </c>
      <c r="X550" s="147" t="s">
        <v>75</v>
      </c>
      <c r="Y550" s="147" t="s">
        <v>2192</v>
      </c>
      <c r="Z550" s="147" t="s">
        <v>121</v>
      </c>
      <c r="AA550" s="147" t="s">
        <v>75</v>
      </c>
      <c r="AB550" s="147" t="s">
        <v>75</v>
      </c>
      <c r="AC550" s="147" t="s">
        <v>84</v>
      </c>
    </row>
    <row r="551" spans="2:29" x14ac:dyDescent="0.25">
      <c r="B551" s="147" t="s">
        <v>2353</v>
      </c>
      <c r="C551" s="147" t="s">
        <v>2193</v>
      </c>
      <c r="G551" s="147" t="s">
        <v>81</v>
      </c>
      <c r="J551" s="147" t="s">
        <v>81</v>
      </c>
      <c r="K551" s="147" t="s">
        <v>78</v>
      </c>
      <c r="L551" s="147" t="s">
        <v>75</v>
      </c>
      <c r="M551" s="147" t="s">
        <v>2194</v>
      </c>
      <c r="N551" s="147" t="s">
        <v>75</v>
      </c>
      <c r="O551" s="147">
        <v>1</v>
      </c>
      <c r="P551" s="147" t="s">
        <v>2037</v>
      </c>
      <c r="Q551" s="147">
        <v>0</v>
      </c>
      <c r="R551" s="147" t="s">
        <v>78</v>
      </c>
      <c r="S551" s="147">
        <v>0</v>
      </c>
      <c r="T551" s="147" t="s">
        <v>78</v>
      </c>
      <c r="U551" s="147">
        <v>1</v>
      </c>
      <c r="V551" s="147" t="s">
        <v>81</v>
      </c>
      <c r="W551" s="147" t="s">
        <v>78</v>
      </c>
      <c r="X551" s="147" t="s">
        <v>81</v>
      </c>
      <c r="Y551" s="147" t="s">
        <v>78</v>
      </c>
      <c r="Z551" s="147" t="s">
        <v>121</v>
      </c>
      <c r="AA551" s="147" t="s">
        <v>75</v>
      </c>
      <c r="AB551" s="147" t="s">
        <v>81</v>
      </c>
      <c r="AC551" s="147" t="s">
        <v>84</v>
      </c>
    </row>
    <row r="552" spans="2:29" x14ac:dyDescent="0.25">
      <c r="B552" s="147" t="s">
        <v>2354</v>
      </c>
      <c r="C552" s="147" t="s">
        <v>78</v>
      </c>
      <c r="G552" s="147" t="s">
        <v>81</v>
      </c>
      <c r="J552" s="147" t="s">
        <v>81</v>
      </c>
      <c r="K552" s="147" t="s">
        <v>78</v>
      </c>
      <c r="L552" s="147" t="s">
        <v>81</v>
      </c>
      <c r="M552" s="147" t="s">
        <v>78</v>
      </c>
      <c r="N552" s="147" t="s">
        <v>81</v>
      </c>
      <c r="O552" s="147">
        <v>0</v>
      </c>
      <c r="P552" s="147" t="s">
        <v>78</v>
      </c>
      <c r="Q552" s="147">
        <v>0</v>
      </c>
      <c r="R552" s="147" t="s">
        <v>78</v>
      </c>
      <c r="S552" s="147">
        <v>0</v>
      </c>
      <c r="T552" s="147" t="s">
        <v>78</v>
      </c>
      <c r="U552" s="147">
        <v>0</v>
      </c>
      <c r="V552" s="147" t="s">
        <v>81</v>
      </c>
      <c r="W552" s="147" t="s">
        <v>78</v>
      </c>
      <c r="X552" s="147" t="s">
        <v>81</v>
      </c>
      <c r="Y552" s="147" t="s">
        <v>78</v>
      </c>
      <c r="Z552" s="147" t="s">
        <v>121</v>
      </c>
      <c r="AA552" s="147" t="s">
        <v>75</v>
      </c>
      <c r="AB552" s="147" t="s">
        <v>81</v>
      </c>
      <c r="AC552" s="147" t="s">
        <v>84</v>
      </c>
    </row>
    <row r="553" spans="2:29" x14ac:dyDescent="0.25">
      <c r="B553" s="147" t="s">
        <v>2355</v>
      </c>
      <c r="C553" s="147" t="s">
        <v>78</v>
      </c>
      <c r="G553" s="147" t="s">
        <v>81</v>
      </c>
      <c r="J553" s="147" t="s">
        <v>81</v>
      </c>
      <c r="K553" s="147" t="s">
        <v>78</v>
      </c>
      <c r="L553" s="147" t="s">
        <v>81</v>
      </c>
      <c r="M553" s="147" t="s">
        <v>78</v>
      </c>
      <c r="N553" s="147" t="s">
        <v>81</v>
      </c>
      <c r="O553" s="147">
        <v>0</v>
      </c>
      <c r="P553" s="147" t="s">
        <v>78</v>
      </c>
      <c r="Q553" s="147">
        <v>0</v>
      </c>
      <c r="R553" s="147" t="s">
        <v>78</v>
      </c>
      <c r="S553" s="147">
        <v>0</v>
      </c>
      <c r="T553" s="147" t="s">
        <v>78</v>
      </c>
      <c r="U553" s="147">
        <v>0</v>
      </c>
      <c r="V553" s="147" t="s">
        <v>81</v>
      </c>
      <c r="W553" s="147" t="s">
        <v>78</v>
      </c>
      <c r="X553" s="147" t="s">
        <v>81</v>
      </c>
      <c r="Y553" s="147" t="s">
        <v>78</v>
      </c>
      <c r="Z553" s="147" t="s">
        <v>397</v>
      </c>
      <c r="AA553" s="147" t="s">
        <v>81</v>
      </c>
      <c r="AB553" s="147" t="s">
        <v>81</v>
      </c>
      <c r="AC553" s="147" t="s">
        <v>84</v>
      </c>
    </row>
    <row r="554" spans="2:29" x14ac:dyDescent="0.25">
      <c r="B554" s="147" t="s">
        <v>2356</v>
      </c>
      <c r="C554" s="147" t="s">
        <v>78</v>
      </c>
      <c r="G554" s="147" t="s">
        <v>81</v>
      </c>
      <c r="J554" s="147" t="s">
        <v>81</v>
      </c>
      <c r="K554" s="147" t="s">
        <v>78</v>
      </c>
      <c r="L554" s="147" t="s">
        <v>81</v>
      </c>
      <c r="M554" s="147" t="s">
        <v>78</v>
      </c>
      <c r="N554" s="147" t="s">
        <v>81</v>
      </c>
      <c r="O554" s="147">
        <v>0</v>
      </c>
      <c r="P554" s="147" t="s">
        <v>78</v>
      </c>
      <c r="Q554" s="147">
        <v>0</v>
      </c>
      <c r="R554" s="147" t="s">
        <v>78</v>
      </c>
      <c r="S554" s="147">
        <v>0</v>
      </c>
      <c r="T554" s="147" t="s">
        <v>78</v>
      </c>
      <c r="U554" s="147">
        <v>0</v>
      </c>
      <c r="V554" s="147" t="s">
        <v>81</v>
      </c>
      <c r="W554" s="147" t="s">
        <v>78</v>
      </c>
      <c r="X554" s="147" t="s">
        <v>81</v>
      </c>
      <c r="Y554" s="147" t="s">
        <v>78</v>
      </c>
      <c r="Z554" s="147" t="s">
        <v>397</v>
      </c>
      <c r="AA554" s="147" t="s">
        <v>75</v>
      </c>
      <c r="AB554" s="147" t="s">
        <v>81</v>
      </c>
      <c r="AC554" s="147" t="s">
        <v>110</v>
      </c>
    </row>
    <row r="555" spans="2:29" x14ac:dyDescent="0.25">
      <c r="B555" s="147" t="s">
        <v>2357</v>
      </c>
      <c r="C555" s="147" t="s">
        <v>78</v>
      </c>
      <c r="G555" s="147" t="s">
        <v>81</v>
      </c>
      <c r="J555" s="147" t="s">
        <v>81</v>
      </c>
      <c r="K555" s="147" t="s">
        <v>78</v>
      </c>
      <c r="L555" s="147" t="s">
        <v>81</v>
      </c>
      <c r="M555" s="147" t="s">
        <v>78</v>
      </c>
      <c r="N555" s="147" t="s">
        <v>81</v>
      </c>
      <c r="O555" s="147">
        <v>0</v>
      </c>
      <c r="P555" s="147" t="s">
        <v>78</v>
      </c>
      <c r="Q555" s="147">
        <v>0</v>
      </c>
      <c r="R555" s="147" t="s">
        <v>78</v>
      </c>
      <c r="S555" s="147">
        <v>0</v>
      </c>
      <c r="T555" s="147" t="s">
        <v>78</v>
      </c>
      <c r="U555" s="147">
        <v>0</v>
      </c>
      <c r="V555" s="147" t="s">
        <v>81</v>
      </c>
      <c r="W555" s="147" t="s">
        <v>78</v>
      </c>
      <c r="X555" s="147" t="s">
        <v>81</v>
      </c>
      <c r="Y555" s="147" t="s">
        <v>78</v>
      </c>
      <c r="Z555" s="147" t="s">
        <v>1648</v>
      </c>
      <c r="AA555" s="147" t="s">
        <v>81</v>
      </c>
      <c r="AB555" s="147" t="s">
        <v>81</v>
      </c>
      <c r="AC555" s="147" t="s">
        <v>84</v>
      </c>
    </row>
    <row r="556" spans="2:29" x14ac:dyDescent="0.25">
      <c r="B556" s="147" t="s">
        <v>2358</v>
      </c>
      <c r="C556" s="147" t="s">
        <v>78</v>
      </c>
      <c r="G556" s="147" t="s">
        <v>81</v>
      </c>
      <c r="J556" s="147" t="s">
        <v>81</v>
      </c>
      <c r="K556" s="147" t="s">
        <v>78</v>
      </c>
      <c r="L556" s="147" t="s">
        <v>81</v>
      </c>
      <c r="M556" s="147" t="s">
        <v>78</v>
      </c>
      <c r="N556" s="147" t="s">
        <v>81</v>
      </c>
      <c r="O556" s="147">
        <v>0</v>
      </c>
      <c r="P556" s="147" t="s">
        <v>78</v>
      </c>
      <c r="Q556" s="147">
        <v>0</v>
      </c>
      <c r="R556" s="147" t="s">
        <v>78</v>
      </c>
      <c r="S556" s="147">
        <v>0</v>
      </c>
      <c r="T556" s="147" t="s">
        <v>78</v>
      </c>
      <c r="U556" s="147">
        <v>0</v>
      </c>
      <c r="V556" s="147" t="s">
        <v>81</v>
      </c>
      <c r="W556" s="147" t="s">
        <v>78</v>
      </c>
      <c r="X556" s="147" t="s">
        <v>81</v>
      </c>
      <c r="Y556" s="147" t="s">
        <v>78</v>
      </c>
      <c r="Z556" s="147" t="s">
        <v>121</v>
      </c>
      <c r="AA556" s="147" t="s">
        <v>75</v>
      </c>
      <c r="AB556" s="147" t="s">
        <v>81</v>
      </c>
      <c r="AC556" s="147" t="s">
        <v>84</v>
      </c>
    </row>
    <row r="557" spans="2:29" x14ac:dyDescent="0.25">
      <c r="B557" s="147" t="s">
        <v>2359</v>
      </c>
      <c r="C557" s="147" t="s">
        <v>78</v>
      </c>
      <c r="G557" s="147" t="s">
        <v>81</v>
      </c>
      <c r="J557" s="147" t="s">
        <v>81</v>
      </c>
      <c r="K557" s="147" t="s">
        <v>78</v>
      </c>
      <c r="L557" s="147" t="s">
        <v>81</v>
      </c>
      <c r="M557" s="147" t="s">
        <v>78</v>
      </c>
      <c r="N557" s="147" t="s">
        <v>81</v>
      </c>
      <c r="O557" s="147">
        <v>0</v>
      </c>
      <c r="P557" s="147" t="s">
        <v>78</v>
      </c>
      <c r="Q557" s="147">
        <v>0</v>
      </c>
      <c r="R557" s="147" t="s">
        <v>78</v>
      </c>
      <c r="S557" s="147">
        <v>0</v>
      </c>
      <c r="T557" s="147" t="s">
        <v>78</v>
      </c>
      <c r="U557" s="147">
        <v>0</v>
      </c>
      <c r="V557" s="147" t="s">
        <v>81</v>
      </c>
      <c r="W557" s="147" t="s">
        <v>78</v>
      </c>
      <c r="X557" s="147" t="s">
        <v>81</v>
      </c>
      <c r="Y557" s="147" t="s">
        <v>78</v>
      </c>
      <c r="Z557" s="147" t="s">
        <v>121</v>
      </c>
      <c r="AA557" s="147" t="s">
        <v>75</v>
      </c>
      <c r="AB557" s="147" t="s">
        <v>81</v>
      </c>
      <c r="AC557" s="147" t="s">
        <v>84</v>
      </c>
    </row>
    <row r="558" spans="2:29" x14ac:dyDescent="0.25">
      <c r="B558" s="147" t="s">
        <v>2360</v>
      </c>
      <c r="C558" s="147" t="s">
        <v>78</v>
      </c>
      <c r="G558" s="147" t="s">
        <v>81</v>
      </c>
      <c r="J558" s="147" t="s">
        <v>81</v>
      </c>
      <c r="K558" s="147" t="s">
        <v>78</v>
      </c>
      <c r="L558" s="147" t="s">
        <v>75</v>
      </c>
      <c r="M558" s="147" t="s">
        <v>2195</v>
      </c>
      <c r="N558" s="147" t="s">
        <v>75</v>
      </c>
      <c r="O558" s="147">
        <v>0</v>
      </c>
      <c r="P558" s="147" t="s">
        <v>78</v>
      </c>
      <c r="Q558" s="147">
        <v>1</v>
      </c>
      <c r="R558" s="147" t="s">
        <v>2196</v>
      </c>
      <c r="S558" s="147">
        <v>1</v>
      </c>
      <c r="T558" s="147" t="s">
        <v>2197</v>
      </c>
      <c r="U558" s="147">
        <v>2</v>
      </c>
      <c r="V558" s="147" t="s">
        <v>81</v>
      </c>
      <c r="W558" s="147" t="s">
        <v>78</v>
      </c>
      <c r="X558" s="147" t="s">
        <v>81</v>
      </c>
      <c r="Y558" s="147" t="s">
        <v>78</v>
      </c>
      <c r="Z558" s="147" t="s">
        <v>121</v>
      </c>
      <c r="AA558" s="147" t="s">
        <v>75</v>
      </c>
      <c r="AB558" s="147" t="s">
        <v>81</v>
      </c>
      <c r="AC558" s="147" t="s">
        <v>84</v>
      </c>
    </row>
    <row r="559" spans="2:29" x14ac:dyDescent="0.25">
      <c r="B559" s="147" t="s">
        <v>2361</v>
      </c>
      <c r="C559" s="147" t="s">
        <v>78</v>
      </c>
      <c r="G559" s="147" t="s">
        <v>81</v>
      </c>
      <c r="J559" s="147" t="s">
        <v>81</v>
      </c>
      <c r="K559" s="147" t="s">
        <v>78</v>
      </c>
      <c r="L559" s="147" t="s">
        <v>81</v>
      </c>
      <c r="M559" s="147" t="s">
        <v>78</v>
      </c>
      <c r="N559" s="147" t="s">
        <v>81</v>
      </c>
      <c r="O559" s="147">
        <v>0</v>
      </c>
      <c r="P559" s="147" t="s">
        <v>78</v>
      </c>
      <c r="Q559" s="147">
        <v>0</v>
      </c>
      <c r="R559" s="147" t="s">
        <v>78</v>
      </c>
      <c r="S559" s="147">
        <v>0</v>
      </c>
      <c r="T559" s="147" t="s">
        <v>78</v>
      </c>
      <c r="U559" s="147">
        <v>0</v>
      </c>
      <c r="V559" s="147" t="s">
        <v>81</v>
      </c>
      <c r="W559" s="147" t="s">
        <v>78</v>
      </c>
      <c r="X559" s="147" t="s">
        <v>81</v>
      </c>
      <c r="Y559" s="147" t="s">
        <v>78</v>
      </c>
      <c r="Z559" s="147" t="s">
        <v>121</v>
      </c>
      <c r="AA559" s="147" t="s">
        <v>75</v>
      </c>
      <c r="AB559" s="147" t="s">
        <v>75</v>
      </c>
      <c r="AC559" s="147" t="s">
        <v>84</v>
      </c>
    </row>
    <row r="560" spans="2:29" x14ac:dyDescent="0.25">
      <c r="B560" s="147" t="s">
        <v>2362</v>
      </c>
      <c r="C560" s="147" t="s">
        <v>2193</v>
      </c>
      <c r="G560" s="147" t="s">
        <v>81</v>
      </c>
      <c r="J560" s="147" t="s">
        <v>81</v>
      </c>
      <c r="K560" s="147" t="s">
        <v>78</v>
      </c>
      <c r="L560" s="147" t="s">
        <v>75</v>
      </c>
      <c r="M560" s="147" t="s">
        <v>2194</v>
      </c>
      <c r="N560" s="147" t="s">
        <v>75</v>
      </c>
      <c r="O560" s="147">
        <v>1</v>
      </c>
      <c r="P560" s="147" t="s">
        <v>2037</v>
      </c>
      <c r="Q560" s="147">
        <v>0</v>
      </c>
      <c r="R560" s="147" t="s">
        <v>78</v>
      </c>
      <c r="S560" s="147">
        <v>0</v>
      </c>
      <c r="T560" s="147" t="s">
        <v>78</v>
      </c>
      <c r="U560" s="147">
        <v>1</v>
      </c>
      <c r="V560" s="147" t="s">
        <v>81</v>
      </c>
      <c r="W560" s="147" t="s">
        <v>78</v>
      </c>
      <c r="X560" s="147" t="s">
        <v>81</v>
      </c>
      <c r="Y560" s="147" t="s">
        <v>78</v>
      </c>
      <c r="Z560" s="147" t="s">
        <v>121</v>
      </c>
      <c r="AA560" s="147" t="s">
        <v>75</v>
      </c>
      <c r="AB560" s="147" t="s">
        <v>81</v>
      </c>
      <c r="AC560" s="147" t="s">
        <v>84</v>
      </c>
    </row>
    <row r="561" spans="2:29" x14ac:dyDescent="0.25">
      <c r="B561" s="147" t="s">
        <v>2363</v>
      </c>
      <c r="C561" s="147" t="s">
        <v>2193</v>
      </c>
      <c r="G561" s="147" t="s">
        <v>81</v>
      </c>
      <c r="J561" s="147" t="s">
        <v>81</v>
      </c>
      <c r="K561" s="147" t="s">
        <v>78</v>
      </c>
      <c r="L561" s="147" t="s">
        <v>75</v>
      </c>
      <c r="M561" s="147" t="s">
        <v>2194</v>
      </c>
      <c r="N561" s="147" t="s">
        <v>75</v>
      </c>
      <c r="O561" s="147">
        <v>1</v>
      </c>
      <c r="P561" s="147" t="s">
        <v>2037</v>
      </c>
      <c r="Q561" s="147">
        <v>0</v>
      </c>
      <c r="R561" s="147" t="s">
        <v>78</v>
      </c>
      <c r="S561" s="147">
        <v>0</v>
      </c>
      <c r="T561" s="147" t="s">
        <v>78</v>
      </c>
      <c r="U561" s="147">
        <v>1</v>
      </c>
      <c r="V561" s="147" t="s">
        <v>81</v>
      </c>
      <c r="W561" s="147" t="s">
        <v>78</v>
      </c>
      <c r="X561" s="147" t="s">
        <v>81</v>
      </c>
      <c r="Y561" s="147" t="s">
        <v>78</v>
      </c>
      <c r="Z561" s="147" t="s">
        <v>121</v>
      </c>
      <c r="AA561" s="147" t="s">
        <v>75</v>
      </c>
      <c r="AB561" s="147" t="s">
        <v>81</v>
      </c>
      <c r="AC561" s="147" t="s">
        <v>84</v>
      </c>
    </row>
    <row r="562" spans="2:29" x14ac:dyDescent="0.25">
      <c r="B562" s="147" t="s">
        <v>2364</v>
      </c>
      <c r="C562" s="147" t="s">
        <v>78</v>
      </c>
      <c r="G562" s="147" t="s">
        <v>81</v>
      </c>
      <c r="J562" s="147" t="s">
        <v>81</v>
      </c>
      <c r="K562" s="147" t="s">
        <v>78</v>
      </c>
      <c r="L562" s="147" t="s">
        <v>81</v>
      </c>
      <c r="M562" s="147" t="s">
        <v>78</v>
      </c>
      <c r="N562" s="147" t="s">
        <v>81</v>
      </c>
      <c r="O562" s="147">
        <v>0</v>
      </c>
      <c r="P562" s="147" t="s">
        <v>78</v>
      </c>
      <c r="Q562" s="147">
        <v>0</v>
      </c>
      <c r="R562" s="147" t="s">
        <v>78</v>
      </c>
      <c r="S562" s="147">
        <v>0</v>
      </c>
      <c r="T562" s="147" t="s">
        <v>78</v>
      </c>
      <c r="U562" s="147">
        <v>0</v>
      </c>
      <c r="V562" s="147" t="s">
        <v>81</v>
      </c>
      <c r="W562" s="147" t="s">
        <v>78</v>
      </c>
      <c r="X562" s="147" t="s">
        <v>81</v>
      </c>
      <c r="Y562" s="147" t="s">
        <v>78</v>
      </c>
      <c r="Z562" s="147" t="s">
        <v>121</v>
      </c>
      <c r="AA562" s="147" t="s">
        <v>75</v>
      </c>
      <c r="AB562" s="147" t="s">
        <v>81</v>
      </c>
      <c r="AC562" s="147" t="s">
        <v>84</v>
      </c>
    </row>
    <row r="563" spans="2:29" x14ac:dyDescent="0.25">
      <c r="B563" s="147" t="s">
        <v>2365</v>
      </c>
      <c r="C563" s="147" t="s">
        <v>78</v>
      </c>
      <c r="G563" s="147" t="s">
        <v>81</v>
      </c>
      <c r="J563" s="147" t="s">
        <v>81</v>
      </c>
      <c r="K563" s="147" t="s">
        <v>78</v>
      </c>
      <c r="L563" s="147" t="s">
        <v>75</v>
      </c>
      <c r="M563" s="147" t="s">
        <v>2198</v>
      </c>
      <c r="N563" s="147" t="s">
        <v>81</v>
      </c>
      <c r="O563" s="147">
        <v>0</v>
      </c>
      <c r="P563" s="147" t="s">
        <v>78</v>
      </c>
      <c r="Q563" s="147">
        <v>0</v>
      </c>
      <c r="R563" s="147" t="s">
        <v>78</v>
      </c>
      <c r="S563" s="147">
        <v>0</v>
      </c>
      <c r="T563" s="147" t="s">
        <v>78</v>
      </c>
      <c r="U563" s="147">
        <v>0</v>
      </c>
      <c r="V563" s="147" t="s">
        <v>81</v>
      </c>
      <c r="W563" s="147" t="s">
        <v>78</v>
      </c>
      <c r="X563" s="147" t="s">
        <v>81</v>
      </c>
      <c r="Y563" s="147" t="s">
        <v>78</v>
      </c>
      <c r="Z563" s="147" t="s">
        <v>121</v>
      </c>
      <c r="AA563" s="147" t="s">
        <v>75</v>
      </c>
      <c r="AB563" s="147" t="s">
        <v>81</v>
      </c>
      <c r="AC563" s="147" t="s">
        <v>84</v>
      </c>
    </row>
    <row r="564" spans="2:29" x14ac:dyDescent="0.25">
      <c r="B564" s="147" t="s">
        <v>2366</v>
      </c>
      <c r="C564" s="147" t="s">
        <v>78</v>
      </c>
      <c r="G564" s="147" t="s">
        <v>81</v>
      </c>
      <c r="J564" s="147" t="s">
        <v>81</v>
      </c>
      <c r="K564" s="147" t="s">
        <v>78</v>
      </c>
      <c r="L564" s="147" t="s">
        <v>75</v>
      </c>
      <c r="M564" s="147" t="s">
        <v>2198</v>
      </c>
      <c r="N564" s="147" t="s">
        <v>81</v>
      </c>
      <c r="O564" s="147">
        <v>0</v>
      </c>
      <c r="P564" s="147" t="s">
        <v>78</v>
      </c>
      <c r="Q564" s="147">
        <v>0</v>
      </c>
      <c r="R564" s="147" t="s">
        <v>78</v>
      </c>
      <c r="S564" s="147">
        <v>0</v>
      </c>
      <c r="T564" s="147" t="s">
        <v>78</v>
      </c>
      <c r="U564" s="147">
        <v>0</v>
      </c>
      <c r="V564" s="147" t="s">
        <v>81</v>
      </c>
      <c r="W564" s="147" t="s">
        <v>78</v>
      </c>
      <c r="X564" s="147" t="s">
        <v>81</v>
      </c>
      <c r="Y564" s="147" t="s">
        <v>78</v>
      </c>
      <c r="Z564" s="147" t="s">
        <v>121</v>
      </c>
      <c r="AA564" s="147" t="s">
        <v>75</v>
      </c>
      <c r="AB564" s="147" t="s">
        <v>81</v>
      </c>
      <c r="AC564" s="147" t="s">
        <v>84</v>
      </c>
    </row>
    <row r="565" spans="2:29" x14ac:dyDescent="0.25">
      <c r="B565" s="147" t="s">
        <v>2367</v>
      </c>
      <c r="C565" s="147" t="s">
        <v>78</v>
      </c>
      <c r="G565" s="147" t="s">
        <v>81</v>
      </c>
      <c r="J565" s="147" t="s">
        <v>75</v>
      </c>
      <c r="K565" s="147" t="s">
        <v>2199</v>
      </c>
      <c r="L565" s="147" t="s">
        <v>81</v>
      </c>
      <c r="M565" s="147" t="s">
        <v>78</v>
      </c>
      <c r="N565" s="147" t="s">
        <v>81</v>
      </c>
      <c r="O565" s="147">
        <v>0</v>
      </c>
      <c r="P565" s="147" t="s">
        <v>78</v>
      </c>
      <c r="Q565" s="147">
        <v>0</v>
      </c>
      <c r="R565" s="147" t="s">
        <v>78</v>
      </c>
      <c r="S565" s="147">
        <v>0</v>
      </c>
      <c r="T565" s="147" t="s">
        <v>78</v>
      </c>
      <c r="U565" s="147">
        <v>0</v>
      </c>
      <c r="V565" s="147" t="s">
        <v>81</v>
      </c>
      <c r="W565" s="147" t="s">
        <v>78</v>
      </c>
      <c r="X565" s="147" t="s">
        <v>81</v>
      </c>
      <c r="Y565" s="147" t="s">
        <v>78</v>
      </c>
      <c r="Z565" s="147" t="s">
        <v>121</v>
      </c>
      <c r="AA565" s="147" t="s">
        <v>75</v>
      </c>
      <c r="AB565" s="147" t="s">
        <v>75</v>
      </c>
      <c r="AC565" s="147" t="s">
        <v>84</v>
      </c>
    </row>
    <row r="566" spans="2:29" x14ac:dyDescent="0.25">
      <c r="B566" s="147" t="s">
        <v>2368</v>
      </c>
      <c r="C566" s="147" t="s">
        <v>78</v>
      </c>
      <c r="G566" s="147" t="s">
        <v>81</v>
      </c>
      <c r="J566" s="147" t="s">
        <v>81</v>
      </c>
      <c r="K566" s="147" t="s">
        <v>78</v>
      </c>
      <c r="L566" s="147" t="s">
        <v>81</v>
      </c>
      <c r="M566" s="147" t="s">
        <v>78</v>
      </c>
      <c r="N566" s="147" t="s">
        <v>81</v>
      </c>
      <c r="O566" s="147">
        <v>0</v>
      </c>
      <c r="P566" s="147" t="s">
        <v>78</v>
      </c>
      <c r="Q566" s="147">
        <v>0</v>
      </c>
      <c r="R566" s="147" t="s">
        <v>78</v>
      </c>
      <c r="S566" s="147">
        <v>0</v>
      </c>
      <c r="T566" s="147" t="s">
        <v>78</v>
      </c>
      <c r="U566" s="147">
        <v>0</v>
      </c>
      <c r="V566" s="147" t="s">
        <v>81</v>
      </c>
      <c r="W566" s="147" t="s">
        <v>78</v>
      </c>
      <c r="X566" s="147" t="s">
        <v>81</v>
      </c>
      <c r="Y566" s="147" t="s">
        <v>78</v>
      </c>
      <c r="Z566" s="147" t="s">
        <v>121</v>
      </c>
      <c r="AA566" s="147" t="s">
        <v>75</v>
      </c>
      <c r="AB566" s="147" t="s">
        <v>81</v>
      </c>
      <c r="AC566" s="147" t="s">
        <v>84</v>
      </c>
    </row>
    <row r="567" spans="2:29" x14ac:dyDescent="0.25">
      <c r="B567" s="147" t="s">
        <v>2369</v>
      </c>
      <c r="C567" s="147" t="s">
        <v>78</v>
      </c>
      <c r="G567" s="147" t="s">
        <v>81</v>
      </c>
      <c r="J567" s="147" t="s">
        <v>81</v>
      </c>
      <c r="K567" s="147" t="s">
        <v>78</v>
      </c>
      <c r="L567" s="147" t="s">
        <v>81</v>
      </c>
      <c r="M567" s="147" t="s">
        <v>78</v>
      </c>
      <c r="N567" s="147" t="s">
        <v>81</v>
      </c>
      <c r="O567" s="147">
        <v>0</v>
      </c>
      <c r="P567" s="147" t="s">
        <v>78</v>
      </c>
      <c r="Q567" s="147">
        <v>0</v>
      </c>
      <c r="R567" s="147" t="s">
        <v>78</v>
      </c>
      <c r="S567" s="147">
        <v>0</v>
      </c>
      <c r="T567" s="147" t="s">
        <v>78</v>
      </c>
      <c r="U567" s="147">
        <v>0</v>
      </c>
      <c r="V567" s="147" t="s">
        <v>81</v>
      </c>
      <c r="W567" s="147" t="s">
        <v>78</v>
      </c>
      <c r="X567" s="147" t="s">
        <v>81</v>
      </c>
      <c r="Y567" s="147" t="s">
        <v>78</v>
      </c>
      <c r="Z567" s="147" t="s">
        <v>121</v>
      </c>
      <c r="AA567" s="147" t="s">
        <v>75</v>
      </c>
      <c r="AB567" s="147" t="s">
        <v>81</v>
      </c>
      <c r="AC567" s="147" t="s">
        <v>84</v>
      </c>
    </row>
    <row r="568" spans="2:29" x14ac:dyDescent="0.25">
      <c r="B568" s="147" t="s">
        <v>2370</v>
      </c>
      <c r="C568" s="147" t="s">
        <v>78</v>
      </c>
      <c r="G568" s="147" t="s">
        <v>81</v>
      </c>
      <c r="J568" s="147" t="s">
        <v>81</v>
      </c>
      <c r="K568" s="147" t="s">
        <v>78</v>
      </c>
      <c r="L568" s="147" t="s">
        <v>75</v>
      </c>
      <c r="M568" s="147" t="s">
        <v>2200</v>
      </c>
      <c r="N568" s="147" t="s">
        <v>75</v>
      </c>
      <c r="O568" s="147">
        <v>1</v>
      </c>
      <c r="P568" s="147" t="s">
        <v>2201</v>
      </c>
      <c r="Q568" s="147">
        <v>1</v>
      </c>
      <c r="R568" s="147" t="s">
        <v>2202</v>
      </c>
      <c r="S568" s="147">
        <v>0</v>
      </c>
      <c r="T568" s="147" t="s">
        <v>78</v>
      </c>
      <c r="U568" s="147">
        <v>2</v>
      </c>
      <c r="V568" s="147" t="s">
        <v>81</v>
      </c>
      <c r="W568" s="147" t="s">
        <v>78</v>
      </c>
      <c r="X568" s="147" t="s">
        <v>81</v>
      </c>
      <c r="Y568" s="147" t="s">
        <v>78</v>
      </c>
      <c r="Z568" s="147" t="s">
        <v>121</v>
      </c>
      <c r="AA568" s="147" t="s">
        <v>75</v>
      </c>
      <c r="AB568" s="147" t="s">
        <v>81</v>
      </c>
      <c r="AC568" s="147" t="s">
        <v>84</v>
      </c>
    </row>
    <row r="569" spans="2:29" x14ac:dyDescent="0.25">
      <c r="B569" s="147" t="s">
        <v>2371</v>
      </c>
      <c r="C569" s="147" t="s">
        <v>78</v>
      </c>
      <c r="G569" s="147" t="s">
        <v>81</v>
      </c>
      <c r="J569" s="147" t="s">
        <v>81</v>
      </c>
      <c r="K569" s="147" t="s">
        <v>78</v>
      </c>
      <c r="L569" s="147" t="s">
        <v>75</v>
      </c>
      <c r="M569" s="147" t="s">
        <v>2203</v>
      </c>
      <c r="N569" s="147" t="s">
        <v>81</v>
      </c>
      <c r="O569" s="147">
        <v>0</v>
      </c>
      <c r="P569" s="147" t="s">
        <v>78</v>
      </c>
      <c r="Q569" s="147">
        <v>0</v>
      </c>
      <c r="R569" s="147" t="s">
        <v>78</v>
      </c>
      <c r="S569" s="147">
        <v>0</v>
      </c>
      <c r="T569" s="147" t="s">
        <v>78</v>
      </c>
      <c r="U569" s="147">
        <v>0</v>
      </c>
      <c r="V569" s="147" t="s">
        <v>81</v>
      </c>
      <c r="W569" s="147" t="s">
        <v>78</v>
      </c>
      <c r="X569" s="147" t="s">
        <v>81</v>
      </c>
      <c r="Y569" s="147" t="s">
        <v>78</v>
      </c>
      <c r="Z569" s="147" t="s">
        <v>121</v>
      </c>
      <c r="AA569" s="147" t="s">
        <v>75</v>
      </c>
      <c r="AB569" s="147" t="s">
        <v>81</v>
      </c>
      <c r="AC569" s="147" t="s">
        <v>84</v>
      </c>
    </row>
    <row r="570" spans="2:29" x14ac:dyDescent="0.25">
      <c r="B570" s="147" t="s">
        <v>2372</v>
      </c>
      <c r="C570" s="147" t="s">
        <v>78</v>
      </c>
      <c r="G570" s="147" t="s">
        <v>81</v>
      </c>
      <c r="J570" s="147" t="s">
        <v>81</v>
      </c>
      <c r="K570" s="147" t="s">
        <v>78</v>
      </c>
      <c r="L570" s="147" t="s">
        <v>81</v>
      </c>
      <c r="M570" s="147" t="s">
        <v>78</v>
      </c>
      <c r="N570" s="147" t="s">
        <v>81</v>
      </c>
      <c r="O570" s="147">
        <v>0</v>
      </c>
      <c r="P570" s="147" t="s">
        <v>78</v>
      </c>
      <c r="Q570" s="147">
        <v>0</v>
      </c>
      <c r="R570" s="147" t="s">
        <v>78</v>
      </c>
      <c r="S570" s="147">
        <v>0</v>
      </c>
      <c r="T570" s="147" t="s">
        <v>78</v>
      </c>
      <c r="U570" s="147">
        <v>0</v>
      </c>
      <c r="V570" s="147" t="s">
        <v>81</v>
      </c>
      <c r="W570" s="147" t="s">
        <v>78</v>
      </c>
      <c r="X570" s="147" t="s">
        <v>81</v>
      </c>
      <c r="Y570" s="147" t="s">
        <v>78</v>
      </c>
      <c r="Z570" s="147" t="s">
        <v>121</v>
      </c>
      <c r="AA570" s="147" t="s">
        <v>75</v>
      </c>
      <c r="AB570" s="147" t="s">
        <v>81</v>
      </c>
      <c r="AC570" s="147" t="s">
        <v>84</v>
      </c>
    </row>
    <row r="571" spans="2:29" x14ac:dyDescent="0.25">
      <c r="B571" s="147" t="s">
        <v>2373</v>
      </c>
      <c r="C571" s="147" t="s">
        <v>2204</v>
      </c>
      <c r="G571" s="147" t="s">
        <v>81</v>
      </c>
      <c r="J571" s="147" t="s">
        <v>81</v>
      </c>
      <c r="K571" s="147" t="s">
        <v>78</v>
      </c>
      <c r="L571" s="147" t="s">
        <v>81</v>
      </c>
      <c r="M571" s="147" t="s">
        <v>78</v>
      </c>
      <c r="N571" s="147" t="s">
        <v>81</v>
      </c>
      <c r="O571" s="147">
        <v>0</v>
      </c>
      <c r="P571" s="147" t="s">
        <v>78</v>
      </c>
      <c r="Q571" s="147">
        <v>0</v>
      </c>
      <c r="R571" s="147" t="s">
        <v>78</v>
      </c>
      <c r="S571" s="147">
        <v>0</v>
      </c>
      <c r="T571" s="147" t="s">
        <v>78</v>
      </c>
      <c r="U571" s="147">
        <v>0</v>
      </c>
      <c r="V571" s="147" t="s">
        <v>81</v>
      </c>
      <c r="W571" s="147" t="s">
        <v>78</v>
      </c>
      <c r="X571" s="147" t="s">
        <v>81</v>
      </c>
      <c r="Y571" s="147" t="s">
        <v>78</v>
      </c>
      <c r="Z571" s="147" t="s">
        <v>121</v>
      </c>
      <c r="AA571" s="147" t="s">
        <v>75</v>
      </c>
      <c r="AB571" s="147" t="s">
        <v>81</v>
      </c>
      <c r="AC571" s="147" t="s">
        <v>84</v>
      </c>
    </row>
    <row r="572" spans="2:29" x14ac:dyDescent="0.25">
      <c r="B572" s="147" t="s">
        <v>2374</v>
      </c>
      <c r="C572" s="147" t="s">
        <v>78</v>
      </c>
      <c r="G572" s="147" t="s">
        <v>81</v>
      </c>
      <c r="J572" s="147" t="s">
        <v>75</v>
      </c>
      <c r="K572" s="147" t="s">
        <v>2205</v>
      </c>
      <c r="L572" s="147" t="s">
        <v>75</v>
      </c>
      <c r="M572" s="147" t="s">
        <v>2206</v>
      </c>
      <c r="N572" s="147" t="s">
        <v>75</v>
      </c>
      <c r="O572" s="147">
        <v>0</v>
      </c>
      <c r="P572" s="147" t="s">
        <v>78</v>
      </c>
      <c r="Q572" s="147">
        <v>2</v>
      </c>
      <c r="R572" s="147" t="s">
        <v>2207</v>
      </c>
      <c r="S572" s="147">
        <v>0</v>
      </c>
      <c r="T572" s="147" t="s">
        <v>78</v>
      </c>
      <c r="U572" s="147">
        <v>2</v>
      </c>
      <c r="V572" s="147" t="s">
        <v>81</v>
      </c>
      <c r="W572" s="147" t="s">
        <v>78</v>
      </c>
      <c r="X572" s="147" t="s">
        <v>75</v>
      </c>
      <c r="Y572" s="147" t="s">
        <v>2208</v>
      </c>
      <c r="Z572" s="147" t="s">
        <v>121</v>
      </c>
      <c r="AA572" s="147" t="s">
        <v>75</v>
      </c>
      <c r="AB572" s="147" t="s">
        <v>75</v>
      </c>
      <c r="AC572" s="147" t="s">
        <v>84</v>
      </c>
    </row>
    <row r="573" spans="2:29" x14ac:dyDescent="0.25">
      <c r="B573" s="147" t="s">
        <v>2375</v>
      </c>
      <c r="C573" s="147" t="s">
        <v>78</v>
      </c>
      <c r="G573" s="147" t="s">
        <v>81</v>
      </c>
      <c r="J573" s="147" t="s">
        <v>81</v>
      </c>
      <c r="K573" s="147" t="s">
        <v>78</v>
      </c>
      <c r="L573" s="147" t="s">
        <v>81</v>
      </c>
      <c r="M573" s="147" t="s">
        <v>78</v>
      </c>
      <c r="N573" s="147" t="s">
        <v>81</v>
      </c>
      <c r="O573" s="147">
        <v>0</v>
      </c>
      <c r="P573" s="147" t="s">
        <v>78</v>
      </c>
      <c r="Q573" s="147">
        <v>0</v>
      </c>
      <c r="R573" s="147" t="s">
        <v>78</v>
      </c>
      <c r="S573" s="147">
        <v>0</v>
      </c>
      <c r="T573" s="147" t="s">
        <v>78</v>
      </c>
      <c r="U573" s="147">
        <v>0</v>
      </c>
      <c r="V573" s="147" t="s">
        <v>81</v>
      </c>
      <c r="W573" s="147" t="s">
        <v>78</v>
      </c>
      <c r="X573" s="147" t="s">
        <v>81</v>
      </c>
      <c r="Y573" s="147" t="s">
        <v>78</v>
      </c>
      <c r="Z573" s="147" t="s">
        <v>121</v>
      </c>
      <c r="AA573" s="147" t="s">
        <v>75</v>
      </c>
      <c r="AB573" s="147" t="s">
        <v>75</v>
      </c>
      <c r="AC573" s="147" t="s">
        <v>84</v>
      </c>
    </row>
    <row r="574" spans="2:29" x14ac:dyDescent="0.25">
      <c r="B574" s="147" t="s">
        <v>2376</v>
      </c>
      <c r="C574" s="147" t="s">
        <v>78</v>
      </c>
      <c r="G574" s="147" t="s">
        <v>81</v>
      </c>
      <c r="J574" s="147" t="s">
        <v>81</v>
      </c>
      <c r="K574" s="147" t="s">
        <v>78</v>
      </c>
      <c r="L574" s="147" t="s">
        <v>81</v>
      </c>
      <c r="M574" s="147" t="s">
        <v>78</v>
      </c>
      <c r="N574" s="147" t="s">
        <v>81</v>
      </c>
      <c r="O574" s="147">
        <v>0</v>
      </c>
      <c r="P574" s="147" t="s">
        <v>78</v>
      </c>
      <c r="Q574" s="147">
        <v>0</v>
      </c>
      <c r="R574" s="147" t="s">
        <v>78</v>
      </c>
      <c r="S574" s="147">
        <v>0</v>
      </c>
      <c r="T574" s="147" t="s">
        <v>78</v>
      </c>
      <c r="U574" s="147">
        <v>0</v>
      </c>
      <c r="V574" s="147" t="s">
        <v>81</v>
      </c>
      <c r="W574" s="147" t="s">
        <v>78</v>
      </c>
      <c r="X574" s="147" t="s">
        <v>81</v>
      </c>
      <c r="Y574" s="147" t="s">
        <v>78</v>
      </c>
      <c r="Z574" s="147" t="s">
        <v>121</v>
      </c>
      <c r="AA574" s="147" t="s">
        <v>75</v>
      </c>
      <c r="AB574" s="147" t="s">
        <v>81</v>
      </c>
      <c r="AC574" s="147" t="s">
        <v>84</v>
      </c>
    </row>
    <row r="575" spans="2:29" x14ac:dyDescent="0.25">
      <c r="B575" s="147" t="s">
        <v>2377</v>
      </c>
      <c r="C575" s="147" t="s">
        <v>78</v>
      </c>
      <c r="G575" s="147" t="s">
        <v>81</v>
      </c>
      <c r="J575" s="147" t="s">
        <v>75</v>
      </c>
      <c r="K575" s="147" t="s">
        <v>2209</v>
      </c>
      <c r="L575" s="147" t="s">
        <v>75</v>
      </c>
      <c r="M575" s="147" t="s">
        <v>2210</v>
      </c>
      <c r="N575" s="147" t="s">
        <v>75</v>
      </c>
      <c r="O575" s="147">
        <v>1</v>
      </c>
      <c r="P575" s="147" t="s">
        <v>2211</v>
      </c>
      <c r="Q575" s="147">
        <v>2</v>
      </c>
      <c r="R575" s="147" t="s">
        <v>2212</v>
      </c>
      <c r="S575" s="147">
        <v>3</v>
      </c>
      <c r="T575" s="147" t="s">
        <v>2213</v>
      </c>
      <c r="U575" s="147">
        <v>7</v>
      </c>
      <c r="V575" s="147" t="s">
        <v>81</v>
      </c>
      <c r="W575" s="147" t="s">
        <v>78</v>
      </c>
      <c r="X575" s="147" t="s">
        <v>75</v>
      </c>
      <c r="Y575" s="147" t="s">
        <v>2214</v>
      </c>
      <c r="Z575" s="147" t="s">
        <v>121</v>
      </c>
      <c r="AA575" s="147" t="s">
        <v>75</v>
      </c>
      <c r="AB575" s="147" t="s">
        <v>75</v>
      </c>
      <c r="AC575" s="147" t="s">
        <v>84</v>
      </c>
    </row>
    <row r="576" spans="2:29" x14ac:dyDescent="0.25">
      <c r="B576" s="147" t="s">
        <v>2378</v>
      </c>
      <c r="C576" s="147" t="s">
        <v>78</v>
      </c>
      <c r="G576" s="147" t="s">
        <v>81</v>
      </c>
      <c r="J576" s="147" t="s">
        <v>81</v>
      </c>
      <c r="K576" s="147" t="s">
        <v>78</v>
      </c>
      <c r="L576" s="147" t="s">
        <v>81</v>
      </c>
      <c r="M576" s="147" t="s">
        <v>78</v>
      </c>
      <c r="N576" s="147" t="s">
        <v>81</v>
      </c>
      <c r="O576" s="147">
        <v>0</v>
      </c>
      <c r="P576" s="147" t="s">
        <v>78</v>
      </c>
      <c r="Q576" s="147">
        <v>0</v>
      </c>
      <c r="R576" s="147" t="s">
        <v>78</v>
      </c>
      <c r="S576" s="147">
        <v>0</v>
      </c>
      <c r="T576" s="147" t="s">
        <v>78</v>
      </c>
      <c r="U576" s="147">
        <v>0</v>
      </c>
      <c r="V576" s="147" t="s">
        <v>81</v>
      </c>
      <c r="W576" s="147" t="s">
        <v>78</v>
      </c>
      <c r="X576" s="147" t="s">
        <v>81</v>
      </c>
      <c r="Y576" s="147" t="s">
        <v>78</v>
      </c>
      <c r="Z576" s="147" t="s">
        <v>121</v>
      </c>
      <c r="AA576" s="147" t="s">
        <v>75</v>
      </c>
      <c r="AB576" s="147" t="s">
        <v>81</v>
      </c>
      <c r="AC576" s="147" t="s">
        <v>84</v>
      </c>
    </row>
    <row r="577" spans="2:29" x14ac:dyDescent="0.25">
      <c r="B577" s="147" t="s">
        <v>2379</v>
      </c>
      <c r="C577" s="147" t="s">
        <v>78</v>
      </c>
      <c r="G577" s="147" t="s">
        <v>81</v>
      </c>
      <c r="J577" s="147" t="s">
        <v>81</v>
      </c>
      <c r="K577" s="147" t="s">
        <v>78</v>
      </c>
      <c r="L577" s="147" t="s">
        <v>81</v>
      </c>
      <c r="M577" s="147" t="s">
        <v>78</v>
      </c>
      <c r="N577" s="147" t="s">
        <v>81</v>
      </c>
      <c r="O577" s="147">
        <v>0</v>
      </c>
      <c r="P577" s="147" t="s">
        <v>78</v>
      </c>
      <c r="Q577" s="147">
        <v>0</v>
      </c>
      <c r="R577" s="147" t="s">
        <v>78</v>
      </c>
      <c r="S577" s="147">
        <v>0</v>
      </c>
      <c r="T577" s="147" t="s">
        <v>78</v>
      </c>
      <c r="U577" s="147">
        <v>0</v>
      </c>
      <c r="V577" s="147" t="s">
        <v>81</v>
      </c>
      <c r="W577" s="147" t="s">
        <v>78</v>
      </c>
      <c r="X577" s="147" t="s">
        <v>81</v>
      </c>
      <c r="Y577" s="147" t="s">
        <v>78</v>
      </c>
      <c r="Z577" s="147" t="s">
        <v>121</v>
      </c>
      <c r="AA577" s="147" t="s">
        <v>75</v>
      </c>
      <c r="AB577" s="147" t="s">
        <v>81</v>
      </c>
      <c r="AC577" s="147" t="s">
        <v>84</v>
      </c>
    </row>
    <row r="578" spans="2:29" x14ac:dyDescent="0.25">
      <c r="B578" s="147" t="s">
        <v>2380</v>
      </c>
      <c r="C578" s="147" t="s">
        <v>78</v>
      </c>
      <c r="G578" s="147" t="s">
        <v>81</v>
      </c>
      <c r="J578" s="147" t="s">
        <v>81</v>
      </c>
      <c r="K578" s="147" t="s">
        <v>78</v>
      </c>
      <c r="L578" s="147" t="s">
        <v>81</v>
      </c>
      <c r="M578" s="147" t="s">
        <v>78</v>
      </c>
      <c r="N578" s="147" t="s">
        <v>81</v>
      </c>
      <c r="O578" s="147">
        <v>0</v>
      </c>
      <c r="P578" s="147" t="s">
        <v>78</v>
      </c>
      <c r="Q578" s="147">
        <v>0</v>
      </c>
      <c r="R578" s="147" t="s">
        <v>78</v>
      </c>
      <c r="S578" s="147">
        <v>0</v>
      </c>
      <c r="T578" s="147" t="s">
        <v>78</v>
      </c>
      <c r="U578" s="147">
        <v>0</v>
      </c>
      <c r="V578" s="147" t="s">
        <v>81</v>
      </c>
      <c r="W578" s="147" t="s">
        <v>78</v>
      </c>
      <c r="X578" s="147" t="s">
        <v>81</v>
      </c>
      <c r="Y578" s="147" t="s">
        <v>78</v>
      </c>
      <c r="Z578" s="147" t="s">
        <v>1648</v>
      </c>
      <c r="AA578" s="147" t="s">
        <v>81</v>
      </c>
      <c r="AB578" s="147" t="s">
        <v>81</v>
      </c>
      <c r="AC578" s="147" t="s">
        <v>84</v>
      </c>
    </row>
    <row r="579" spans="2:29" x14ac:dyDescent="0.25">
      <c r="B579" s="147" t="s">
        <v>2381</v>
      </c>
      <c r="C579" s="147" t="s">
        <v>78</v>
      </c>
      <c r="G579" s="147" t="s">
        <v>81</v>
      </c>
      <c r="J579" s="147" t="s">
        <v>81</v>
      </c>
      <c r="K579" s="147" t="s">
        <v>78</v>
      </c>
      <c r="L579" s="147" t="s">
        <v>81</v>
      </c>
      <c r="M579" s="147" t="s">
        <v>78</v>
      </c>
      <c r="N579" s="147" t="s">
        <v>81</v>
      </c>
      <c r="O579" s="147">
        <v>0</v>
      </c>
      <c r="P579" s="147" t="s">
        <v>78</v>
      </c>
      <c r="Q579" s="147">
        <v>0</v>
      </c>
      <c r="R579" s="147" t="s">
        <v>78</v>
      </c>
      <c r="S579" s="147">
        <v>0</v>
      </c>
      <c r="T579" s="147" t="s">
        <v>78</v>
      </c>
      <c r="U579" s="147">
        <v>0</v>
      </c>
      <c r="V579" s="147" t="s">
        <v>81</v>
      </c>
      <c r="W579" s="147" t="s">
        <v>78</v>
      </c>
      <c r="X579" s="147" t="s">
        <v>81</v>
      </c>
      <c r="Y579" s="147" t="s">
        <v>78</v>
      </c>
      <c r="Z579" s="147" t="s">
        <v>121</v>
      </c>
      <c r="AA579" s="147" t="s">
        <v>75</v>
      </c>
      <c r="AB579" s="147" t="s">
        <v>81</v>
      </c>
      <c r="AC579" s="147" t="s">
        <v>84</v>
      </c>
    </row>
    <row r="580" spans="2:29" x14ac:dyDescent="0.25">
      <c r="B580" s="147" t="s">
        <v>2382</v>
      </c>
      <c r="C580" s="147" t="s">
        <v>78</v>
      </c>
      <c r="G580" s="147" t="s">
        <v>81</v>
      </c>
      <c r="J580" s="147" t="s">
        <v>81</v>
      </c>
      <c r="K580" s="147" t="s">
        <v>78</v>
      </c>
      <c r="L580" s="147" t="s">
        <v>81</v>
      </c>
      <c r="M580" s="147" t="s">
        <v>78</v>
      </c>
      <c r="N580" s="147" t="s">
        <v>81</v>
      </c>
      <c r="O580" s="147">
        <v>0</v>
      </c>
      <c r="P580" s="147" t="s">
        <v>78</v>
      </c>
      <c r="Q580" s="147">
        <v>0</v>
      </c>
      <c r="R580" s="147" t="s">
        <v>78</v>
      </c>
      <c r="S580" s="147">
        <v>0</v>
      </c>
      <c r="T580" s="147" t="s">
        <v>78</v>
      </c>
      <c r="U580" s="147">
        <v>0</v>
      </c>
      <c r="V580" s="147" t="s">
        <v>81</v>
      </c>
      <c r="W580" s="147" t="s">
        <v>78</v>
      </c>
      <c r="X580" s="147" t="s">
        <v>81</v>
      </c>
      <c r="Y580" s="147" t="s">
        <v>78</v>
      </c>
      <c r="Z580" s="147" t="s">
        <v>397</v>
      </c>
      <c r="AA580" s="147" t="s">
        <v>81</v>
      </c>
      <c r="AB580" s="147" t="s">
        <v>81</v>
      </c>
      <c r="AC580" s="147" t="s">
        <v>84</v>
      </c>
    </row>
    <row r="581" spans="2:29" x14ac:dyDescent="0.25">
      <c r="B581" s="147" t="s">
        <v>2383</v>
      </c>
      <c r="C581" s="147" t="s">
        <v>78</v>
      </c>
      <c r="G581" s="147" t="s">
        <v>81</v>
      </c>
      <c r="J581" s="147" t="s">
        <v>81</v>
      </c>
      <c r="K581" s="147" t="s">
        <v>78</v>
      </c>
      <c r="L581" s="147" t="s">
        <v>81</v>
      </c>
      <c r="M581" s="147" t="s">
        <v>78</v>
      </c>
      <c r="N581" s="147" t="s">
        <v>81</v>
      </c>
      <c r="O581" s="147">
        <v>0</v>
      </c>
      <c r="P581" s="147" t="s">
        <v>78</v>
      </c>
      <c r="Q581" s="147">
        <v>0</v>
      </c>
      <c r="R581" s="147" t="s">
        <v>78</v>
      </c>
      <c r="S581" s="147">
        <v>0</v>
      </c>
      <c r="T581" s="147" t="s">
        <v>78</v>
      </c>
      <c r="U581" s="147">
        <v>0</v>
      </c>
      <c r="V581" s="147" t="s">
        <v>81</v>
      </c>
      <c r="W581" s="147" t="s">
        <v>78</v>
      </c>
      <c r="X581" s="147" t="s">
        <v>81</v>
      </c>
      <c r="Y581" s="147" t="s">
        <v>78</v>
      </c>
      <c r="Z581" s="147" t="s">
        <v>121</v>
      </c>
      <c r="AA581" s="147" t="s">
        <v>75</v>
      </c>
      <c r="AB581" s="147" t="s">
        <v>81</v>
      </c>
      <c r="AC581" s="147" t="s">
        <v>84</v>
      </c>
    </row>
    <row r="582" spans="2:29" x14ac:dyDescent="0.25">
      <c r="B582" s="147" t="s">
        <v>2384</v>
      </c>
      <c r="C582" s="147" t="s">
        <v>78</v>
      </c>
      <c r="G582" s="147" t="s">
        <v>81</v>
      </c>
      <c r="J582" s="147" t="s">
        <v>81</v>
      </c>
      <c r="K582" s="147" t="s">
        <v>78</v>
      </c>
      <c r="L582" s="147" t="s">
        <v>81</v>
      </c>
      <c r="M582" s="147" t="s">
        <v>78</v>
      </c>
      <c r="N582" s="147" t="s">
        <v>81</v>
      </c>
      <c r="O582" s="147">
        <v>0</v>
      </c>
      <c r="P582" s="147" t="s">
        <v>78</v>
      </c>
      <c r="Q582" s="147">
        <v>0</v>
      </c>
      <c r="R582" s="147" t="s">
        <v>78</v>
      </c>
      <c r="S582" s="147">
        <v>0</v>
      </c>
      <c r="T582" s="147" t="s">
        <v>78</v>
      </c>
      <c r="U582" s="147">
        <v>0</v>
      </c>
      <c r="V582" s="147" t="s">
        <v>81</v>
      </c>
      <c r="W582" s="147" t="s">
        <v>78</v>
      </c>
      <c r="X582" s="147" t="s">
        <v>81</v>
      </c>
      <c r="Y582" s="147" t="s">
        <v>78</v>
      </c>
      <c r="Z582" s="147" t="s">
        <v>397</v>
      </c>
      <c r="AA582" s="147" t="s">
        <v>81</v>
      </c>
      <c r="AB582" s="147" t="s">
        <v>81</v>
      </c>
      <c r="AC582" s="147" t="s">
        <v>84</v>
      </c>
    </row>
    <row r="583" spans="2:29" x14ac:dyDescent="0.25">
      <c r="B583" s="147" t="s">
        <v>2385</v>
      </c>
      <c r="C583" s="147" t="s">
        <v>2215</v>
      </c>
      <c r="G583" s="147" t="s">
        <v>81</v>
      </c>
      <c r="J583" s="147" t="s">
        <v>81</v>
      </c>
      <c r="K583" s="147" t="s">
        <v>78</v>
      </c>
      <c r="L583" s="147" t="s">
        <v>81</v>
      </c>
      <c r="M583" s="147" t="s">
        <v>78</v>
      </c>
      <c r="N583" s="147" t="s">
        <v>81</v>
      </c>
      <c r="O583" s="147">
        <v>0</v>
      </c>
      <c r="P583" s="147" t="s">
        <v>78</v>
      </c>
      <c r="Q583" s="147">
        <v>0</v>
      </c>
      <c r="R583" s="147" t="s">
        <v>78</v>
      </c>
      <c r="S583" s="147">
        <v>0</v>
      </c>
      <c r="T583" s="147" t="s">
        <v>78</v>
      </c>
      <c r="U583" s="147">
        <v>0</v>
      </c>
      <c r="V583" s="147" t="s">
        <v>81</v>
      </c>
      <c r="W583" s="147" t="s">
        <v>78</v>
      </c>
      <c r="X583" s="147" t="s">
        <v>81</v>
      </c>
      <c r="Y583" s="147" t="s">
        <v>78</v>
      </c>
      <c r="Z583" s="147" t="s">
        <v>121</v>
      </c>
      <c r="AA583" s="147" t="s">
        <v>75</v>
      </c>
      <c r="AB583" s="147" t="s">
        <v>81</v>
      </c>
      <c r="AC583" s="147" t="s">
        <v>84</v>
      </c>
    </row>
    <row r="584" spans="2:29" x14ac:dyDescent="0.25">
      <c r="B584" s="147" t="s">
        <v>2386</v>
      </c>
      <c r="C584" s="147" t="s">
        <v>2215</v>
      </c>
      <c r="G584" s="147" t="s">
        <v>81</v>
      </c>
      <c r="J584" s="147" t="s">
        <v>81</v>
      </c>
      <c r="K584" s="147" t="s">
        <v>78</v>
      </c>
      <c r="L584" s="147" t="s">
        <v>81</v>
      </c>
      <c r="M584" s="147" t="s">
        <v>78</v>
      </c>
      <c r="N584" s="147" t="s">
        <v>81</v>
      </c>
      <c r="O584" s="147">
        <v>0</v>
      </c>
      <c r="P584" s="147" t="s">
        <v>78</v>
      </c>
      <c r="Q584" s="147">
        <v>0</v>
      </c>
      <c r="R584" s="147" t="s">
        <v>78</v>
      </c>
      <c r="S584" s="147">
        <v>0</v>
      </c>
      <c r="T584" s="147" t="s">
        <v>78</v>
      </c>
      <c r="U584" s="147">
        <v>0</v>
      </c>
      <c r="V584" s="147" t="s">
        <v>81</v>
      </c>
      <c r="W584" s="147" t="s">
        <v>78</v>
      </c>
      <c r="X584" s="147" t="s">
        <v>81</v>
      </c>
      <c r="Y584" s="147" t="s">
        <v>78</v>
      </c>
      <c r="Z584" s="147" t="s">
        <v>121</v>
      </c>
      <c r="AA584" s="147" t="s">
        <v>75</v>
      </c>
      <c r="AB584" s="147" t="s">
        <v>81</v>
      </c>
      <c r="AC584" s="147" t="s">
        <v>84</v>
      </c>
    </row>
    <row r="585" spans="2:29" x14ac:dyDescent="0.25">
      <c r="B585" s="147" t="s">
        <v>2387</v>
      </c>
      <c r="C585" s="147" t="s">
        <v>78</v>
      </c>
      <c r="G585" s="147" t="s">
        <v>81</v>
      </c>
      <c r="J585" s="147" t="s">
        <v>81</v>
      </c>
      <c r="K585" s="147" t="s">
        <v>78</v>
      </c>
      <c r="L585" s="147" t="s">
        <v>81</v>
      </c>
      <c r="M585" s="147" t="s">
        <v>78</v>
      </c>
      <c r="N585" s="147" t="s">
        <v>81</v>
      </c>
      <c r="O585" s="147">
        <v>0</v>
      </c>
      <c r="P585" s="147" t="s">
        <v>78</v>
      </c>
      <c r="Q585" s="147">
        <v>0</v>
      </c>
      <c r="R585" s="147" t="s">
        <v>78</v>
      </c>
      <c r="S585" s="147">
        <v>0</v>
      </c>
      <c r="T585" s="147" t="s">
        <v>78</v>
      </c>
      <c r="U585" s="147">
        <v>0</v>
      </c>
      <c r="V585" s="147" t="s">
        <v>81</v>
      </c>
      <c r="W585" s="147" t="s">
        <v>78</v>
      </c>
      <c r="X585" s="147" t="s">
        <v>81</v>
      </c>
      <c r="Y585" s="147" t="s">
        <v>78</v>
      </c>
      <c r="Z585" s="147" t="s">
        <v>1648</v>
      </c>
      <c r="AA585" s="147" t="s">
        <v>75</v>
      </c>
      <c r="AB585" s="147" t="s">
        <v>81</v>
      </c>
      <c r="AC585" s="147" t="s">
        <v>84</v>
      </c>
    </row>
    <row r="586" spans="2:29" x14ac:dyDescent="0.25">
      <c r="B586" s="147" t="s">
        <v>2388</v>
      </c>
      <c r="C586" s="147" t="s">
        <v>78</v>
      </c>
      <c r="G586" s="147" t="s">
        <v>81</v>
      </c>
      <c r="J586" s="147" t="s">
        <v>81</v>
      </c>
      <c r="K586" s="147" t="s">
        <v>78</v>
      </c>
      <c r="L586" s="147" t="s">
        <v>81</v>
      </c>
      <c r="M586" s="147" t="s">
        <v>78</v>
      </c>
      <c r="N586" s="147" t="s">
        <v>81</v>
      </c>
      <c r="O586" s="147">
        <v>0</v>
      </c>
      <c r="P586" s="147" t="s">
        <v>78</v>
      </c>
      <c r="Q586" s="147">
        <v>0</v>
      </c>
      <c r="R586" s="147" t="s">
        <v>78</v>
      </c>
      <c r="S586" s="147">
        <v>0</v>
      </c>
      <c r="T586" s="147" t="s">
        <v>78</v>
      </c>
      <c r="U586" s="147">
        <v>0</v>
      </c>
      <c r="V586" s="147" t="s">
        <v>81</v>
      </c>
      <c r="W586" s="147" t="s">
        <v>78</v>
      </c>
      <c r="X586" s="147" t="s">
        <v>81</v>
      </c>
      <c r="Y586" s="147" t="s">
        <v>78</v>
      </c>
      <c r="Z586" s="147" t="s">
        <v>1648</v>
      </c>
      <c r="AA586" s="147" t="s">
        <v>75</v>
      </c>
      <c r="AB586" s="147" t="s">
        <v>81</v>
      </c>
      <c r="AC586" s="147" t="s">
        <v>84</v>
      </c>
    </row>
    <row r="587" spans="2:29" x14ac:dyDescent="0.25">
      <c r="B587" s="147" t="s">
        <v>2389</v>
      </c>
      <c r="C587" s="147" t="s">
        <v>78</v>
      </c>
      <c r="G587" s="147" t="s">
        <v>81</v>
      </c>
      <c r="J587" s="147" t="s">
        <v>81</v>
      </c>
      <c r="K587" s="147" t="s">
        <v>78</v>
      </c>
      <c r="L587" s="147" t="s">
        <v>81</v>
      </c>
      <c r="M587" s="147" t="s">
        <v>78</v>
      </c>
      <c r="N587" s="147" t="s">
        <v>81</v>
      </c>
      <c r="O587" s="147">
        <v>0</v>
      </c>
      <c r="P587" s="147" t="s">
        <v>78</v>
      </c>
      <c r="Q587" s="147">
        <v>0</v>
      </c>
      <c r="R587" s="147" t="s">
        <v>78</v>
      </c>
      <c r="S587" s="147">
        <v>0</v>
      </c>
      <c r="T587" s="147" t="s">
        <v>78</v>
      </c>
      <c r="U587" s="147">
        <v>0</v>
      </c>
      <c r="V587" s="147" t="s">
        <v>81</v>
      </c>
      <c r="W587" s="147" t="s">
        <v>78</v>
      </c>
      <c r="X587" s="147" t="s">
        <v>81</v>
      </c>
      <c r="Y587" s="147" t="s">
        <v>78</v>
      </c>
      <c r="Z587" s="147" t="s">
        <v>121</v>
      </c>
      <c r="AA587" s="147" t="s">
        <v>75</v>
      </c>
      <c r="AB587" s="147" t="s">
        <v>75</v>
      </c>
      <c r="AC587" s="147" t="s">
        <v>84</v>
      </c>
    </row>
    <row r="588" spans="2:29" x14ac:dyDescent="0.25">
      <c r="B588" s="147" t="s">
        <v>2390</v>
      </c>
      <c r="C588" s="147" t="s">
        <v>2136</v>
      </c>
      <c r="G588" s="147" t="s">
        <v>81</v>
      </c>
      <c r="J588" s="147" t="s">
        <v>81</v>
      </c>
      <c r="K588" s="147" t="s">
        <v>78</v>
      </c>
      <c r="L588" s="147" t="s">
        <v>81</v>
      </c>
      <c r="M588" s="147" t="s">
        <v>78</v>
      </c>
      <c r="N588" s="147" t="s">
        <v>81</v>
      </c>
      <c r="O588" s="147">
        <v>0</v>
      </c>
      <c r="P588" s="147" t="s">
        <v>78</v>
      </c>
      <c r="Q588" s="147">
        <v>0</v>
      </c>
      <c r="R588" s="147" t="s">
        <v>78</v>
      </c>
      <c r="S588" s="147">
        <v>0</v>
      </c>
      <c r="T588" s="147" t="s">
        <v>78</v>
      </c>
      <c r="U588" s="147">
        <v>0</v>
      </c>
      <c r="V588" s="147" t="s">
        <v>81</v>
      </c>
      <c r="W588" s="147" t="s">
        <v>78</v>
      </c>
      <c r="X588" s="147" t="s">
        <v>81</v>
      </c>
      <c r="Y588" s="147" t="s">
        <v>78</v>
      </c>
      <c r="Z588" s="147" t="s">
        <v>217</v>
      </c>
      <c r="AA588" s="147" t="s">
        <v>81</v>
      </c>
      <c r="AB588" s="147" t="s">
        <v>81</v>
      </c>
      <c r="AC588" s="147" t="s">
        <v>84</v>
      </c>
    </row>
    <row r="589" spans="2:29" x14ac:dyDescent="0.25">
      <c r="B589" s="147" t="s">
        <v>2391</v>
      </c>
      <c r="C589" s="147" t="s">
        <v>78</v>
      </c>
      <c r="G589" s="147" t="s">
        <v>81</v>
      </c>
      <c r="J589" s="147" t="s">
        <v>81</v>
      </c>
      <c r="K589" s="147" t="s">
        <v>78</v>
      </c>
      <c r="L589" s="147" t="s">
        <v>81</v>
      </c>
      <c r="M589" s="147" t="s">
        <v>78</v>
      </c>
      <c r="N589" s="147" t="s">
        <v>81</v>
      </c>
      <c r="O589" s="147">
        <v>0</v>
      </c>
      <c r="P589" s="147" t="s">
        <v>78</v>
      </c>
      <c r="Q589" s="147">
        <v>0</v>
      </c>
      <c r="R589" s="147" t="s">
        <v>78</v>
      </c>
      <c r="S589" s="147">
        <v>0</v>
      </c>
      <c r="T589" s="147" t="s">
        <v>78</v>
      </c>
      <c r="U589" s="147">
        <v>0</v>
      </c>
      <c r="V589" s="147" t="s">
        <v>81</v>
      </c>
      <c r="W589" s="147" t="s">
        <v>78</v>
      </c>
      <c r="X589" s="147" t="s">
        <v>81</v>
      </c>
      <c r="Y589" s="147" t="s">
        <v>78</v>
      </c>
      <c r="Z589" s="147" t="s">
        <v>1648</v>
      </c>
      <c r="AA589" s="147" t="s">
        <v>81</v>
      </c>
      <c r="AB589" s="147" t="s">
        <v>81</v>
      </c>
      <c r="AC589" s="147" t="s">
        <v>84</v>
      </c>
    </row>
    <row r="590" spans="2:29" x14ac:dyDescent="0.25">
      <c r="B590" s="147" t="s">
        <v>2392</v>
      </c>
      <c r="C590" s="147" t="s">
        <v>78</v>
      </c>
      <c r="G590" s="147" t="s">
        <v>81</v>
      </c>
      <c r="J590" s="147" t="s">
        <v>81</v>
      </c>
      <c r="K590" s="147" t="s">
        <v>78</v>
      </c>
      <c r="L590" s="147" t="s">
        <v>81</v>
      </c>
      <c r="M590" s="147" t="s">
        <v>78</v>
      </c>
      <c r="N590" s="147" t="s">
        <v>81</v>
      </c>
      <c r="O590" s="147">
        <v>0</v>
      </c>
      <c r="P590" s="147" t="s">
        <v>78</v>
      </c>
      <c r="Q590" s="147">
        <v>0</v>
      </c>
      <c r="R590" s="147" t="s">
        <v>78</v>
      </c>
      <c r="S590" s="147">
        <v>0</v>
      </c>
      <c r="T590" s="147" t="s">
        <v>78</v>
      </c>
      <c r="U590" s="147">
        <v>0</v>
      </c>
      <c r="V590" s="147" t="s">
        <v>81</v>
      </c>
      <c r="W590" s="147" t="s">
        <v>78</v>
      </c>
      <c r="X590" s="147" t="s">
        <v>81</v>
      </c>
      <c r="Y590" s="147" t="s">
        <v>78</v>
      </c>
      <c r="Z590" s="147" t="s">
        <v>1648</v>
      </c>
      <c r="AA590" s="147" t="s">
        <v>81</v>
      </c>
      <c r="AB590" s="147" t="s">
        <v>81</v>
      </c>
      <c r="AC590" s="147" t="s">
        <v>84</v>
      </c>
    </row>
    <row r="591" spans="2:29" x14ac:dyDescent="0.25">
      <c r="B591" s="147" t="s">
        <v>2393</v>
      </c>
      <c r="C591" s="147" t="s">
        <v>78</v>
      </c>
      <c r="G591" s="147" t="s">
        <v>81</v>
      </c>
      <c r="J591" s="147" t="s">
        <v>81</v>
      </c>
      <c r="K591" s="147" t="s">
        <v>78</v>
      </c>
      <c r="L591" s="147" t="s">
        <v>81</v>
      </c>
      <c r="M591" s="147" t="s">
        <v>78</v>
      </c>
      <c r="N591" s="147" t="s">
        <v>81</v>
      </c>
      <c r="O591" s="147">
        <v>0</v>
      </c>
      <c r="P591" s="147" t="s">
        <v>78</v>
      </c>
      <c r="Q591" s="147">
        <v>0</v>
      </c>
      <c r="R591" s="147" t="s">
        <v>78</v>
      </c>
      <c r="S591" s="147">
        <v>0</v>
      </c>
      <c r="T591" s="147" t="s">
        <v>78</v>
      </c>
      <c r="U591" s="147">
        <v>0</v>
      </c>
      <c r="V591" s="147" t="s">
        <v>81</v>
      </c>
      <c r="W591" s="147" t="s">
        <v>78</v>
      </c>
      <c r="X591" s="147" t="s">
        <v>81</v>
      </c>
      <c r="Y591" s="147" t="s">
        <v>78</v>
      </c>
      <c r="Z591" s="147" t="s">
        <v>1648</v>
      </c>
      <c r="AA591" s="147" t="s">
        <v>75</v>
      </c>
      <c r="AB591" s="147" t="s">
        <v>81</v>
      </c>
      <c r="AC591" s="147" t="s">
        <v>84</v>
      </c>
    </row>
    <row r="592" spans="2:29" x14ac:dyDescent="0.25">
      <c r="B592" s="147" t="s">
        <v>2394</v>
      </c>
      <c r="C592" s="147" t="s">
        <v>78</v>
      </c>
      <c r="G592" s="147" t="s">
        <v>81</v>
      </c>
      <c r="J592" s="147" t="s">
        <v>81</v>
      </c>
      <c r="K592" s="147" t="s">
        <v>78</v>
      </c>
      <c r="L592" s="147" t="s">
        <v>81</v>
      </c>
      <c r="M592" s="147" t="s">
        <v>78</v>
      </c>
      <c r="N592" s="147" t="s">
        <v>81</v>
      </c>
      <c r="O592" s="147">
        <v>0</v>
      </c>
      <c r="P592" s="147" t="s">
        <v>78</v>
      </c>
      <c r="Q592" s="147">
        <v>0</v>
      </c>
      <c r="R592" s="147" t="s">
        <v>78</v>
      </c>
      <c r="S592" s="147">
        <v>0</v>
      </c>
      <c r="T592" s="147" t="s">
        <v>78</v>
      </c>
      <c r="U592" s="147">
        <v>0</v>
      </c>
      <c r="V592" s="147" t="s">
        <v>81</v>
      </c>
      <c r="W592" s="147" t="s">
        <v>78</v>
      </c>
      <c r="X592" s="147" t="s">
        <v>81</v>
      </c>
      <c r="Y592" s="147" t="s">
        <v>78</v>
      </c>
      <c r="Z592" s="147" t="s">
        <v>1648</v>
      </c>
      <c r="AA592" s="147" t="s">
        <v>75</v>
      </c>
      <c r="AB592" s="147" t="s">
        <v>81</v>
      </c>
      <c r="AC592" s="147" t="s">
        <v>84</v>
      </c>
    </row>
    <row r="593" spans="2:29" x14ac:dyDescent="0.25">
      <c r="B593" s="147" t="s">
        <v>2395</v>
      </c>
      <c r="C593" s="147" t="s">
        <v>78</v>
      </c>
      <c r="G593" s="147" t="s">
        <v>81</v>
      </c>
      <c r="J593" s="147" t="s">
        <v>81</v>
      </c>
      <c r="K593" s="147" t="s">
        <v>78</v>
      </c>
      <c r="L593" s="147" t="s">
        <v>81</v>
      </c>
      <c r="M593" s="147" t="s">
        <v>78</v>
      </c>
      <c r="N593" s="147" t="s">
        <v>81</v>
      </c>
      <c r="O593" s="147">
        <v>0</v>
      </c>
      <c r="P593" s="147" t="s">
        <v>78</v>
      </c>
      <c r="Q593" s="147">
        <v>0</v>
      </c>
      <c r="R593" s="147" t="s">
        <v>78</v>
      </c>
      <c r="S593" s="147">
        <v>0</v>
      </c>
      <c r="T593" s="147" t="s">
        <v>78</v>
      </c>
      <c r="U593" s="147">
        <v>0</v>
      </c>
      <c r="V593" s="147" t="s">
        <v>81</v>
      </c>
      <c r="W593" s="147" t="s">
        <v>78</v>
      </c>
      <c r="X593" s="147" t="s">
        <v>81</v>
      </c>
      <c r="Y593" s="147" t="s">
        <v>78</v>
      </c>
      <c r="Z593" s="147" t="s">
        <v>397</v>
      </c>
      <c r="AA593" s="147" t="s">
        <v>81</v>
      </c>
      <c r="AB593" s="147" t="s">
        <v>81</v>
      </c>
      <c r="AC593" s="147" t="s">
        <v>84</v>
      </c>
    </row>
    <row r="594" spans="2:29" x14ac:dyDescent="0.25">
      <c r="B594" s="147" t="s">
        <v>2396</v>
      </c>
      <c r="C594" s="147" t="s">
        <v>78</v>
      </c>
      <c r="G594" s="147" t="s">
        <v>81</v>
      </c>
      <c r="J594" s="147" t="s">
        <v>75</v>
      </c>
      <c r="K594" s="147" t="s">
        <v>2216</v>
      </c>
      <c r="L594" s="147" t="s">
        <v>81</v>
      </c>
      <c r="M594" s="147" t="s">
        <v>78</v>
      </c>
      <c r="N594" s="147" t="s">
        <v>81</v>
      </c>
      <c r="O594" s="147">
        <v>0</v>
      </c>
      <c r="P594" s="147" t="s">
        <v>78</v>
      </c>
      <c r="Q594" s="147">
        <v>0</v>
      </c>
      <c r="R594" s="147" t="s">
        <v>78</v>
      </c>
      <c r="S594" s="147">
        <v>0</v>
      </c>
      <c r="T594" s="147" t="s">
        <v>78</v>
      </c>
      <c r="U594" s="147">
        <v>0</v>
      </c>
      <c r="V594" s="147" t="s">
        <v>81</v>
      </c>
      <c r="W594" s="147" t="s">
        <v>78</v>
      </c>
      <c r="X594" s="147" t="s">
        <v>81</v>
      </c>
      <c r="Y594" s="147" t="s">
        <v>78</v>
      </c>
      <c r="Z594" s="147" t="s">
        <v>121</v>
      </c>
      <c r="AA594" s="147" t="s">
        <v>75</v>
      </c>
      <c r="AB594" s="147" t="s">
        <v>81</v>
      </c>
      <c r="AC594" s="147" t="s">
        <v>84</v>
      </c>
    </row>
    <row r="595" spans="2:29" x14ac:dyDescent="0.25">
      <c r="B595" s="147" t="s">
        <v>2397</v>
      </c>
      <c r="C595" s="147" t="s">
        <v>2136</v>
      </c>
      <c r="G595" s="147" t="s">
        <v>81</v>
      </c>
      <c r="J595" s="147" t="s">
        <v>81</v>
      </c>
      <c r="K595" s="147" t="s">
        <v>78</v>
      </c>
      <c r="L595" s="147" t="s">
        <v>81</v>
      </c>
      <c r="M595" s="147" t="s">
        <v>78</v>
      </c>
      <c r="N595" s="147" t="s">
        <v>81</v>
      </c>
      <c r="O595" s="147">
        <v>0</v>
      </c>
      <c r="P595" s="147" t="s">
        <v>78</v>
      </c>
      <c r="Q595" s="147">
        <v>0</v>
      </c>
      <c r="R595" s="147" t="s">
        <v>78</v>
      </c>
      <c r="S595" s="147">
        <v>0</v>
      </c>
      <c r="T595" s="147" t="s">
        <v>78</v>
      </c>
      <c r="U595" s="147">
        <v>0</v>
      </c>
      <c r="V595" s="147" t="s">
        <v>81</v>
      </c>
      <c r="W595" s="147" t="s">
        <v>78</v>
      </c>
      <c r="X595" s="147" t="s">
        <v>81</v>
      </c>
      <c r="Y595" s="147" t="s">
        <v>78</v>
      </c>
      <c r="Z595" s="147" t="s">
        <v>1648</v>
      </c>
      <c r="AA595" s="147" t="s">
        <v>75</v>
      </c>
      <c r="AB595" s="147" t="s">
        <v>81</v>
      </c>
      <c r="AC595" s="147" t="s">
        <v>84</v>
      </c>
    </row>
  </sheetData>
  <sheetProtection formatRows="0" insertColumns="0" insertRows="0" deleteColumns="0" deleteRows="0"/>
  <autoFilter ref="A2:AE595" xr:uid="{86723DFA-6800-46B6-9266-C4DF5BF479C3}"/>
  <mergeCells count="2">
    <mergeCell ref="D1:E1"/>
    <mergeCell ref="B1:C1"/>
  </mergeCells>
  <conditionalFormatting sqref="B1">
    <cfRule type="duplicateValues" dxfId="9" priority="2"/>
    <cfRule type="expression" dxfId="8" priority="3">
      <formula>B$2="Counter"</formula>
    </cfRule>
  </conditionalFormatting>
  <conditionalFormatting sqref="B2:B1048576">
    <cfRule type="duplicateValues" dxfId="7" priority="7"/>
  </conditionalFormatting>
  <conditionalFormatting sqref="B3:B358">
    <cfRule type="expression" dxfId="6" priority="23">
      <formula>#REF!="Counter"</formula>
    </cfRule>
  </conditionalFormatting>
  <conditionalFormatting sqref="C3:D358">
    <cfRule type="expression" dxfId="5" priority="12">
      <formula>LEFT(C3,5)="ERROR"</formula>
    </cfRule>
  </conditionalFormatting>
  <conditionalFormatting sqref="D1">
    <cfRule type="expression" dxfId="4" priority="1">
      <formula>D$2="Counter"</formula>
    </cfRule>
  </conditionalFormatting>
  <conditionalFormatting sqref="D3:D358">
    <cfRule type="expression" dxfId="3" priority="16">
      <formula>#REF!="Counter"</formula>
    </cfRule>
  </conditionalFormatting>
  <conditionalFormatting sqref="E2:F2">
    <cfRule type="duplicateValues" dxfId="2" priority="5"/>
  </conditionalFormatting>
  <conditionalFormatting sqref="R3:R358">
    <cfRule type="expression" dxfId="1" priority="10">
      <formula>#REF!="Counter"</formula>
    </cfRule>
  </conditionalFormatting>
  <conditionalFormatting sqref="AE2">
    <cfRule type="duplicateValues" dxfId="0" priority="4"/>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Combine Data (2)</vt:lpstr>
      <vt:lpstr>DataInput</vt:lpstr>
      <vt:lpstr>Indicators Details</vt:lpstr>
      <vt:lpstr>Combine Data</vt:lpstr>
      <vt:lpstr>Sectoral Targets</vt:lpstr>
      <vt:lpstr>Population Data</vt:lpstr>
      <vt:lpstr>Indicators</vt:lpstr>
      <vt:lpstr>Country Indicator</vt:lpstr>
      <vt:lpstr>Dictionnary</vt:lpstr>
      <vt:lpstr>Manual Indicators</vt:lpstr>
      <vt:lpstr>Nutrition Portfolio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Romuald TIEGNAN</dc:creator>
  <cp:lastModifiedBy>Romuald TIEGNAN</cp:lastModifiedBy>
  <dcterms:created xsi:type="dcterms:W3CDTF">2023-02-02T10:02:21Z</dcterms:created>
  <dcterms:modified xsi:type="dcterms:W3CDTF">2024-10-13T19:58:18Z</dcterms:modified>
</cp:coreProperties>
</file>